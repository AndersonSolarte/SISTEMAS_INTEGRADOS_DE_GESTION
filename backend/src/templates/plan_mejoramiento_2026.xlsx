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D:\Data D\Autoevaluación\PLAN DE MEJORAMIENTO\"/>
    </mc:Choice>
  </mc:AlternateContent>
  <xr:revisionPtr revIDLastSave="0" documentId="13_ncr:1_{EF43CE54-B535-4E8E-ACAF-8F66A31E5E87}" xr6:coauthVersionLast="47" xr6:coauthVersionMax="47" xr10:uidLastSave="{00000000-0000-0000-0000-000000000000}"/>
  <bookViews>
    <workbookView xWindow="-120" yWindow="-120" windowWidth="24240" windowHeight="13020" tabRatio="833" firstSheet="1" activeTab="4" xr2:uid="{00000000-000D-0000-FFFF-FFFF00000000}"/>
  </bookViews>
  <sheets>
    <sheet name="Listas" sheetId="45" state="hidden" r:id="rId1"/>
    <sheet name="PM" sheetId="35" r:id="rId2"/>
    <sheet name="Hoja2" sheetId="42" state="hidden" r:id="rId3"/>
    <sheet name="Hoja3" sheetId="40" state="hidden" r:id="rId4"/>
    <sheet name="PERSONAL" sheetId="18" r:id="rId5"/>
    <sheet name="TIPO" sheetId="32" state="hidden" r:id="rId6"/>
    <sheet name="PROGRAMAS Y DEPENDENCIAS" sheetId="31" state="hidden" r:id="rId7"/>
    <sheet name="PROYECTOS PDI" sheetId="33" state="hidden" r:id="rId8"/>
    <sheet name="ADQUISICIÓN DE ACTIVOS" sheetId="38" r:id="rId9"/>
    <sheet name="PUBLICIDAD" sheetId="36" r:id="rId10"/>
    <sheet name="ÚTILES Y PAPELERÍA" sheetId="37" r:id="rId11"/>
    <sheet name="ESPACIOS FÍSICOS y EQUIP" sheetId="30" r:id="rId12"/>
    <sheet name="DIVERSOS" sheetId="39" r:id="rId13"/>
    <sheet name="Presupuesto x Objetivo" sheetId="43" r:id="rId14"/>
    <sheet name="Presupuesto Pycto" sheetId="11" r:id="rId15"/>
    <sheet name="2025" sheetId="34" state="hidden" r:id="rId16"/>
    <sheet name="Ejempl fase planificación" sheetId="21" state="hidden" r:id="rId17"/>
    <sheet name="2019" sheetId="27" state="hidden" r:id="rId18"/>
  </sheets>
  <externalReferences>
    <externalReference r:id="rId19"/>
  </externalReferences>
  <definedNames>
    <definedName name="_C1">Hoja3!$A$2:$A$7</definedName>
    <definedName name="_C10">Hoja3!$J$2:$J$9</definedName>
    <definedName name="_C11">Hoja3!$K$2:$K$7</definedName>
    <definedName name="_C12">Hoja3!$L$2:$L$3</definedName>
    <definedName name="_C13">Hoja3!$M$2:$M$5</definedName>
    <definedName name="_C14">Hoja3!$N$2:$N$4</definedName>
    <definedName name="_C15">Hoja3!$O$2:$O$6</definedName>
    <definedName name="_C16">Hoja3!$P$2:$P$11</definedName>
    <definedName name="_C17">Hoja3!$Q$2:$Q$11</definedName>
    <definedName name="_C18">Hoja3!$R$2:$R$4</definedName>
    <definedName name="_C19">Hoja3!$S$2:$S$15</definedName>
    <definedName name="_C2">Hoja3!$B$2:$B$5</definedName>
    <definedName name="_C20">Hoja3!$T$2:$T$7</definedName>
    <definedName name="_C21">Hoja3!$U$2:$U$6</definedName>
    <definedName name="_C22">Hoja3!$V$2:$V$5</definedName>
    <definedName name="_C23">Hoja3!$W$2:$W$9</definedName>
    <definedName name="_C24">Hoja3!$X$2:$X$6</definedName>
    <definedName name="_C25">Hoja3!$Y$2:$Y$5</definedName>
    <definedName name="_C26">Hoja3!$Z$2:$Z$3</definedName>
    <definedName name="_C27">Hoja3!$AA$2:$AA$10</definedName>
    <definedName name="_C28">Hoja3!$AB$2:$AB$9</definedName>
    <definedName name="_C29">Hoja3!$AC$2:$AC$12</definedName>
    <definedName name="_C3">Hoja3!$C$2:$C$10</definedName>
    <definedName name="_C30">Hoja3!$AD$2:$AD$9</definedName>
    <definedName name="_C31">Hoja3!$AE$2:$AE$10</definedName>
    <definedName name="_C32">Hoja3!$AF$2:$AF$4</definedName>
    <definedName name="_C33">Hoja3!$AG$2:$AG$8</definedName>
    <definedName name="_C34">Hoja3!$AH$2:$AH$3</definedName>
    <definedName name="_C35">Hoja3!$AI$2:$AI$5</definedName>
    <definedName name="_C36">Hoja3!$AJ$2:$AJ$9</definedName>
    <definedName name="_C37">Hoja3!$AK$2:$AK$5</definedName>
    <definedName name="_C38">Hoja3!$AL$2:$AL$6</definedName>
    <definedName name="_C39">Hoja3!$AM$2:$AM$9</definedName>
    <definedName name="_C4">Hoja3!$D$2:$D$5</definedName>
    <definedName name="_C40">Hoja3!$AN$2:$AN$6</definedName>
    <definedName name="_C5">Hoja3!$E$2:$E$8</definedName>
    <definedName name="_C6">Hoja3!$F$2:$F$4</definedName>
    <definedName name="_C7">Hoja3!$G$2:$G$6</definedName>
    <definedName name="_C8">Hoja3!$H$2:$H$4</definedName>
    <definedName name="_C9">Hoja3!$I$2:$I$7</definedName>
    <definedName name="_xlnm._FilterDatabase" localSheetId="1" hidden="1">PM!$C$10:$V$29</definedName>
    <definedName name="_xlnm._FilterDatabase" localSheetId="7" hidden="1">'PROYECTOS PDI'!$A$1:$T$37</definedName>
    <definedName name="Accion_Evangelizadora">Hoja2!$O$40</definedName>
    <definedName name="Actualizar_oferta_de_programas">Hoja2!$J$40:$J$43</definedName>
    <definedName name="_xlnm.Print_Area" localSheetId="17">'2019'!$A$1:$E$200</definedName>
    <definedName name="_xlnm.Print_Area" localSheetId="15">'2025'!$A$1:$D$210</definedName>
    <definedName name="Articular_Modelo_De_Autoevaluacion">Hoja2!$G$40:$G$41</definedName>
    <definedName name="Asp_C1">Listas!$O$4:$O$4</definedName>
    <definedName name="Asp_C10">Listas!$X$4:$X$10</definedName>
    <definedName name="Asp_C11">Listas!$Y$4:$Y$6</definedName>
    <definedName name="Asp_C12">Listas!$Z$4:$Z$5</definedName>
    <definedName name="Asp_C13">Listas!$AA$4:$AA$6</definedName>
    <definedName name="Asp_C14">Listas!$AB$4:$AB$4</definedName>
    <definedName name="Asp_C15">Listas!$AC$4:$AC$5</definedName>
    <definedName name="Asp_C16">Listas!$AD$4:$AD$5</definedName>
    <definedName name="Asp_C17">Listas!$AE$4:$AE$5</definedName>
    <definedName name="Asp_C18">Listas!$AF$4:$AF$5</definedName>
    <definedName name="Asp_C19">Listas!$AG$4:$AG$5</definedName>
    <definedName name="Asp_C2">Listas!$P$4:$P$6</definedName>
    <definedName name="Asp_C20">Listas!$AH$4:$AH$5</definedName>
    <definedName name="Asp_C21">Listas!$AI$4:$AI$6</definedName>
    <definedName name="Asp_C22">Listas!$AJ$4:$AJ$6</definedName>
    <definedName name="Asp_C23">Listas!$AK$4:$AK$5</definedName>
    <definedName name="Asp_C24">Listas!$AL$4:$AL$4</definedName>
    <definedName name="Asp_C25">Listas!$AM$4:$AM$5</definedName>
    <definedName name="Asp_C26">Listas!$AN$4:$AN$5</definedName>
    <definedName name="Asp_C27">Listas!$AO$4:$AO$4</definedName>
    <definedName name="Asp_C28">Listas!$AP$4:$AP$6</definedName>
    <definedName name="Asp_C29">Listas!$AQ$4:$AQ$4</definedName>
    <definedName name="Asp_C3">Listas!$Q$4:$Q$7</definedName>
    <definedName name="Asp_C30">Listas!$AR$4:$AR$5</definedName>
    <definedName name="Asp_C31">Listas!$AS$4:$AS$4</definedName>
    <definedName name="Asp_C32">Listas!$AT$4:$AT$5</definedName>
    <definedName name="Asp_C33">Listas!$AU$4:$AU$4</definedName>
    <definedName name="Asp_C34">Listas!$AV$4:$AV$5</definedName>
    <definedName name="Asp_C35">Listas!$AW$4:$AW$5</definedName>
    <definedName name="Asp_C36">Listas!$AX$4:$AX$5</definedName>
    <definedName name="Asp_C37">Listas!$AY$4:$AY$5</definedName>
    <definedName name="Asp_C38">Listas!$AZ$4:$AZ$6</definedName>
    <definedName name="Asp_C39">Listas!$BA$4:$BA$6</definedName>
    <definedName name="Asp_C4">Listas!$R$4:$R$4</definedName>
    <definedName name="Asp_C40">Listas!$BB$4:$BB$5</definedName>
    <definedName name="Asp_C41">Listas!$BC$4:$BC$5</definedName>
    <definedName name="Asp_C42">Listas!$BD$4:$BD$5</definedName>
    <definedName name="Asp_C43">Listas!$BE$4:$BE$6</definedName>
    <definedName name="Asp_C44">Listas!$BF$4:$BF$5</definedName>
    <definedName name="Asp_C45">Listas!$BG$4:$BG$5</definedName>
    <definedName name="Asp_C46">Listas!$BH$4:$BH$5</definedName>
    <definedName name="Asp_C47">Listas!$BI$4:$BI$5</definedName>
    <definedName name="Asp_C48">Listas!$BJ$4:$BJ$5</definedName>
    <definedName name="Asp_C5">Listas!$S$4:$S$4</definedName>
    <definedName name="Asp_C6">Listas!$T$4:$T$5</definedName>
    <definedName name="Asp_C7">Listas!$U$4:$U$5</definedName>
    <definedName name="Asp_C8">Listas!$V$4:$V$5</definedName>
    <definedName name="Asp_C9">Listas!$W$4:$W$6</definedName>
    <definedName name="C_1">Hoja3!$A$2:$A$7</definedName>
    <definedName name="C_2">Hoja3!$B$2:$B$5</definedName>
    <definedName name="C_3">Hoja3!$C$2:$C$10</definedName>
    <definedName name="Consolidar_Modelo_Pedagogico">Hoja2!$K$40:$K$42</definedName>
    <definedName name="Desarrollar_portafolio_de_extension">Hoja2!$W$40:$W$41</definedName>
    <definedName name="Fac_F1">Listas!$C$4:$C$5</definedName>
    <definedName name="Fac_F10">Listas!$L$4:$L$6</definedName>
    <definedName name="Fac_F11">Listas!$M$4:$M$9</definedName>
    <definedName name="Fac_F12">Listas!$N$4:$N$5</definedName>
    <definedName name="Fac_F2">Listas!$D$4:$D$8</definedName>
    <definedName name="Fac_F3">Listas!$E$4:$E$11</definedName>
    <definedName name="Fac_F4">Listas!$F$4:$F$5</definedName>
    <definedName name="Fac_F5">Listas!$G$4:$G$12</definedName>
    <definedName name="Fac_F6">Listas!$H$4:$H$7</definedName>
    <definedName name="Fac_F7">Listas!$I$4:$I$6</definedName>
    <definedName name="Fac_F8">Listas!$J$4:$J$5</definedName>
    <definedName name="Fac_F9">Listas!$K$4:$K$5</definedName>
    <definedName name="FACTOR_1">Hoja2!$B$2:$B$4</definedName>
    <definedName name="FACTOR_10">Hoja2!$K$2:$K$4</definedName>
    <definedName name="FACTOR_2">Hoja2!$C$2:$C$5</definedName>
    <definedName name="FACTOR_3">Hoja2!$D$2:$D$9</definedName>
    <definedName name="FACTOR_4">Hoja2!$E$2:$E$12</definedName>
    <definedName name="FACTOR_5">Hoja2!$F$2:$F$3</definedName>
    <definedName name="FACTOR_6">Hoja2!$G$2:$G$3</definedName>
    <definedName name="FACTOR_7">Hoja2!$H$2:$H$3</definedName>
    <definedName name="FACTOR_8">Hoja2!$I$2:$I$4</definedName>
    <definedName name="FACTOR_9">Hoja2!$J$2:$J$3</definedName>
    <definedName name="Factores">Listas!$A$4:$A$15</definedName>
    <definedName name="Fortalecer_clima_organizacional">Hoja2!$M$40</definedName>
    <definedName name="Fortalecer_comunicaciones">Hoja2!$P$40</definedName>
    <definedName name="Fortalecer_la_internacionalizacion">Hoja2!$S$40</definedName>
    <definedName name="Fortalecer_lazos_con_comunidades">Hoja2!$X$40</definedName>
    <definedName name="Fortalecer_lazos_con_egresados">Hoja2!$Y$40:$Y$42</definedName>
    <definedName name="Gestionar_infraestructura_fisica">Hoja2!$Q$40</definedName>
    <definedName name="Gestionar_infraestructura_tecnologica">Hoja2!$R$40:$R$42</definedName>
    <definedName name="Implementar_gestion_por_procesos">Hoja2!$N$40:$N$41</definedName>
    <definedName name="Mejorar_continuamente_la_investigacion">Hoja2!$T$40</definedName>
    <definedName name="Ofrecer_programas_de_calidad">Hoja2!$H$40</definedName>
    <definedName name="Programas">Hoja2!$A$63:$A$75</definedName>
    <definedName name="Promover_el_desarrollo_integral">Hoja2!$I$40:$I$42</definedName>
    <definedName name="Promover_investigacion_formativa">Hoja2!$U$40:$U$41</definedName>
    <definedName name="Promover_produccion_investigativa">Hoja2!$V$40:$V$42</definedName>
    <definedName name="Promover_profesores_en_escalafon">Hoja2!$L$40:$L$41</definedName>
    <definedName name="SHARED_FORMULA_0">#N/A</definedName>
    <definedName name="SHARED_FORMULA_0___0">#N/A</definedName>
    <definedName name="SHARED_FORMULA_1">#N/A</definedName>
    <definedName name="SHARED_FORMULA_1___0">#N/A</definedName>
    <definedName name="SHARED_FORMULA_2">#N/A</definedName>
    <definedName name="SHARED_FORMULA_2___0">#N/A</definedName>
    <definedName name="_xlnm.Print_Titles" localSheetId="17">'2019'!$15:$15</definedName>
    <definedName name="_xlnm.Print_Titles" localSheetId="15">'2025'!$1:$11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18" l="1"/>
  <c r="J19" i="18"/>
  <c r="K19" i="18" s="1"/>
  <c r="N18" i="18"/>
  <c r="J18" i="18"/>
  <c r="K18" i="18" s="1"/>
  <c r="N17" i="18"/>
  <c r="N57" i="18" s="1"/>
  <c r="J17" i="18"/>
  <c r="K17" i="18" s="1"/>
  <c r="L11" i="18"/>
  <c r="M12" i="18" s="1"/>
  <c r="L12" i="18" l="1"/>
  <c r="F58" i="18" l="1"/>
  <c r="F57" i="18"/>
  <c r="F56" i="18"/>
  <c r="F55" i="18"/>
  <c r="F54" i="18"/>
  <c r="F53" i="18"/>
  <c r="F52" i="18"/>
  <c r="F51" i="18"/>
  <c r="F50" i="18"/>
  <c r="F49" i="18"/>
  <c r="F48" i="18"/>
  <c r="F47" i="18"/>
  <c r="G21" i="43" l="1"/>
  <c r="G20" i="43"/>
  <c r="G19" i="43"/>
  <c r="G18" i="43"/>
  <c r="G15" i="43"/>
  <c r="G14" i="43"/>
  <c r="G13" i="43"/>
  <c r="B12" i="43"/>
  <c r="B13" i="43" s="1"/>
  <c r="B14" i="43" s="1"/>
  <c r="B15" i="43" s="1"/>
  <c r="B16" i="43" s="1"/>
  <c r="B17" i="43" s="1"/>
  <c r="B18" i="43" s="1"/>
  <c r="B19" i="43" s="1"/>
  <c r="B20" i="43" s="1"/>
  <c r="B21" i="43" s="1"/>
  <c r="B22" i="43" s="1"/>
  <c r="B23" i="43" s="1"/>
  <c r="B24" i="43" s="1"/>
  <c r="B25" i="43" s="1"/>
  <c r="B26" i="43" s="1"/>
  <c r="B27" i="43" s="1"/>
  <c r="B28" i="43" s="1"/>
  <c r="B29" i="43" s="1"/>
  <c r="D8" i="43"/>
  <c r="H47" i="30"/>
  <c r="H45" i="30"/>
  <c r="G38" i="30"/>
  <c r="H49" i="30"/>
  <c r="H48" i="30"/>
  <c r="H46" i="30"/>
  <c r="B46" i="30"/>
  <c r="B47" i="30" s="1"/>
  <c r="B48" i="30" s="1"/>
  <c r="B49" i="30" s="1"/>
  <c r="F41" i="30"/>
  <c r="G41" i="30" s="1"/>
  <c r="F40" i="30"/>
  <c r="G40" i="30" s="1"/>
  <c r="F39" i="30"/>
  <c r="G39" i="30" s="1"/>
  <c r="B39" i="30"/>
  <c r="B40" i="30" s="1"/>
  <c r="B41" i="30" s="1"/>
  <c r="F38" i="30"/>
  <c r="B170" i="34"/>
  <c r="B169" i="34"/>
  <c r="B168" i="34"/>
  <c r="B167" i="34"/>
  <c r="F46" i="18" s="1"/>
  <c r="G22" i="43" l="1"/>
  <c r="H50" i="30"/>
  <c r="H39" i="30"/>
  <c r="H40" i="30"/>
  <c r="H41" i="30"/>
  <c r="H38" i="30"/>
  <c r="H42" i="30" l="1"/>
  <c r="P29" i="35" l="1"/>
  <c r="P28" i="35"/>
  <c r="P27" i="35"/>
  <c r="P26" i="35"/>
  <c r="P25" i="35"/>
  <c r="P24" i="35"/>
  <c r="P23" i="35"/>
  <c r="P22" i="35"/>
  <c r="P21" i="35"/>
  <c r="P20" i="35"/>
  <c r="P19" i="35"/>
  <c r="P18" i="35"/>
  <c r="P16" i="35"/>
  <c r="F39" i="18" l="1"/>
  <c r="G39" i="18" s="1"/>
  <c r="F38" i="18"/>
  <c r="G38" i="18" s="1"/>
  <c r="F37" i="18"/>
  <c r="G37" i="18" s="1"/>
  <c r="F40" i="18"/>
  <c r="G40" i="18" s="1"/>
  <c r="F36" i="18"/>
  <c r="G36" i="18" s="1"/>
  <c r="F35" i="18"/>
  <c r="G35" i="18" s="1"/>
  <c r="F34" i="18"/>
  <c r="G34" i="18" s="1"/>
  <c r="F33" i="18"/>
  <c r="G33" i="18" s="1"/>
  <c r="F41" i="18"/>
  <c r="G41" i="18" s="1"/>
  <c r="F32" i="18"/>
  <c r="G32" i="18" s="1"/>
  <c r="F7" i="18" l="1"/>
  <c r="F7" i="38" s="1"/>
  <c r="F7" i="36" s="1"/>
  <c r="F7" i="37" s="1"/>
  <c r="G7" i="30" s="1"/>
  <c r="F7" i="39" s="1"/>
  <c r="C8" i="18"/>
  <c r="C8" i="38" s="1"/>
  <c r="C8" i="36" s="1"/>
  <c r="C8" i="37" s="1"/>
  <c r="C8" i="30" s="1"/>
  <c r="C8" i="39" s="1"/>
  <c r="B7" i="18"/>
  <c r="B7" i="38" s="1"/>
  <c r="B7" i="36" s="1"/>
  <c r="B7" i="37" s="1"/>
  <c r="B7" i="30" s="1"/>
  <c r="B7" i="39" s="1"/>
  <c r="F18" i="36"/>
  <c r="G18" i="36" s="1"/>
  <c r="F19" i="36"/>
  <c r="G19" i="36" s="1"/>
  <c r="F20" i="36"/>
  <c r="G20" i="36" s="1"/>
  <c r="F21" i="36"/>
  <c r="G21" i="36" s="1"/>
  <c r="F22" i="36"/>
  <c r="G22" i="36" s="1"/>
  <c r="F23" i="36"/>
  <c r="G23" i="36" s="1"/>
  <c r="F24" i="36"/>
  <c r="G24" i="36" s="1"/>
  <c r="F25" i="36"/>
  <c r="G25" i="36" s="1"/>
  <c r="F26" i="36"/>
  <c r="G26" i="36" s="1"/>
  <c r="F27" i="36"/>
  <c r="G27" i="36" s="1"/>
  <c r="F28" i="36"/>
  <c r="G28" i="36" s="1"/>
  <c r="F29" i="36"/>
  <c r="G29" i="36" s="1"/>
  <c r="F30" i="36"/>
  <c r="G30" i="36" s="1"/>
  <c r="F31" i="36"/>
  <c r="G31" i="36" s="1"/>
  <c r="F32" i="36"/>
  <c r="G32" i="36" s="1"/>
  <c r="F33" i="36"/>
  <c r="G33" i="36" s="1"/>
  <c r="F34" i="36"/>
  <c r="G34" i="36" s="1"/>
  <c r="F35" i="36"/>
  <c r="G35" i="36" s="1"/>
  <c r="F36" i="36"/>
  <c r="G36" i="36" s="1"/>
  <c r="F37" i="36"/>
  <c r="G37" i="36" s="1"/>
  <c r="F38" i="36"/>
  <c r="G38" i="36" s="1"/>
  <c r="F39" i="36"/>
  <c r="G39" i="36" s="1"/>
  <c r="F40" i="36"/>
  <c r="G40" i="36" s="1"/>
  <c r="F41" i="36"/>
  <c r="G41" i="36" s="1"/>
  <c r="F42" i="36"/>
  <c r="G42" i="36" s="1"/>
  <c r="F43" i="36"/>
  <c r="G43" i="36" s="1"/>
  <c r="F44" i="36"/>
  <c r="G44" i="36" s="1"/>
  <c r="F45" i="36"/>
  <c r="G45" i="36" s="1"/>
  <c r="F46" i="36"/>
  <c r="G46" i="36" s="1"/>
  <c r="F47" i="36"/>
  <c r="G47" i="36" s="1"/>
  <c r="F48" i="36"/>
  <c r="G48" i="36" s="1"/>
  <c r="F49" i="36"/>
  <c r="G49" i="36" s="1"/>
  <c r="F50" i="36"/>
  <c r="G50" i="36" s="1"/>
  <c r="F51" i="36"/>
  <c r="G51" i="36" s="1"/>
  <c r="F52" i="36"/>
  <c r="G52" i="36" s="1"/>
  <c r="F17" i="36"/>
  <c r="G17" i="36" s="1"/>
  <c r="B233" i="34"/>
  <c r="F32" i="39"/>
  <c r="G32" i="39" s="1"/>
  <c r="F31" i="39"/>
  <c r="G31" i="39" s="1"/>
  <c r="F30" i="39"/>
  <c r="G30" i="39" s="1"/>
  <c r="F29" i="39"/>
  <c r="G29" i="39" s="1"/>
  <c r="F28" i="39"/>
  <c r="G28" i="39" s="1"/>
  <c r="F27" i="39"/>
  <c r="G27" i="39" s="1"/>
  <c r="F26" i="39"/>
  <c r="G26" i="39" s="1"/>
  <c r="F25" i="39"/>
  <c r="G25" i="39" s="1"/>
  <c r="F24" i="39"/>
  <c r="G24" i="39" s="1"/>
  <c r="F23" i="39"/>
  <c r="G23" i="39" s="1"/>
  <c r="F22" i="39"/>
  <c r="G22" i="39" s="1"/>
  <c r="F21" i="39"/>
  <c r="G21" i="39" s="1"/>
  <c r="F20" i="39"/>
  <c r="G20" i="39" s="1"/>
  <c r="F19" i="39"/>
  <c r="G19" i="39" s="1"/>
  <c r="F18" i="39"/>
  <c r="G18" i="39" s="1"/>
  <c r="F17" i="39"/>
  <c r="G17" i="39" s="1"/>
  <c r="B16" i="39"/>
  <c r="B17" i="39" s="1"/>
  <c r="B18" i="39" s="1"/>
  <c r="B19" i="39" s="1"/>
  <c r="B20" i="39" s="1"/>
  <c r="B21" i="39" s="1"/>
  <c r="B22" i="39" s="1"/>
  <c r="B23" i="39" s="1"/>
  <c r="B24" i="39" s="1"/>
  <c r="B25" i="39" s="1"/>
  <c r="B26" i="39" s="1"/>
  <c r="B27" i="39" s="1"/>
  <c r="B28" i="39" s="1"/>
  <c r="B29" i="39" s="1"/>
  <c r="B30" i="39" s="1"/>
  <c r="B31" i="39" s="1"/>
  <c r="B32" i="39" s="1"/>
  <c r="G47" i="37"/>
  <c r="G46" i="37"/>
  <c r="G45" i="37"/>
  <c r="G44" i="37"/>
  <c r="G43" i="37"/>
  <c r="G42" i="37"/>
  <c r="G41" i="37"/>
  <c r="G40" i="37"/>
  <c r="G39" i="37"/>
  <c r="G38" i="37"/>
  <c r="G37" i="37"/>
  <c r="G36" i="37"/>
  <c r="G35" i="37"/>
  <c r="G34" i="37"/>
  <c r="G33" i="37"/>
  <c r="G32" i="37"/>
  <c r="G31" i="37"/>
  <c r="G30" i="37"/>
  <c r="G29" i="37"/>
  <c r="G28" i="37"/>
  <c r="G27" i="37"/>
  <c r="G26" i="37"/>
  <c r="G25" i="37"/>
  <c r="G24" i="37"/>
  <c r="G23" i="37"/>
  <c r="G22" i="37"/>
  <c r="G21" i="37"/>
  <c r="B21" i="37"/>
  <c r="B22" i="37" s="1"/>
  <c r="B23" i="37" s="1"/>
  <c r="B24" i="37" s="1"/>
  <c r="B25" i="37" s="1"/>
  <c r="B26" i="37" s="1"/>
  <c r="B27" i="37" s="1"/>
  <c r="B28" i="37" s="1"/>
  <c r="B29" i="37" s="1"/>
  <c r="B30" i="37" s="1"/>
  <c r="B31" i="37" s="1"/>
  <c r="B32" i="37" s="1"/>
  <c r="B33" i="37" s="1"/>
  <c r="B34" i="37" s="1"/>
  <c r="B35" i="37" s="1"/>
  <c r="B36" i="37" s="1"/>
  <c r="B37" i="37" s="1"/>
  <c r="B38" i="37" s="1"/>
  <c r="B39" i="37" s="1"/>
  <c r="B40" i="37" s="1"/>
  <c r="B41" i="37" s="1"/>
  <c r="B42" i="37" s="1"/>
  <c r="B43" i="37" s="1"/>
  <c r="B44" i="37" s="1"/>
  <c r="B45" i="37" s="1"/>
  <c r="B46" i="37" s="1"/>
  <c r="B47" i="37" s="1"/>
  <c r="G44" i="38"/>
  <c r="G43" i="38"/>
  <c r="G42" i="38"/>
  <c r="G41" i="38"/>
  <c r="G40" i="38"/>
  <c r="G39" i="38"/>
  <c r="G38" i="38"/>
  <c r="G37" i="38"/>
  <c r="G36" i="38"/>
  <c r="G35" i="38"/>
  <c r="G34" i="38"/>
  <c r="G33" i="38"/>
  <c r="G32" i="38"/>
  <c r="G31" i="38"/>
  <c r="G30" i="38"/>
  <c r="G29" i="38"/>
  <c r="G28" i="38"/>
  <c r="G27" i="38"/>
  <c r="G26" i="38"/>
  <c r="G25" i="38"/>
  <c r="G24" i="38"/>
  <c r="G23" i="38"/>
  <c r="G22" i="38"/>
  <c r="G104" i="18"/>
  <c r="G103" i="18"/>
  <c r="G102" i="18"/>
  <c r="G101" i="18"/>
  <c r="G100" i="18"/>
  <c r="G99" i="18"/>
  <c r="G98" i="18"/>
  <c r="G97" i="18"/>
  <c r="G96" i="18"/>
  <c r="G95" i="18"/>
  <c r="G94" i="18"/>
  <c r="G93" i="18"/>
  <c r="B91" i="18"/>
  <c r="B92" i="18" s="1"/>
  <c r="B93" i="18" s="1"/>
  <c r="B94" i="18" s="1"/>
  <c r="B95" i="18" s="1"/>
  <c r="B96" i="18" s="1"/>
  <c r="B97" i="18" s="1"/>
  <c r="B98" i="18" s="1"/>
  <c r="B99" i="18" s="1"/>
  <c r="B100" i="18" s="1"/>
  <c r="B101" i="18" s="1"/>
  <c r="B102" i="18" s="1"/>
  <c r="B103" i="18" s="1"/>
  <c r="B104" i="18" s="1"/>
  <c r="G80" i="18"/>
  <c r="G79" i="18"/>
  <c r="G78" i="18"/>
  <c r="G77" i="18"/>
  <c r="G76" i="18"/>
  <c r="G75" i="18"/>
  <c r="G74" i="18"/>
  <c r="G73" i="18"/>
  <c r="G72" i="18"/>
  <c r="G71" i="18"/>
  <c r="G70" i="18"/>
  <c r="G69" i="18"/>
  <c r="G68" i="18"/>
  <c r="B65" i="18"/>
  <c r="B66" i="18" s="1"/>
  <c r="B67" i="18" s="1"/>
  <c r="B68" i="18" s="1"/>
  <c r="B69" i="18" s="1"/>
  <c r="B70" i="18" s="1"/>
  <c r="B71" i="18" s="1"/>
  <c r="B72" i="18" s="1"/>
  <c r="B73" i="18" s="1"/>
  <c r="B74" i="18" s="1"/>
  <c r="B75" i="18" s="1"/>
  <c r="B76" i="18" s="1"/>
  <c r="B77" i="18" s="1"/>
  <c r="B78" i="18" s="1"/>
  <c r="B79" i="18" s="1"/>
  <c r="B80" i="18" s="1"/>
  <c r="B47" i="18"/>
  <c r="B48" i="18" s="1"/>
  <c r="B49" i="18" s="1"/>
  <c r="B50" i="18" s="1"/>
  <c r="B51" i="18" s="1"/>
  <c r="B52" i="18" s="1"/>
  <c r="B53" i="18" s="1"/>
  <c r="B54" i="18" s="1"/>
  <c r="B55" i="18" s="1"/>
  <c r="B56" i="18" s="1"/>
  <c r="B57" i="18" s="1"/>
  <c r="B58" i="18" s="1"/>
  <c r="B18" i="18"/>
  <c r="B19" i="18" s="1"/>
  <c r="B20" i="18" s="1"/>
  <c r="B21" i="18" s="1"/>
  <c r="B22" i="18" s="1"/>
  <c r="B23" i="18" s="1"/>
  <c r="B24" i="18" s="1"/>
  <c r="B25" i="18" s="1"/>
  <c r="B26" i="18" s="1"/>
  <c r="B27" i="18" s="1"/>
  <c r="B28" i="18" s="1"/>
  <c r="B29" i="18" s="1"/>
  <c r="B30" i="18" s="1"/>
  <c r="B31" i="18" s="1"/>
  <c r="B32" i="18" s="1"/>
  <c r="G58" i="18"/>
  <c r="G57" i="18"/>
  <c r="G56" i="18"/>
  <c r="G55" i="18"/>
  <c r="G54" i="18"/>
  <c r="G53" i="18"/>
  <c r="G52" i="18"/>
  <c r="G51" i="18"/>
  <c r="G50" i="18"/>
  <c r="G49" i="18"/>
  <c r="G48" i="18"/>
  <c r="G47" i="18"/>
  <c r="F31" i="18"/>
  <c r="G31" i="18" s="1"/>
  <c r="F30" i="18"/>
  <c r="G30" i="18" s="1"/>
  <c r="F29" i="18"/>
  <c r="G29" i="18" s="1"/>
  <c r="F28" i="18"/>
  <c r="G28" i="18" s="1"/>
  <c r="F27" i="18"/>
  <c r="G27" i="18" s="1"/>
  <c r="F26" i="18"/>
  <c r="G26" i="18" s="1"/>
  <c r="F25" i="18"/>
  <c r="G25" i="18" s="1"/>
  <c r="F24" i="18"/>
  <c r="G24" i="18" s="1"/>
  <c r="F23" i="18"/>
  <c r="G23" i="18" s="1"/>
  <c r="F22" i="18"/>
  <c r="G22" i="18" s="1"/>
  <c r="P17" i="35" s="1"/>
  <c r="F21" i="18"/>
  <c r="G21" i="18" s="1"/>
  <c r="P15" i="35" s="1"/>
  <c r="F20" i="18"/>
  <c r="G20" i="18" s="1"/>
  <c r="F19" i="18"/>
  <c r="G19" i="18" s="1"/>
  <c r="F16" i="39"/>
  <c r="G16" i="39" s="1"/>
  <c r="G15" i="39"/>
  <c r="B22" i="38"/>
  <c r="B23" i="38" s="1"/>
  <c r="B24" i="38" s="1"/>
  <c r="B25" i="38" s="1"/>
  <c r="B26" i="38" s="1"/>
  <c r="B27" i="38" s="1"/>
  <c r="B28" i="38" s="1"/>
  <c r="B29" i="38" s="1"/>
  <c r="B30" i="38" s="1"/>
  <c r="B31" i="38" s="1"/>
  <c r="B32" i="38" s="1"/>
  <c r="B33" i="38" s="1"/>
  <c r="B34" i="38" s="1"/>
  <c r="B35" i="38" s="1"/>
  <c r="B36" i="38" s="1"/>
  <c r="B37" i="38" s="1"/>
  <c r="B38" i="38" s="1"/>
  <c r="B39" i="38" s="1"/>
  <c r="B40" i="38" s="1"/>
  <c r="B41" i="38" s="1"/>
  <c r="B42" i="38" s="1"/>
  <c r="B43" i="38" s="1"/>
  <c r="B44" i="38" s="1"/>
  <c r="G21" i="38"/>
  <c r="G20" i="37"/>
  <c r="B20" i="37"/>
  <c r="G19" i="37"/>
  <c r="B18" i="36"/>
  <c r="B19" i="36" s="1"/>
  <c r="B20" i="36" s="1"/>
  <c r="B21" i="36" s="1"/>
  <c r="B22" i="36" s="1"/>
  <c r="B23" i="36" s="1"/>
  <c r="B24" i="36" s="1"/>
  <c r="B25" i="36" s="1"/>
  <c r="B26" i="36" s="1"/>
  <c r="B27" i="36" s="1"/>
  <c r="B28" i="36" s="1"/>
  <c r="B29" i="36" s="1"/>
  <c r="B30" i="36" s="1"/>
  <c r="B31" i="36" s="1"/>
  <c r="B32" i="36" s="1"/>
  <c r="B33" i="36" s="1"/>
  <c r="B34" i="36" s="1"/>
  <c r="B35" i="36" s="1"/>
  <c r="B36" i="36" s="1"/>
  <c r="B37" i="36" s="1"/>
  <c r="B38" i="36" s="1"/>
  <c r="B39" i="36" s="1"/>
  <c r="B40" i="36" s="1"/>
  <c r="B41" i="36" s="1"/>
  <c r="B42" i="36" s="1"/>
  <c r="B43" i="36" s="1"/>
  <c r="B44" i="36" s="1"/>
  <c r="B45" i="36" s="1"/>
  <c r="B46" i="36" s="1"/>
  <c r="B47" i="36" s="1"/>
  <c r="B48" i="36" s="1"/>
  <c r="B49" i="36" s="1"/>
  <c r="B50" i="36" s="1"/>
  <c r="B51" i="36" s="1"/>
  <c r="B52" i="36" s="1"/>
  <c r="B6" i="11" l="1"/>
  <c r="B6" i="43"/>
  <c r="E7" i="11"/>
  <c r="E7" i="43"/>
  <c r="G33" i="39"/>
  <c r="G20" i="11" s="1"/>
  <c r="G45" i="38"/>
  <c r="G17" i="11" s="1"/>
  <c r="B33" i="18"/>
  <c r="B34" i="18" s="1"/>
  <c r="B35" i="18" s="1"/>
  <c r="B36" i="18" s="1"/>
  <c r="G53" i="36"/>
  <c r="G18" i="11" s="1"/>
  <c r="G48" i="37"/>
  <c r="G19" i="11" s="1"/>
  <c r="G21" i="11" l="1"/>
  <c r="B37" i="18"/>
  <c r="B38" i="18" s="1"/>
  <c r="B39" i="18" s="1"/>
  <c r="B40" i="18" s="1"/>
  <c r="B41" i="18" s="1"/>
  <c r="G67" i="18"/>
  <c r="P14" i="35" s="1"/>
  <c r="G66" i="18"/>
  <c r="P13" i="35" s="1"/>
  <c r="G92" i="18"/>
  <c r="G91" i="18"/>
  <c r="G90" i="18"/>
  <c r="F18" i="18"/>
  <c r="G18" i="18" s="1"/>
  <c r="G105" i="18" l="1"/>
  <c r="G14" i="11" s="1"/>
  <c r="G18" i="30"/>
  <c r="G21" i="30" l="1"/>
  <c r="G20" i="30"/>
  <c r="G19" i="30"/>
  <c r="G14" i="34"/>
  <c r="F17" i="18" l="1"/>
  <c r="G17" i="18" s="1"/>
  <c r="G12" i="43" l="1"/>
  <c r="G16" i="43" s="1"/>
  <c r="G17" i="43" s="1"/>
  <c r="G26" i="43" s="1"/>
  <c r="G27" i="43" s="1"/>
  <c r="G28" i="43" s="1"/>
  <c r="G29" i="43" s="1"/>
  <c r="G42" i="18"/>
  <c r="G11" i="11" s="1"/>
  <c r="H18" i="30" l="1"/>
  <c r="F21" i="30"/>
  <c r="F20" i="30"/>
  <c r="F19" i="30"/>
  <c r="F18" i="30"/>
  <c r="C105" i="27"/>
  <c r="C103" i="27"/>
  <c r="C104" i="27"/>
  <c r="C102" i="27"/>
  <c r="C100" i="27"/>
  <c r="C99" i="27"/>
  <c r="C97" i="27"/>
  <c r="C96" i="27"/>
  <c r="C95" i="27"/>
  <c r="C94" i="27"/>
  <c r="C93" i="27"/>
  <c r="C92" i="27"/>
  <c r="C91" i="27"/>
  <c r="C90" i="27"/>
  <c r="C89" i="27"/>
  <c r="C87" i="27"/>
  <c r="C84" i="27"/>
  <c r="C82" i="27"/>
  <c r="C77" i="27"/>
  <c r="C76" i="27"/>
  <c r="C75" i="27"/>
  <c r="C73" i="27"/>
  <c r="C70" i="27"/>
  <c r="C69" i="27"/>
  <c r="C68" i="27"/>
  <c r="C67" i="27"/>
  <c r="O37" i="33"/>
  <c r="Q37" i="33" s="1"/>
  <c r="Q36" i="33"/>
  <c r="O35" i="33"/>
  <c r="Q35" i="33"/>
  <c r="O34" i="33"/>
  <c r="Q34" i="33" s="1"/>
  <c r="O33" i="33"/>
  <c r="Q33" i="33"/>
  <c r="Q32" i="33"/>
  <c r="O31" i="33"/>
  <c r="Q31" i="33" s="1"/>
  <c r="O30" i="33"/>
  <c r="Q30" i="33" s="1"/>
  <c r="O29" i="33"/>
  <c r="Q29" i="33" s="1"/>
  <c r="Q28" i="33"/>
  <c r="O27" i="33"/>
  <c r="Q27" i="33" s="1"/>
  <c r="O26" i="33"/>
  <c r="Q26" i="33" s="1"/>
  <c r="O25" i="33"/>
  <c r="Q25" i="33"/>
  <c r="O24" i="33"/>
  <c r="Q24" i="33" s="1"/>
  <c r="O23" i="33"/>
  <c r="Q23" i="33" s="1"/>
  <c r="O22" i="33"/>
  <c r="Q22" i="33" s="1"/>
  <c r="O21" i="33"/>
  <c r="Q21" i="33" s="1"/>
  <c r="O20" i="33"/>
  <c r="Q20" i="33" s="1"/>
  <c r="O19" i="33"/>
  <c r="Q19" i="33" s="1"/>
  <c r="O18" i="33"/>
  <c r="Q18" i="33"/>
  <c r="O17" i="33"/>
  <c r="Q17" i="33" s="1"/>
  <c r="O16" i="33"/>
  <c r="Q16" i="33"/>
  <c r="O15" i="33"/>
  <c r="Q15" i="33" s="1"/>
  <c r="O14" i="33"/>
  <c r="Q14" i="33"/>
  <c r="O13" i="33"/>
  <c r="Q13" i="33" s="1"/>
  <c r="O12" i="33"/>
  <c r="Q12" i="33" s="1"/>
  <c r="O11" i="33"/>
  <c r="Q11" i="33" s="1"/>
  <c r="O10" i="33"/>
  <c r="Q10" i="33" s="1"/>
  <c r="O9" i="33"/>
  <c r="Q9" i="33"/>
  <c r="O8" i="33"/>
  <c r="Q8" i="33" s="1"/>
  <c r="O7" i="33"/>
  <c r="Q7" i="33" s="1"/>
  <c r="O6" i="33"/>
  <c r="Q6" i="33" s="1"/>
  <c r="O5" i="33"/>
  <c r="Q5" i="33"/>
  <c r="O4" i="33"/>
  <c r="Q4" i="33" s="1"/>
  <c r="O3" i="33"/>
  <c r="Q3" i="33" s="1"/>
  <c r="Q2" i="33"/>
  <c r="H19" i="30"/>
  <c r="G46" i="18"/>
  <c r="B74" i="27"/>
  <c r="C74" i="27" s="1"/>
  <c r="B72" i="27"/>
  <c r="C72" i="27" s="1"/>
  <c r="B71" i="27"/>
  <c r="C71" i="27" s="1"/>
  <c r="B69" i="27"/>
  <c r="B68" i="27"/>
  <c r="B66" i="27"/>
  <c r="C66" i="27" s="1"/>
  <c r="B65" i="27"/>
  <c r="C65" i="27" s="1"/>
  <c r="B79" i="27"/>
  <c r="C79" i="27" s="1"/>
  <c r="B78" i="27"/>
  <c r="C78" i="27" s="1"/>
  <c r="F27" i="30"/>
  <c r="G27" i="30" s="1"/>
  <c r="H27" i="30" s="1"/>
  <c r="F26" i="30"/>
  <c r="G26" i="30" s="1"/>
  <c r="H26" i="30" s="1"/>
  <c r="B26" i="30"/>
  <c r="B27" i="30" s="1"/>
  <c r="F25" i="30"/>
  <c r="B88" i="27"/>
  <c r="C88" i="27" s="1"/>
  <c r="B86" i="27"/>
  <c r="C86" i="27" s="1"/>
  <c r="B85" i="27"/>
  <c r="C85" i="27" s="1"/>
  <c r="B83" i="27"/>
  <c r="C83" i="27" s="1"/>
  <c r="B81" i="27"/>
  <c r="C81" i="27" s="1"/>
  <c r="F34" i="30"/>
  <c r="G34" i="30" s="1"/>
  <c r="H34" i="30" s="1"/>
  <c r="H55" i="30"/>
  <c r="F33" i="30"/>
  <c r="G33" i="30" s="1"/>
  <c r="H33" i="30" s="1"/>
  <c r="F32" i="30"/>
  <c r="G32" i="30" s="1"/>
  <c r="H32" i="30" s="1"/>
  <c r="F31" i="30"/>
  <c r="G31" i="30" s="1"/>
  <c r="H31" i="30" s="1"/>
  <c r="H59" i="30"/>
  <c r="H58" i="30"/>
  <c r="H57" i="30"/>
  <c r="H56" i="30"/>
  <c r="H21" i="30"/>
  <c r="H20" i="30"/>
  <c r="B56" i="30"/>
  <c r="B57" i="30" s="1"/>
  <c r="B58" i="30" s="1"/>
  <c r="B59" i="30" s="1"/>
  <c r="B32" i="30"/>
  <c r="B33" i="30"/>
  <c r="B34" i="30" s="1"/>
  <c r="B19" i="30"/>
  <c r="B20" i="30" s="1"/>
  <c r="B21" i="30" s="1"/>
  <c r="G65" i="18"/>
  <c r="P12" i="35" s="1"/>
  <c r="G64" i="18"/>
  <c r="B160" i="27"/>
  <c r="B159" i="27"/>
  <c r="B158" i="27"/>
  <c r="B157" i="27"/>
  <c r="B11" i="11"/>
  <c r="B12" i="11" s="1"/>
  <c r="B13" i="11" s="1"/>
  <c r="B14" i="11" s="1"/>
  <c r="G24" i="43" l="1"/>
  <c r="G25" i="43" s="1"/>
  <c r="G81" i="18"/>
  <c r="G13" i="11" s="1"/>
  <c r="P11" i="35"/>
  <c r="G59" i="18"/>
  <c r="B15" i="11"/>
  <c r="B16" i="11" s="1"/>
  <c r="B17" i="11" s="1"/>
  <c r="B18" i="11" s="1"/>
  <c r="B19" i="11" s="1"/>
  <c r="H60" i="30"/>
  <c r="G25" i="30"/>
  <c r="H25" i="30" s="1"/>
  <c r="H28" i="30" s="1"/>
  <c r="H35" i="30"/>
  <c r="H22" i="30"/>
  <c r="E108" i="18" l="1"/>
  <c r="G12" i="11"/>
  <c r="G15" i="11" s="1"/>
  <c r="G16" i="11" s="1"/>
  <c r="G25" i="11" s="1"/>
  <c r="H51" i="30"/>
  <c r="G23" i="11" s="1"/>
  <c r="G24" i="11" s="1"/>
  <c r="B20" i="11"/>
  <c r="B21" i="11" s="1"/>
  <c r="B22" i="11" s="1"/>
  <c r="B23" i="11" s="1"/>
  <c r="B24" i="11" l="1"/>
  <c r="B25" i="11" s="1"/>
  <c r="B26" i="11" s="1"/>
  <c r="B27" i="11" s="1"/>
  <c r="B28" i="11" s="1"/>
  <c r="G26" i="11"/>
  <c r="G27" i="11" l="1"/>
  <c r="G28"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Aseguramiento</author>
  </authors>
  <commentList>
    <comment ref="C7" authorId="0" shapeId="0" xr:uid="{00000000-0006-0000-0500-000001000000}">
      <text>
        <r>
          <rPr>
            <b/>
            <sz val="9"/>
            <color indexed="81"/>
            <rFont val="Tahoma"/>
            <family val="2"/>
          </rPr>
          <t>Aseguramiento:</t>
        </r>
        <r>
          <rPr>
            <sz val="9"/>
            <color indexed="81"/>
            <rFont val="Tahoma"/>
            <family val="2"/>
          </rPr>
          <t xml:space="preserve">
No está como indicador</t>
        </r>
      </text>
    </comment>
  </commentList>
</comments>
</file>

<file path=xl/sharedStrings.xml><?xml version="1.0" encoding="utf-8"?>
<sst xmlns="http://schemas.openxmlformats.org/spreadsheetml/2006/main" count="2414" uniqueCount="1488">
  <si>
    <t>No.</t>
  </si>
  <si>
    <t>CONCEPTO</t>
  </si>
  <si>
    <t>GASTOS GENERALES QUE NO IMPLICAN DESEMBOLSO DE EFECTIVO</t>
  </si>
  <si>
    <t>Firma Responsable del proyecto</t>
  </si>
  <si>
    <t>Presupuesto financieramente viable?  SI ____      NO____</t>
  </si>
  <si>
    <t>VR. UN.</t>
  </si>
  <si>
    <t>UNI</t>
  </si>
  <si>
    <t>VR TOTAL</t>
  </si>
  <si>
    <t>SUBTOTAL ITEM 2.2.(sume renglones 21 a 24)</t>
  </si>
  <si>
    <t>CAN</t>
  </si>
  <si>
    <t>Fecha:</t>
  </si>
  <si>
    <t xml:space="preserve">Docentes Medio Tiempo </t>
  </si>
  <si>
    <t>INSTITUCIÓN UNIVERSITARIA CESMAG</t>
  </si>
  <si>
    <t>Vicerrectoría del Area</t>
  </si>
  <si>
    <t xml:space="preserve">Imputar a: </t>
  </si>
  <si>
    <t>INVERSION INSTITUCIONAL</t>
  </si>
  <si>
    <t xml:space="preserve">SUBTOTAL </t>
  </si>
  <si>
    <t>Alquiler de instalaciones y equipos</t>
  </si>
  <si>
    <t>DESCRIPCIÓN</t>
  </si>
  <si>
    <t>FASE DE FASE DE PLANEACIÓN  y EJECUCIÓN DESARROLLO DE LA FORMACIÓN CONTINUA</t>
  </si>
  <si>
    <t>ACTIVIDAD</t>
  </si>
  <si>
    <t>RESPONSABLE</t>
  </si>
  <si>
    <t>Agosto</t>
  </si>
  <si>
    <t>Septiembre</t>
  </si>
  <si>
    <t>Octubre</t>
  </si>
  <si>
    <t>Noviembre</t>
  </si>
  <si>
    <t>Diciembre</t>
  </si>
  <si>
    <t>S1</t>
  </si>
  <si>
    <t>S2</t>
  </si>
  <si>
    <t>S3</t>
  </si>
  <si>
    <t>S4</t>
  </si>
  <si>
    <t xml:space="preserve">Planificación y elaboración de propuesta </t>
  </si>
  <si>
    <t>X</t>
  </si>
  <si>
    <t>Entrega de la propuesta a Vic. Adtiva para revisión y aprobación</t>
  </si>
  <si>
    <t>X </t>
  </si>
  <si>
    <t xml:space="preserve">Promoción e inscripción al Diplomado </t>
  </si>
  <si>
    <t>Realización diplomado</t>
  </si>
  <si>
    <t>FASE DE EVALUACIÓN</t>
  </si>
  <si>
    <t>Envío de evaluación del Diplomado  a los asistentes que se les haya elaborado el certificado</t>
  </si>
  <si>
    <t>Entrega de resultado de evaluación al programa  </t>
  </si>
  <si>
    <t>Revisión de la propuesta por parte de Dirección de Posgrados</t>
  </si>
  <si>
    <t>Directora de Posgrados</t>
  </si>
  <si>
    <t>Coordinador del Diplomado</t>
  </si>
  <si>
    <t>Logistica y clausura Diplomado</t>
  </si>
  <si>
    <t>Ivan Jojoa, Oscar Martos</t>
  </si>
  <si>
    <t>Aprobación Consejos Académico y Directivo</t>
  </si>
  <si>
    <t>Consejos Académico y Directivo</t>
  </si>
  <si>
    <t>Dirección de Posgrados, Programa de Contaduría y Coordinador del Diplomado</t>
  </si>
  <si>
    <t>Dirección de Posgrados, Programa de psicologia y Coordinador del Diplomado</t>
  </si>
  <si>
    <t>Directora de Posgrados, Consejo Académico y Consejo Directivo.</t>
  </si>
  <si>
    <r>
      <t xml:space="preserve">PROGRAMA O DEPENDENCIA: </t>
    </r>
    <r>
      <rPr>
        <sz val="9"/>
        <rFont val="Times New Roman"/>
        <family val="1"/>
      </rPr>
      <t xml:space="preserve"> </t>
    </r>
  </si>
  <si>
    <t>Otros</t>
  </si>
  <si>
    <t>Anexo No</t>
  </si>
  <si>
    <t xml:space="preserve">PROGRAMA O DEPENDENCIA: </t>
  </si>
  <si>
    <t>CIRCULAR No. 200.06.01 - 005</t>
  </si>
  <si>
    <t>Para:                                       Todo el Personal</t>
  </si>
  <si>
    <t>IPC</t>
  </si>
  <si>
    <t>De:                                           Rectoría</t>
  </si>
  <si>
    <t>Otro Incremento</t>
  </si>
  <si>
    <t>Asunto:                                   Tarifas 2019</t>
  </si>
  <si>
    <t>Reemplaza:                            Circular 200.06.01-005 de enero 2018</t>
  </si>
  <si>
    <t>Fecha de expedición:           Enero 24 de 2019</t>
  </si>
  <si>
    <t>Tarifas a cobrar por la  Institución  Universitaria CESMAG para  el año 2019</t>
  </si>
  <si>
    <t>Clase de Servicio</t>
  </si>
  <si>
    <t>Observaciones</t>
  </si>
  <si>
    <t>Personal y/o Estudiantes Entidades Gorettianas 2019</t>
  </si>
  <si>
    <t>Externos 2019</t>
  </si>
  <si>
    <t>Constancia de trabajo</t>
  </si>
  <si>
    <t>NA</t>
  </si>
  <si>
    <t>Record de trabajo</t>
  </si>
  <si>
    <t>Duplicado desprendible de pago</t>
  </si>
  <si>
    <t>Duplicado certificado de ingresos y retenciones</t>
  </si>
  <si>
    <t xml:space="preserve">Duplicado carné </t>
  </si>
  <si>
    <t>Duplicado Certificado Educación informal</t>
  </si>
  <si>
    <t>Constancia de crédito y  cartera</t>
  </si>
  <si>
    <t>Duplicado de Recibo de Matricula Pagado (Tesorería -Pagaduría)</t>
  </si>
  <si>
    <t>Programas analíticos</t>
  </si>
  <si>
    <t>Por semestre</t>
  </si>
  <si>
    <t>Escudos</t>
  </si>
  <si>
    <t xml:space="preserve">Edición de video por hora </t>
  </si>
  <si>
    <t>Con perillero</t>
  </si>
  <si>
    <t>Formulario para proveedores</t>
  </si>
  <si>
    <t>Carné elaboración para externos</t>
  </si>
  <si>
    <t>Previa aprobación de Vicerrectoría Administrativa-Financiera</t>
  </si>
  <si>
    <t>Servicios por Empaste, fotocopiado, multicopiado e impresión de documentos</t>
  </si>
  <si>
    <t>Empastado hasta 100 hojas</t>
  </si>
  <si>
    <t>Empastado mas de 100 hojas</t>
  </si>
  <si>
    <t>Fotocopia en blanco y negro CRE</t>
  </si>
  <si>
    <t>Fotocopia a color una página CRE</t>
  </si>
  <si>
    <t>Fotocopia a color  por dos lados CRE</t>
  </si>
  <si>
    <t>Multicopiado 50 a 99 hojas carta y oficio (bond), kimberly y 90 gr.</t>
  </si>
  <si>
    <t xml:space="preserve">$62    $72    $155 </t>
  </si>
  <si>
    <t>Multicopiado 100 a 199 hojas carta y oficio (bond), kimberly y 90 gr.</t>
  </si>
  <si>
    <t>$57    $62    $144</t>
  </si>
  <si>
    <t>Multicopiado 200 a 499 hojas carta y oficio (bond), kimberly y 90 gr.</t>
  </si>
  <si>
    <t>$52    $57    $134</t>
  </si>
  <si>
    <t>Multicopiado 500 o más hojas carta y oficio (bond), kimberly y 90 gr.</t>
  </si>
  <si>
    <t>$40, $45, $125. Otras especificaciones calcualrse en el momento.</t>
  </si>
  <si>
    <t>Impresión  diplomas a color</t>
  </si>
  <si>
    <t>Impresora laser</t>
  </si>
  <si>
    <t>Videos y Revistas</t>
  </si>
  <si>
    <t>Revista Tiempos Nuevos  No. 22      2015</t>
  </si>
  <si>
    <t>Revista Tiempos Nuevos  No. 23      2016</t>
  </si>
  <si>
    <t>Revista Tiempos Nuevos  No. 24      2017</t>
  </si>
  <si>
    <t>Revista Tiempos Nuevos  No. 25      2018</t>
  </si>
  <si>
    <t>Grupos Cuotas de Sostenimiento</t>
  </si>
  <si>
    <t xml:space="preserve">Taekwondo </t>
  </si>
  <si>
    <t>Mensuales por persona</t>
  </si>
  <si>
    <t>Gimnasia</t>
  </si>
  <si>
    <t>Preparación para ascenso a cinturón Taekwondo</t>
  </si>
  <si>
    <t>Semestre</t>
  </si>
  <si>
    <r>
      <t xml:space="preserve">Presentaciones, </t>
    </r>
    <r>
      <rPr>
        <sz val="11"/>
        <rFont val="Arial"/>
        <family val="2"/>
      </rPr>
      <t xml:space="preserve">no incluye transportes, alojamiento ni  manutención. </t>
    </r>
  </si>
  <si>
    <t>Grupo de Danzas</t>
  </si>
  <si>
    <t>Libre de Transporte y Lavado de Vestidos</t>
  </si>
  <si>
    <t>Grupo de Danzas con grupo Folklórico</t>
  </si>
  <si>
    <t>Grupo Folklórico</t>
  </si>
  <si>
    <t>Grupo musical</t>
  </si>
  <si>
    <t>Danza por Pareja</t>
  </si>
  <si>
    <t>Taekwondo</t>
  </si>
  <si>
    <t>Teatro</t>
  </si>
  <si>
    <t>Alquiler Vestuario</t>
  </si>
  <si>
    <t>Vestido completo</t>
  </si>
  <si>
    <t>Para presentaciones no institucionales</t>
  </si>
  <si>
    <t>Accesorios adicionales, por cada uno</t>
  </si>
  <si>
    <t>Alquiler Planta Fisica</t>
  </si>
  <si>
    <r>
      <t xml:space="preserve">Auditorio Edificio San Francisco, </t>
    </r>
    <r>
      <rPr>
        <sz val="8"/>
        <rFont val="Arial"/>
        <family val="2"/>
      </rPr>
      <t>el auditorio tiene uso exclusivo para actividades de carácter académico.</t>
    </r>
  </si>
  <si>
    <t>Auditorio completo valor hora adicional</t>
  </si>
  <si>
    <t>Auditorio valor hora adicional (Espacio 1)</t>
  </si>
  <si>
    <t>Auditorio valor hora adicional (Espacio 2)</t>
  </si>
  <si>
    <t>Servicio adicional de parqueadero para 33 carros</t>
  </si>
  <si>
    <t>Hora</t>
  </si>
  <si>
    <t>Media jornada (4 horas)</t>
  </si>
  <si>
    <t>jornada completa (8 horas)</t>
  </si>
  <si>
    <t>No incluye pruebas</t>
  </si>
  <si>
    <t>Solo para costeo de proyectos</t>
  </si>
  <si>
    <t>Baloncesto,  Microfotball y voleibol, diurno, partido</t>
  </si>
  <si>
    <t>Baloncesto,  Microfotball y voleibol, nocturno, partido</t>
  </si>
  <si>
    <t>Tenis de campo (partido), diurno</t>
  </si>
  <si>
    <t>Tenis de campo (partido) nocturno</t>
  </si>
  <si>
    <t>Metro cuadrado de medio Universitario San Damian</t>
  </si>
  <si>
    <t>para costeo de proyectos de investigaciones</t>
  </si>
  <si>
    <t>Parqueaderos</t>
  </si>
  <si>
    <t>Parqueadero de carros edificio San Fco (para empleados)</t>
  </si>
  <si>
    <t>Valor por semestre</t>
  </si>
  <si>
    <t>Parqueadero motocicletas edificio San Fco (para empleados)</t>
  </si>
  <si>
    <t>Bienes Muebles</t>
  </si>
  <si>
    <t>Mesones</t>
  </si>
  <si>
    <t>valor diario individual</t>
  </si>
  <si>
    <t xml:space="preserve">Mesa de tenis </t>
  </si>
  <si>
    <t>hora</t>
  </si>
  <si>
    <t>Sillas</t>
  </si>
  <si>
    <t>Unidad</t>
  </si>
  <si>
    <t>Stand</t>
  </si>
  <si>
    <t>Incluye armado</t>
  </si>
  <si>
    <t xml:space="preserve">Equipo de Amplificación  </t>
  </si>
  <si>
    <t>Jornada  de 4 horas Diurnas 6:00 a.m.  6:00 p.m.</t>
  </si>
  <si>
    <t>Nocturnas 6.00 p.m - 10.00 p.m.</t>
  </si>
  <si>
    <t>Festivos cualquier jornada</t>
  </si>
  <si>
    <t>Video been</t>
  </si>
  <si>
    <t>Valor hora, cuando se requiere en forma adicional</t>
  </si>
  <si>
    <t>Alquiler Equipos Especializados</t>
  </si>
  <si>
    <t>Brújula</t>
  </si>
  <si>
    <t>Cinta</t>
  </si>
  <si>
    <t>Elementos menores</t>
  </si>
  <si>
    <t>Estereoscopio de bolsillos</t>
  </si>
  <si>
    <t>Estereoscopio de espejos</t>
  </si>
  <si>
    <t>Jalón</t>
  </si>
  <si>
    <t>Mira</t>
  </si>
  <si>
    <t>Nivel de mano</t>
  </si>
  <si>
    <t>Nivel de precisión</t>
  </si>
  <si>
    <t>Planimetro</t>
  </si>
  <si>
    <t>Plomada</t>
  </si>
  <si>
    <t xml:space="preserve">Teodolito </t>
  </si>
  <si>
    <t>NOTA: Para efecto de descuentos en eventos internos o exclusivos de la Institución en el alquiler de Aulas, de Audiovisuales, de Sistemas e Internet, de laboratorios y salones de clase, se aplica la siguiente tabla  diferencial,  según el número de horas contratadas.</t>
  </si>
  <si>
    <t>De    1 a   10 horas</t>
  </si>
  <si>
    <t>sin descuento</t>
  </si>
  <si>
    <t>A Convenir</t>
  </si>
  <si>
    <t>De  11 a   40 horas</t>
  </si>
  <si>
    <t>De  41 a   80 horas</t>
  </si>
  <si>
    <t>De  81 a  130 horas</t>
  </si>
  <si>
    <t>De 131a  180 horas</t>
  </si>
  <si>
    <t>De 181a  250 horas</t>
  </si>
  <si>
    <t>Multas y Sanciones</t>
  </si>
  <si>
    <t>Reposición por pérdida ficha de biblioteca</t>
  </si>
  <si>
    <t>Reposición por pérdida ficha de Parqueadero</t>
  </si>
  <si>
    <t>Multas por mora en devolución de equipos y demás:</t>
  </si>
  <si>
    <t>Obras bibliográficas (biblioteca  0.5% SMMLV)</t>
  </si>
  <si>
    <t>diario</t>
  </si>
  <si>
    <t>Elementos deportivos *</t>
  </si>
  <si>
    <t>Equipos y elementos de laboratorio *</t>
  </si>
  <si>
    <t>Equipos de cómputo y de audiovisuales *</t>
  </si>
  <si>
    <t>Equipos de topografía *</t>
  </si>
  <si>
    <t>Costo laboral, para asalariados en presupuestos de proyectos; mas el 52% por prestaciones sociales</t>
  </si>
  <si>
    <t>Hora docente Tiempo completo Básico PROFESIONAL</t>
  </si>
  <si>
    <t>Hora docente Tiempo completo Básico ESPECIALISTA</t>
  </si>
  <si>
    <t>Hora docente Tiempo completo Básico MAGISTER</t>
  </si>
  <si>
    <t>Hora docente Tiempo completo Básico DOCTOR</t>
  </si>
  <si>
    <t>Hora docente Tiempo completo Auxiliar  PROFESIONAL</t>
  </si>
  <si>
    <t>Hora docente Tiempo completo Auxliar ESPECIALISTA</t>
  </si>
  <si>
    <t>Hora docente Tiempo completo Auxliar MAGISTER</t>
  </si>
  <si>
    <t>Hora docente Tiempo completo Auxiliar  DOCTOR</t>
  </si>
  <si>
    <t>Hora docente Tiempo completo Asistente ESPECIALISTA</t>
  </si>
  <si>
    <t>Hora docente Tiempo completo Asistente  MAGISTER</t>
  </si>
  <si>
    <t>Hora docente Tiempo completo Asistente  DOCTOR</t>
  </si>
  <si>
    <t>Hora docente Tiempo completo Asociado MAGISTER</t>
  </si>
  <si>
    <t>Hora docente Tiempo completo Asociado DOCTOR</t>
  </si>
  <si>
    <t>Hora docente Tiempo completo Titular  DOCTOR</t>
  </si>
  <si>
    <t>Hora docente Tiempo completo con formación única de TECNOLOGO</t>
  </si>
  <si>
    <t xml:space="preserve">Hora cátedra nivel único PROFESIONAL      </t>
  </si>
  <si>
    <t xml:space="preserve">Hora cátedra nivel único ESPECIALISTA      </t>
  </si>
  <si>
    <t xml:space="preserve">Hora cátedra nivel único MAGISTER             </t>
  </si>
  <si>
    <t xml:space="preserve">Hora cátedra nivel único DOCTOR              </t>
  </si>
  <si>
    <t>Hora inducción docente</t>
  </si>
  <si>
    <t>Doce horas  tiempo completo, según escalafón docente</t>
  </si>
  <si>
    <t>Hora supletorio, habilitación y validación</t>
  </si>
  <si>
    <t xml:space="preserve">                                                          Dos horas por asignatura  tiempo completo según escalafón docente</t>
  </si>
  <si>
    <t>Asesor Trabajo  de grado</t>
  </si>
  <si>
    <t>Jurado de trabajos de grado</t>
  </si>
  <si>
    <t>Preparatorios escritos</t>
  </si>
  <si>
    <t>Se reconoce 4 horas cátedra por preparatorio por cada diez estudiantes y proporcional por fracción, (máximo 30 estudiantes), conforme al nivel único y escalafón establecido. Aplica para docentes internos y externos.</t>
  </si>
  <si>
    <t>Preparatorios verbales</t>
  </si>
  <si>
    <t>Dos horas cátedra según nivel de formación profesional y media hora adicional por  estudiante. Máximo 10 estudiantes.</t>
  </si>
  <si>
    <t xml:space="preserve">Honorario Docente, interno o externo por prestación de servicio.  </t>
  </si>
  <si>
    <t>Para el trabajo y desarrollo humano</t>
  </si>
  <si>
    <t>Educación continuada y diplomados: Profesional</t>
  </si>
  <si>
    <t>Educación continuada y diplomados: Especialista</t>
  </si>
  <si>
    <t>Educación continuada y diplomados: Magister</t>
  </si>
  <si>
    <t>Educación continuada y diplomados: Doctor</t>
  </si>
  <si>
    <t>Programa de Postgrado: Profesional</t>
  </si>
  <si>
    <t>Programa de Postgrado: Especialista</t>
  </si>
  <si>
    <t>Programa de Postgrado: Magister</t>
  </si>
  <si>
    <t>Programa de Postgrado: Doctor</t>
  </si>
  <si>
    <t>Docentes visitantes u ocasionales</t>
  </si>
  <si>
    <t>DE:</t>
  </si>
  <si>
    <t>Según tarifa del convenio o presupuesto específico</t>
  </si>
  <si>
    <t>A:</t>
  </si>
  <si>
    <t>Apoyo a Estudiantes en Prácticas Académicas</t>
  </si>
  <si>
    <t xml:space="preserve">Visitas a ciudades tipo I </t>
  </si>
  <si>
    <t>Hasta 51.600</t>
  </si>
  <si>
    <t>Visitas a ciudades tipo II</t>
  </si>
  <si>
    <t>Hasta 46.400</t>
  </si>
  <si>
    <t>Visitas a ciudades tipo III</t>
  </si>
  <si>
    <t>Hasta 30.900</t>
  </si>
  <si>
    <t>Otros por contratación</t>
  </si>
  <si>
    <t>Suministro Refrigerio sencillo</t>
  </si>
  <si>
    <t>Especial $4.500</t>
  </si>
  <si>
    <t>Traducción  de textos</t>
  </si>
  <si>
    <t>Dependiendo de la complejidad del documento y los requerimientos de los traductores, el valor oscilará entre $10.850 y $16.250 hoja, arial tamaño 12. Para traducciones internas se requerirá la disponibilidad presupuestal, liquidada con base en el número de horas requeridas, categoria de contrato del docentes o docentes que efectuarán el trabajo y disponibilidad de tiempo.</t>
  </si>
  <si>
    <t>* Sólo aplica para Estudiantes y entidades Gorettianas</t>
  </si>
  <si>
    <t xml:space="preserve">    NA: No aplica</t>
  </si>
  <si>
    <t>Fr. Próspero Arciniegas Zaldua OFM Cap.</t>
  </si>
  <si>
    <t>Rector</t>
  </si>
  <si>
    <t>M.T Profesional</t>
  </si>
  <si>
    <t>M.T Especialista</t>
  </si>
  <si>
    <t>M.T Magister</t>
  </si>
  <si>
    <t>M.T Doctor</t>
  </si>
  <si>
    <t>Docentes Tiempo Completo</t>
  </si>
  <si>
    <t>Servicios Personales con cargo a la Nómina de la Institución</t>
  </si>
  <si>
    <t>Diversos</t>
  </si>
  <si>
    <t>Publicidad</t>
  </si>
  <si>
    <t>ANEXO # Docentes Tiempo Completo</t>
  </si>
  <si>
    <t>ANEXO # Docentes Medio Tiempo</t>
  </si>
  <si>
    <t xml:space="preserve">Estudio de radio y televisión Una hora sin auxiliar </t>
  </si>
  <si>
    <t>Coliseo Con amplificación, video proyector y sillas ( valor hora)</t>
  </si>
  <si>
    <t xml:space="preserve">Sala de Gimnasia Maquinas, spining y colchonetas, valor hora </t>
  </si>
  <si>
    <t>Otros espacios</t>
  </si>
  <si>
    <t>Descuento por horas</t>
  </si>
  <si>
    <t>Sala de Gimnasia Colchonetas valor diario individual</t>
  </si>
  <si>
    <t>SUBTOTAL ALQUILER DE INSTALACIONES Y EQUIPOS</t>
  </si>
  <si>
    <t>TOTAL SERVICIOS PERSONALES  15 + 22</t>
  </si>
  <si>
    <t>SUBTOTAL Item 2.3 (Sume Renglones 25 a 32)</t>
  </si>
  <si>
    <t>SUBTOTAL ITEM 2.4. (SUME RENGLONES 35 + 36)</t>
  </si>
  <si>
    <t>TOTAL SERVICIOS PERSONALES Y GENERALES (23+ 33 + 37 )</t>
  </si>
  <si>
    <r>
      <t xml:space="preserve">IMPREVISTOS Renglones </t>
    </r>
    <r>
      <rPr>
        <b/>
        <sz val="9"/>
        <rFont val="Times New Roman"/>
        <family val="1"/>
      </rPr>
      <t xml:space="preserve">[(38)(5/100)] </t>
    </r>
  </si>
  <si>
    <t>TOTAL GASTOS (SUME RENGLONES 38 + 39)</t>
  </si>
  <si>
    <t>Corresponde a los costos en que incurre la Institución por la promoción y divulgación de eventos académicos, deportivos y culturales de carácter Institucional, por medios masivos de comunicación como prensa, revistas, radio y televisión. Se incluye el costo por pautas publicitarias, impresión de plegables, afiches, pasacalles, flayers, pendones, y folletos, entre otros.</t>
  </si>
  <si>
    <t>CÓDIGO PDI</t>
  </si>
  <si>
    <t>UNIDAD</t>
  </si>
  <si>
    <t>Externos</t>
  </si>
  <si>
    <t>Cantidad</t>
  </si>
  <si>
    <t>ALQUILER DE INSTALACIONES Y EQUIPOS</t>
  </si>
  <si>
    <t>Auditorio y espacios diferentes a Aulas Edificio San Francisco</t>
  </si>
  <si>
    <t>Otros Espacios Institucionales</t>
  </si>
  <si>
    <t>Servicio adicional de parqueadero para 33 carros Media Jornada</t>
  </si>
  <si>
    <t>Servicio adicional de parqueadero para 33 carros Jornada Completa</t>
  </si>
  <si>
    <t xml:space="preserve">Aulas sin equipos audiovisuales Edificio San Francisco </t>
  </si>
  <si>
    <t xml:space="preserve">Aulas con equipos audiovisuales Edificio San Francisco </t>
  </si>
  <si>
    <t>N/A</t>
  </si>
  <si>
    <t>UNIVERSIDAD CESMAG</t>
  </si>
  <si>
    <t>TIPO</t>
  </si>
  <si>
    <t>RELACION DE PROGRAMAS Y DEPENDENCIAS DE LA UNIVERSIDAD</t>
  </si>
  <si>
    <t>C.C.</t>
  </si>
  <si>
    <t>SUB.C.C.</t>
  </si>
  <si>
    <t>DESCRIPCION</t>
  </si>
  <si>
    <t xml:space="preserve"> RECTORIA </t>
  </si>
  <si>
    <t xml:space="preserve"> PLANEACIÓN </t>
  </si>
  <si>
    <t xml:space="preserve"> OFICINA DE GESTION Y ASEGURAMIENTO DE LA CALIDAD </t>
  </si>
  <si>
    <t xml:space="preserve"> SECRETARÍA GENERAL </t>
  </si>
  <si>
    <t xml:space="preserve"> DIRECCIÓN JURÍDICA </t>
  </si>
  <si>
    <t xml:space="preserve"> ARCHIVO Y CORRESPONDENCIA </t>
  </si>
  <si>
    <t xml:space="preserve"> REGISTRO Y CONTROL ACADEMICO </t>
  </si>
  <si>
    <t xml:space="preserve"> GERENCIA DEL CAMPUS </t>
  </si>
  <si>
    <t xml:space="preserve"> AUDITORIA INTERNA </t>
  </si>
  <si>
    <t xml:space="preserve"> JEFATURA DE GESTION HUMANA </t>
  </si>
  <si>
    <t xml:space="preserve"> UNIDAD DE PROYECTOS Y CONVENIOS </t>
  </si>
  <si>
    <t xml:space="preserve"> JEFATURA DE TESORERIA Y PAGADURIA </t>
  </si>
  <si>
    <t xml:space="preserve"> JEFATURA DE COMPRAS Y SUMINISTROS </t>
  </si>
  <si>
    <t xml:space="preserve"> JEFATURA DE CREDITO, CARTERA Y COBRANZAS </t>
  </si>
  <si>
    <t xml:space="preserve"> PRESUPUESTO </t>
  </si>
  <si>
    <t xml:space="preserve"> JEFATURA DE CONTABILIDAD </t>
  </si>
  <si>
    <t xml:space="preserve"> JEFATURA DE COMUNICACIONES, MERCADEO Y PUBLICIDAD </t>
  </si>
  <si>
    <t xml:space="preserve"> DESARROLLO DE SOFTWARE </t>
  </si>
  <si>
    <t xml:space="preserve"> JEFATURA DE SISTEMAS E INTERNET </t>
  </si>
  <si>
    <t xml:space="preserve"> REDES Y SEGURIDAD INFORMATICA </t>
  </si>
  <si>
    <t xml:space="preserve"> INCLUSIÓN Y DIVERSIDAD </t>
  </si>
  <si>
    <t xml:space="preserve"> IPS PSICOLOGICA </t>
  </si>
  <si>
    <t xml:space="preserve"> DEPORTE FORMATIVO </t>
  </si>
  <si>
    <t xml:space="preserve"> DEPORTE COMPETITIVO </t>
  </si>
  <si>
    <t xml:space="preserve"> AGRUPACIONES ARTISTICAS </t>
  </si>
  <si>
    <t xml:space="preserve"> ESCUELA DE HUMANIDADES </t>
  </si>
  <si>
    <t xml:space="preserve"> ESCUELA DE PAZ Y FRATERNIDAD </t>
  </si>
  <si>
    <t xml:space="preserve"> ESCUELA FRANCISCANA DE ESPIRITUALIDAD </t>
  </si>
  <si>
    <t xml:space="preserve"> CAPELLANÍA Y ACOMPAÑAMIENTO ESPIRITUAL </t>
  </si>
  <si>
    <t xml:space="preserve"> GESTION SOCIAL </t>
  </si>
  <si>
    <t xml:space="preserve"> PRACTICA INSTITUCIONAL </t>
  </si>
  <si>
    <t xml:space="preserve"> VICERRECTORIA DE  INVESTIGACIONES </t>
  </si>
  <si>
    <t xml:space="preserve"> G.I LENGUA COMUNICACION Y RESPONSA SOCIALGILENCORS </t>
  </si>
  <si>
    <t xml:space="preserve"> G.I. ANSELMO CARADONNA DEFACULTAD DE EDUCACION </t>
  </si>
  <si>
    <t xml:space="preserve"> G.I. MARIA MONTESORI DE EDUCACION PRE-ESCOLAR </t>
  </si>
  <si>
    <t xml:space="preserve"> G.I. GUILLERMO DE CASTELLANA DE ED.FISICA </t>
  </si>
  <si>
    <t xml:space="preserve"> G.I. OLIMPIA DE ED.FISICA </t>
  </si>
  <si>
    <t xml:space="preserve"> G. DE I. HUELLAS PEDAGÓGICAS (PRE-ESCOLAR)  </t>
  </si>
  <si>
    <t xml:space="preserve"> G.I. GRUPO DE INVESTIGACION COOPER </t>
  </si>
  <si>
    <t xml:space="preserve"> G.I MODELOS PEDAGOGICOS </t>
  </si>
  <si>
    <t xml:space="preserve"> SEMILLEROS DE INVESTIGACION </t>
  </si>
  <si>
    <t xml:space="preserve"> EDITORIAL INSTITUCIONAL </t>
  </si>
  <si>
    <t xml:space="preserve"> G.I. SAN FRANCISCO DE ASIS DE ADMINISTRAC.FINANCI </t>
  </si>
  <si>
    <t xml:space="preserve"> G.I SINERGIA </t>
  </si>
  <si>
    <t xml:space="preserve"> G.I GESTION Y COMPETITIVIDAD </t>
  </si>
  <si>
    <t xml:space="preserve"> G.I. REMIGIO FIORE FORTE-ZA DE TEC SISTEMAS </t>
  </si>
  <si>
    <t xml:space="preserve"> G.I. TECNOFILIA </t>
  </si>
  <si>
    <t xml:space="preserve"> G.I ENERGIAS RENOVABLES RAMPA </t>
  </si>
  <si>
    <t xml:space="preserve"> G.I. ALARIFE DE ARQUITECTURA </t>
  </si>
  <si>
    <t xml:space="preserve"> G.I. TIPOS MOVILES </t>
  </si>
  <si>
    <t xml:space="preserve"> GRUPO DE INVESTIGACION ATURES </t>
  </si>
  <si>
    <t xml:space="preserve"> G.I. TECNO- TECTURA TECNOLOGIA INFORMACION Y ARQUI </t>
  </si>
  <si>
    <t xml:space="preserve"> G.I. INTIRUMI PIEDRA DEL SOL </t>
  </si>
  <si>
    <t xml:space="preserve"> G.I. IDEOGRAMA COLECTIVO </t>
  </si>
  <si>
    <t xml:space="preserve"> G.I. TARPUQ KAUSAY </t>
  </si>
  <si>
    <t xml:space="preserve"> G.I.HENRY DUNANT    (PROG.DERECHO) </t>
  </si>
  <si>
    <t xml:space="preserve"> G.I PERSPECTIVAS PSICOLOGICAS </t>
  </si>
  <si>
    <t xml:space="preserve"> G.I. IURIS COEPTUM </t>
  </si>
  <si>
    <t xml:space="preserve"> G.I DERECHO INNOVACIÓN Y DLLO SOCIAL DIDS </t>
  </si>
  <si>
    <t xml:space="preserve"> G.I. LUMEN LUZ DEL CENTRO DE HUMANIDADES </t>
  </si>
  <si>
    <t xml:space="preserve"> G.I. MATERIALES FUNCIONALES NANOESTRUCTURADOS </t>
  </si>
  <si>
    <t xml:space="preserve"> PROGRAMA PSICOLOGÍA </t>
  </si>
  <si>
    <t xml:space="preserve"> CENTRO DE CONCILIACION Y CONSULTORIOS JURIDICOS </t>
  </si>
  <si>
    <t xml:space="preserve"> CENTRO DE INVESTIGACION SOCIOJURIDICO </t>
  </si>
  <si>
    <t xml:space="preserve"> PROGRAMA DE DERECHO </t>
  </si>
  <si>
    <t xml:space="preserve"> PROGRAMA DE DISEÑO GRAFICO </t>
  </si>
  <si>
    <t xml:space="preserve"> PROGRAMA DE ARQUITECTURA </t>
  </si>
  <si>
    <t xml:space="preserve"> PROGRAMA DE INGENIERIA ELECTRONICA </t>
  </si>
  <si>
    <t xml:space="preserve"> PROGRAMA DE INGENIERIA DE SISTEMAS </t>
  </si>
  <si>
    <t xml:space="preserve"> PROGRAMA DE TECNOLOGÍA EN CONTABILIDAD Y FINANZAS </t>
  </si>
  <si>
    <t xml:space="preserve"> JEFATURA DE BIBLIOTECA </t>
  </si>
  <si>
    <t xml:space="preserve"> CENTRO DE RECURSOS EDUCATIVOS </t>
  </si>
  <si>
    <t xml:space="preserve"> EGRESADOS </t>
  </si>
  <si>
    <t xml:space="preserve"> INTERNACIONALIZACION </t>
  </si>
  <si>
    <t xml:space="preserve"> PROGRAMA DE TECNOLOGÍA EN GESTION FINANCIERA </t>
  </si>
  <si>
    <t xml:space="preserve"> PROGRAMA DE ADMINISTRACION DE EMPRESAS </t>
  </si>
  <si>
    <t xml:space="preserve"> PROGRAMA DE CONTADURIA PUBLICA</t>
  </si>
  <si>
    <t xml:space="preserve"> PROGRAMA DE LICENCIATURA EN QUIMICA</t>
  </si>
  <si>
    <t xml:space="preserve"> PROGRAMA DE LICENCIATURA EN EDUCACION FISICA </t>
  </si>
  <si>
    <t xml:space="preserve"> PROGRAMA DE LICENCIATURA EN EDUCACIÓN INFANTIL </t>
  </si>
  <si>
    <t xml:space="preserve"> ACOMPAÑAMIENTO INTEGRAL</t>
  </si>
  <si>
    <t xml:space="preserve"> CENTRO DE ESTIMULACIÓN INFANTIL </t>
  </si>
  <si>
    <t xml:space="preserve"> TRABAJO SOCIAL</t>
  </si>
  <si>
    <t xml:space="preserve">TIPIFICACION DE PROYECTOS </t>
  </si>
  <si>
    <t>Son acciones que se desarrollan por una persona o un grupo de personas de manera cotidiana, como parte de una función asignada en cumplimiento del quehacer académico.</t>
  </si>
  <si>
    <t>EVENTO</t>
  </si>
  <si>
    <t>Es un suceso programado, con la utilización de recursos humanos, materiales, técnicos, y financieros con un costo determinado, que queda a cargo de una unidad académica o administrativa. Los eventos pueden ser: académicos, culturales, deportivos, recreativos e institucionales, loso cuales requieren preparación y deben comunicarse oportunamente a la sociedad o al sector al que se dirigen.</t>
  </si>
  <si>
    <t>Estrategias: conjunto de acciones encaminadas a lograr el cumplimiento de indicadores institucionales</t>
  </si>
  <si>
    <t>Son los proyectros en los que siempre convergen las tres funciones sustantivas: docencia, investigación y proyección social.</t>
  </si>
  <si>
    <t xml:space="preserve">
Proyecto de inversión, es una propuesta de acción que a partir de gastos de activos líquidos se tiene el propósito de generar u obtener beneficios económicos.</t>
  </si>
  <si>
    <t xml:space="preserve">
Conjunto de actividades que tiene como propósito, ampliar la capacidad de la prestación del servicio de educación superior, y que contribuye de una manera particularmente significativa para el logro de los objetivos institucionales, dentro del marco de su propia estrategia.
</t>
  </si>
  <si>
    <t>GOBERNANZA</t>
  </si>
  <si>
    <t>EVANGELIZACIÓN DE LAS CULTURAS</t>
  </si>
  <si>
    <t>DESARROLLO INSTITUCIONAL</t>
  </si>
  <si>
    <t>DOCENCIA</t>
  </si>
  <si>
    <t>INVESTIGACIÓN</t>
  </si>
  <si>
    <t>PROYECCIÓN SOCIAL</t>
  </si>
  <si>
    <t>BIENESTAR UNIVERSITARIO</t>
  </si>
  <si>
    <t>PROCESOS ADMINISTRATIVOS DE APOYO</t>
  </si>
  <si>
    <t>Cursos
Elección de representantes a los cuerpos colegiados
Seguimiento al normograma institucional
Auditorías internas de calidad
Control de salidas no conformes</t>
  </si>
  <si>
    <t xml:space="preserve">Retiros espirituales
Convivencias
Encuentros religiosos
Encuentros espirituales y convivencias
Misiones
Diálogos
Laboratorios de Paz
</t>
  </si>
  <si>
    <t>Muestras Académicas
Seminarios
Encuentros
Actividades didácticas (celebración día del idioma)
Talleres
Inducción a estudiantes
Planeación académica
Inducción y planeación curricular
Salidas no conformes
Desarrollo de convenios
Pasantías</t>
  </si>
  <si>
    <t>Convocatorias de investigación
Desarrollo de convenios</t>
  </si>
  <si>
    <t xml:space="preserve">Brigadas
Encuentros
Actividades lúdicas
Campañas
Desarrollo de convenios
</t>
  </si>
  <si>
    <t>Conformación y participación en encuentros, campeonatos … deportivo
Conformación y participación de encuentros culturales y artísticos
Bienvenida a estudiantes
Conmemoraciones
Mentorías
Asesorías
Tutorías
Orientación vocacional
Caracterización de estudiantes</t>
  </si>
  <si>
    <t>Actividades de SST
Encuentros
Actividades lúdicas para funcionarios
Convocatorias para personal
Promoción y prevención médica,  odontológica y salud mental</t>
  </si>
  <si>
    <t>Cursos
Diplomados</t>
  </si>
  <si>
    <t xml:space="preserve">Cursos
Diplomados
Círculos literarios y culturales
Espacios de diálogo intercultural 
</t>
  </si>
  <si>
    <t xml:space="preserve">Seminarios
Talleres
Diplomados
Foros
Congresos
Cursos especiales
Cursos cortos
Acompañamiento académico disciplinar
Acompañamiento para la graduación exitosa
Desarrollo de convenios
</t>
  </si>
  <si>
    <t>Publicación de productos
Ponencias
Convocatorias externas de investigación
Publicación de productos de investigación
Desarrollo de convenios</t>
  </si>
  <si>
    <t>Seminarios
Talleres
Diplomados
Cursos especiales
Cursos cortos
Prácticas formativas
Desarrollo de convenios</t>
  </si>
  <si>
    <t xml:space="preserve">
Festival de Danzas
Encuentros deportivos</t>
  </si>
  <si>
    <t>Seminarios
Talleres
Diplomados
Foros
Congresos
Cursos especiales
Cursos cortos
Eventos deportivos</t>
  </si>
  <si>
    <t>Actualización PEI
Formulación de planes de gestión
Formulación de planes de acción</t>
  </si>
  <si>
    <t>Integración de la escuela de humanidades en los espacios académicos de los programas</t>
  </si>
  <si>
    <t>Asesorías recibidas</t>
  </si>
  <si>
    <t>Actualización PEP, PED
Estudio del arte de los programas académicos
Implementación de TIC en los espacios académicos
Integración de las ciencias básicas en los microcurrículos de los programas
Gestión de la internacionalización
Formación, capacitación y actualización docente
Movilidad Estudiantil
Movilidad Docente</t>
  </si>
  <si>
    <t>Gestión de planes de mejoramiento en investigación
Evaluación del impacto de la innovación</t>
  </si>
  <si>
    <t>Encuentros con egresados
Bolsa de empleo</t>
  </si>
  <si>
    <t>Acciones de acompañamiento para la permanencia de estudiantes</t>
  </si>
  <si>
    <t>Autoevaluación de programas
Autoevalaución institucional
Plan de compras
Plan de comunicaciones</t>
  </si>
  <si>
    <t>Diplomados</t>
  </si>
  <si>
    <t>Proyectos institucionales
Proyectos sociales institucionales</t>
  </si>
  <si>
    <t>Apertura de programas nuevos</t>
  </si>
  <si>
    <t>Proyectos sociales de programa</t>
  </si>
  <si>
    <t>Desarrollo de la investigación formativa
Integración de la docencia, la investigación y la proyección social</t>
  </si>
  <si>
    <t>Educación continua</t>
  </si>
  <si>
    <t>Implementación de sistemas
Modernización de la estructura orgánica
Certificaciones por organismos nacionales e internacionales
Acreditación de alta calidad de programas 
Acreditación de alta calidad institucional
Estudios del contexto
Estudios de la satisfacción del cliente</t>
  </si>
  <si>
    <t xml:space="preserve">Programas para ETDH (Educación para el trabajo y desarrollo humano)
Programas de Educación continuada
Desarrollo, dotación y mejoramiento de la planta física
Desarrollo, dotación y mejoramiento de la infraestructura tecnológica
Desarrollo, dotación y mejoramiento de bienes muebles
Programas virtuales
Unidad de Correspondencia - Ventanilla Única
Extensión de programas académicos
</t>
  </si>
  <si>
    <t>Renovación de Registro Calificado
Proyecto Pedagógico Interdisciplinario
Flexibilidad curricular
Formación
Programas para ETDH (Educación para el trabajo y desarrollo humano)
Integración de la docencia, la investigación y la proyección social
Gestión de la internacionalización
Acreditación de alta calidad de programas 
Construcción y actualización del Proyecto Educativo de Posgrados
Proyectos de Educación no Formal
Estudios de impacto de los egresados
Desarrollo de la educación virtual
Estudio de relevancia académica y pertinencia social de los programas
Diversificación de la oferta académica</t>
  </si>
  <si>
    <t xml:space="preserve">Desarrollo grupos de investigación
Productos de investigación
Formación docente en investigación
Investigación científica
Integración de la docencia, la investigación y la proyección social
</t>
  </si>
  <si>
    <t>Integración de la docencia, la investigación y la proyección social
Estudios de egresados</t>
  </si>
  <si>
    <t>Proyectos para fortalecer la permanencia de estudiantes</t>
  </si>
  <si>
    <t>NOMBRE:</t>
  </si>
  <si>
    <t>Centro de Costo Contabilidad</t>
  </si>
  <si>
    <t>EJES</t>
  </si>
  <si>
    <t>Reto</t>
  </si>
  <si>
    <t>Código Objetivo</t>
  </si>
  <si>
    <t>Objetivo Estratégico</t>
  </si>
  <si>
    <t>Código Proyecto</t>
  </si>
  <si>
    <t>Proyecto</t>
  </si>
  <si>
    <t>Proceso Responsable</t>
  </si>
  <si>
    <t>Meta</t>
  </si>
  <si>
    <t>Indicador</t>
  </si>
  <si>
    <t>Numerador</t>
  </si>
  <si>
    <t>Denominador</t>
  </si>
  <si>
    <t>Resultado</t>
  </si>
  <si>
    <t>Meta 2018</t>
  </si>
  <si>
    <t>Porcentaje de Avance</t>
  </si>
  <si>
    <t>AUTOEVALUACIÓN Y ACREDITACIÓN</t>
  </si>
  <si>
    <t>RI-2</t>
  </si>
  <si>
    <t>OE-1</t>
  </si>
  <si>
    <t>Articular un modelo de autoevaluación que permitan el desarrollo institución desde el concepto de la mejora continua en lo referente a calidad académica.</t>
  </si>
  <si>
    <t>RI-2-3</t>
  </si>
  <si>
    <t>Gestión de la Calidad</t>
  </si>
  <si>
    <t>No aplica para el periodo</t>
  </si>
  <si>
    <t>A 2021 tener acreditado un programa de pregrado y/o posgrado por cada Facultad.</t>
  </si>
  <si>
    <t>Número de programas de pregrado y posgrado acreditados en alta calidad.</t>
  </si>
  <si>
    <t>RI-4</t>
  </si>
  <si>
    <t>OE-2</t>
  </si>
  <si>
    <t>Ofrecer programas académicos pertinentes y con altos niveles de calidad.</t>
  </si>
  <si>
    <t>RI-4-1</t>
  </si>
  <si>
    <t>Actualización de los PEP en coherencia con el PEI, Misión y Visión Institucionales y carácter institucional.</t>
  </si>
  <si>
    <t>Gestión de la Docencia</t>
  </si>
  <si>
    <t>100% de los PEP actualizados y socializados con la comunidad académica. (Base Año 2016-II).</t>
  </si>
  <si>
    <t>Números de PEP actualizados y socializados / 
Número de programas activos</t>
  </si>
  <si>
    <t>OE-4</t>
  </si>
  <si>
    <t>Actualizar la oferta de programas académicos en pregrado y posgrado para responder con pertinencia a las necesidades de la región y las tendencias del sector educativo.</t>
  </si>
  <si>
    <t>RI-4-7</t>
  </si>
  <si>
    <t>Identificar el estado de arte de las profesiones y programas académicos a nivel nacional, local e internacional.</t>
  </si>
  <si>
    <t>100% programas académicos con estudio del estado del arte de su profesión a nivel local, nacional e internacional.</t>
  </si>
  <si>
    <t>Número de programas académicos con estudio de estado del arte de su profesión a nivel local y nacional/
Número total de programas activos</t>
  </si>
  <si>
    <t>RI-6</t>
  </si>
  <si>
    <t>RI-6-27</t>
  </si>
  <si>
    <t>Obtener el registro calificado de nuevos programas académicos en la sede principal y extensiones, y renovar los registros calificados de los programas existentes.</t>
  </si>
  <si>
    <t>Incrementar progresivamente la oferta académica a nivel de pregrado acorde con las capacidades institucionales</t>
  </si>
  <si>
    <t>Número de programas activos</t>
  </si>
  <si>
    <t>RI-6-28</t>
  </si>
  <si>
    <t>Crear y ofrecer programas de postgrado a nivel de especializaciones propias y maestrías en convenio.</t>
  </si>
  <si>
    <t>Incrementar progresivamente la oferta académica a nivel de  posgrado acorde con las capacidades institucionales.</t>
  </si>
  <si>
    <t>Número total de Posgrados propios</t>
  </si>
  <si>
    <t>RI-6-29</t>
  </si>
  <si>
    <t>Implementar las tecnologías de información y comunicación en los programas académicos y de extensión que ofrece la IU CESMAG, como apoyo a la presencialidad en el proceso enseñanza – aprendizaje.</t>
  </si>
  <si>
    <t>Incrementar anualmente en un 10% el número de profesores que integran apoyo virtual en sus espacios académicos. (Base Año 2017)</t>
  </si>
  <si>
    <t>Número de profesores (acumulado) que han integrado apoyo virtual en el desarrollo de sus espacios académico/
Número total de profesores</t>
  </si>
  <si>
    <t>OE-5</t>
  </si>
  <si>
    <t>Consolidar del modelo pedagógico y la articulación exitosa de estrategias interdisplinares,  prácticas didacticas innovadoras y la evaluación periódica del equipo docente.</t>
  </si>
  <si>
    <t>RI-4-2</t>
  </si>
  <si>
    <t>Consolidar la articulación del Proyecto Pedagógico Interdisciplinario que posibilite su aplicación desde el PEP hasta el impacto en los microcurrículos de los programas.</t>
  </si>
  <si>
    <t>80% de PEP actualizados con estrategias para la implementación del Proyecto Pedagógico Interdisciplinario de acuerdo a las particularidades del programa.</t>
  </si>
  <si>
    <t>Número de PEP con implementación del proyecto pedagógico interdisciplinario /
Número de programas activos</t>
  </si>
  <si>
    <t>RI-4-4</t>
  </si>
  <si>
    <t>Articular adecuadamente la departamentamentalización de las Ciencias Básicas y su impacto en los PEP y microcurrículos de los programas para beneficiar la flexibilidad curricular.</t>
  </si>
  <si>
    <t>100% de los PEP actualizados en los componentes de Ciencias Básicas con el enfoque de departamentalización.</t>
  </si>
  <si>
    <t>Número de PEP que están actualizados en el componente de Ciencias Básicas /
Número de programas activos</t>
  </si>
  <si>
    <t>RI-4-6</t>
  </si>
  <si>
    <t>Articulación del sistema de evaluación de desempeño docente con alcance a los conceptos de autoevaluación, coevaluación y heteroevaluación.</t>
  </si>
  <si>
    <t>Incrementar anualmente en un 1% el número de profesores TC con calificaciones promedio superiores a 4,0</t>
  </si>
  <si>
    <t>Número de docentes tiempo completo con calificación igual o superior a 4.0.  /
Número de docentes TC</t>
  </si>
  <si>
    <t>Pendiente informacion por parte Desatrollo Software</t>
  </si>
  <si>
    <t>OE-6</t>
  </si>
  <si>
    <t>Promover a los integrantes de la planta profesoral en las diferentes categorías del escalafón, mediante estrategias de permanencia, cualificación y actualización profesional y el manejo de segunda lengua.</t>
  </si>
  <si>
    <t>RI-4-5</t>
  </si>
  <si>
    <t>Fortalecimiento de las competencias académicas, profesionales, investigativas y de segunda lengua, de los profesores.</t>
  </si>
  <si>
    <t>Logran una movilidad anual del 10% de los profesores TC y MT hacia niveles superiores del escalafón.</t>
  </si>
  <si>
    <t>Número de docentes TC y MT promovidos en el año 2018 en los diferentes niveles de escalafón /
Número Total de Docentes TC y MT</t>
  </si>
  <si>
    <t>RI-4-10</t>
  </si>
  <si>
    <t>Mejoramiento de la formación de profesores a nivel de maestrías y doctorados de los profesores.</t>
  </si>
  <si>
    <t>Lograr un 70% de la comunidad de profesores (TC y MT) con nivel de formación en grados de maestría y doctorado.</t>
  </si>
  <si>
    <t>Número de profesores (TC y MT) con nivel de formación en grados de maestría y doctorado./ 
Total de Profesores TC y MT</t>
  </si>
  <si>
    <t>RI-5</t>
  </si>
  <si>
    <t>OE-14</t>
  </si>
  <si>
    <t>Fomentar el mejoramiento continuo en la gestión de investigación.</t>
  </si>
  <si>
    <t>RI-5-9</t>
  </si>
  <si>
    <t>Gestionar la mejora continua de la investigación institucional en todos los programas académicos.</t>
  </si>
  <si>
    <t>Gestión de la Investigación</t>
  </si>
  <si>
    <t>100% de Planes de mejoramiento de los programas gestionados en lo aspectos correspondientes a la investigación.</t>
  </si>
  <si>
    <t>Número de planes de mejoramiento gestionados en los correspondiente a investigacion/
Número total de planes de mejoramiento con alcance a investigación</t>
  </si>
  <si>
    <t>OE-15</t>
  </si>
  <si>
    <t>Promover la investigación formativa en todos los programas con la participación activa de la comunidad académica.</t>
  </si>
  <si>
    <t>RI-5-13</t>
  </si>
  <si>
    <t>Fortalecer investigación formativa realizada en los semilleros de estudiantes investigadores.</t>
  </si>
  <si>
    <t>Incrementar anualmente en un 2% la participación de estudiantes en los semilleros de investigación.</t>
  </si>
  <si>
    <t>Número de participantes semilleros de investigación periodo P /
Número de participantes semilleros de investigación periodo P-1</t>
  </si>
  <si>
    <t>Ya envian informacion</t>
  </si>
  <si>
    <t>RI-5-14</t>
  </si>
  <si>
    <t>Impulsar el desarrollo de la investigación formativa con la participación de docentes y estudiantes, egresados, administrativos y sector externo.</t>
  </si>
  <si>
    <t>Incrementar anualmente en un 2% la participación de estudiantes y profesores en eventos e iniciativas que promuevan la investigación a nivel formativo.</t>
  </si>
  <si>
    <t>Número de participantes en eventos e iniciativas que promuevan la investigación a nivel formativo periodo P /
Número de participantes en eventos e iniciativas que promuevan la investigación a nivel formativo periodo P-1</t>
  </si>
  <si>
    <t>OE-16</t>
  </si>
  <si>
    <t>Promover la producción investigativa de calidad en los diferentes campos del saber complados por el Sistema de Investigaciones</t>
  </si>
  <si>
    <t>RI-5-8</t>
  </si>
  <si>
    <t>Crear y consolidar grupos de investigación de la Institución.</t>
  </si>
  <si>
    <t>Tener a 2021 el 80% de los grupos de investigación clasificados en SNCTI.</t>
  </si>
  <si>
    <t>Número de grupos de investigación clasificados /
Número de grupos de investigación de la Institución</t>
  </si>
  <si>
    <t>Proyecto OE-7 y RI-8-31</t>
  </si>
  <si>
    <t>RI-5-11</t>
  </si>
  <si>
    <t>Fortalecer los procesos de publicación de la producción investigativa de acuerdo a los criterios de evaluación del SNCTI.</t>
  </si>
  <si>
    <t>Alcanzar al 2021 una producción acumulada de 981 productos de investigación y desarrollo tecnológico:
• 209 Productos por año de formación de recurso humano para CTeI</t>
  </si>
  <si>
    <t>Número acumulado de productos por año de formación de recurso humano para CTeI</t>
  </si>
  <si>
    <t>RI-5-12</t>
  </si>
  <si>
    <t>Fortalecer la cultura investigativa en la comunidad académica.</t>
  </si>
  <si>
    <t>Incrementar anualmente en un 2% la participación de docentes, estudiantes, directivos, administrativos y egresados en iniciativas que promuevan la investigación científica.</t>
  </si>
  <si>
    <t>Número de participantes en iniciativas que promuevan la investigación científica periodo P /
Número de participantes en iniciativas que promuevan la investigación científica periodo P-1</t>
  </si>
  <si>
    <t>No se tiene información</t>
  </si>
  <si>
    <t>PROYECCIÓN SOCIAL Y EXTENSIÓN</t>
  </si>
  <si>
    <t>RI-7</t>
  </si>
  <si>
    <t>OE-17</t>
  </si>
  <si>
    <t>Desarrollar un portafolio de servicios de asesoría, consultoría, capacitación y desarrollo de proyectos de extensión al servicio de la comunidad académica y sector externo.</t>
  </si>
  <si>
    <t>RI-7-16</t>
  </si>
  <si>
    <t>Prestar servicios de asesoría, consultoría, capacitación formulación y desarrollo de propuestas, programas y proyectos, acordes a las diferentes disciplinas que ofrece la Institución tendientes a mejorar condiciones económicas, sociales culturales y ambientales con programas especiales y aplicación de TIC, y la interacción de los docentes y estudiantes de los diferentes programas académicos.</t>
  </si>
  <si>
    <t>Gestión de la Proyección Institucional</t>
  </si>
  <si>
    <t>Incrementar progresivamente la contribución al ingreso institucional desde los servicios de educación continua, convenios y extensión.</t>
  </si>
  <si>
    <t xml:space="preserve">Porcentaje de ingresos de servicios de educación continua, convenios y extensión P./
Porcentaje de ingresos de servicios  de educación continua, convenios y extensión.  P-1 </t>
  </si>
  <si>
    <t>RI-7-30</t>
  </si>
  <si>
    <t>Ofrecer y desarrollar programas de formación laboral o académica a la comunidad mediante el Instituto para el Trabajo y Desarrollo Humano de la Institución.</t>
  </si>
  <si>
    <t>Programas ofrecidos en modalidad ETDH (Eduación para al Trabajo y el Desarrollo Humano)</t>
  </si>
  <si>
    <t>Número de Programas ofrecidos en modalidad ETDH (Eduación para al Trabajo y el Desarrollo Humano)</t>
  </si>
  <si>
    <t>RI-11</t>
  </si>
  <si>
    <t>OE-18</t>
  </si>
  <si>
    <t>Fortalecer lazos de vinculación institucional con comunidades externas en el desarrollo de las funciones sustantivas y el desarrollo de tejido social en la región.</t>
  </si>
  <si>
    <t>RI-11-18</t>
  </si>
  <si>
    <t>Fortalecimiento del compromiso social, contribución activa y voluntaria al mejoramiento de la calidad de vida de las comunidades, generando espacios propicios para su desarrollo económico, social y ambiental.</t>
  </si>
  <si>
    <t>100% de programas con espacios académicos que articulen iniciativas de proyección e impacto social.</t>
  </si>
  <si>
    <t>Números de programas que  articulen  espacios academicos  de proyección e impacto social/
Número total de Programas activos</t>
  </si>
  <si>
    <t>OE-19</t>
  </si>
  <si>
    <t>Fortalecer lazos de vinculación institucional con los egresados en el desarrollo de las funciones sustantivas y fortalecimiento del bienestar institucional.</t>
  </si>
  <si>
    <t>RI-11-17</t>
  </si>
  <si>
    <t>Fortalecer la Asociación General de Egresados I.U. CESMAG para mantener vínculos académicos y sociales con los egresados posibilitando su sostenibilidad.</t>
  </si>
  <si>
    <t>Incrementar anualmente en un 10% la participación de egresados en la vida institucional con articulación de la ASEIUC. (Base 2016)</t>
  </si>
  <si>
    <t>Número de egresados participantes en actividades institucionales P./
Numero total de egresados P-1.</t>
  </si>
  <si>
    <t>RI-11-19</t>
  </si>
  <si>
    <t>Caracterización e impacto del egresado en el medio.</t>
  </si>
  <si>
    <t>Actualización periódica del estudio de caracterización e impacto de los egresados en el medio.</t>
  </si>
  <si>
    <t>Números programas con estudio actualizado de caracterización e impacto de los egresados en el medio P. /
Números programas activos</t>
  </si>
  <si>
    <t>RI-11-20</t>
  </si>
  <si>
    <t>Alistamiento y preparación para la empleabilidad y emprendimiento.</t>
  </si>
  <si>
    <t>Incrementar anualmente en un 5% la participación de estudiantes de últimos semestres y egresados en procesos de selección por Bolsa de Empleo y en actividades de orientación profesional y emprendimiento.</t>
  </si>
  <si>
    <t>Número de estudiantes de último semestre y egresados participaron en proceso de selección por Bolsa de Empleo P./
Número de estudiantes de último semestre y egresados participaron en proceso de selección por Bolsa de Empleo P-1.</t>
  </si>
  <si>
    <t>IDENTIDAD INSTITUCIONAL</t>
  </si>
  <si>
    <t>OE-9</t>
  </si>
  <si>
    <t>Articular la acción evangelizadora con las funciones sustantivas de la educación promoviendo la identidad franciscana y capuchina a través de espacios de reflexión y participación para contribuir al desarrollo humano de las personas que integran la comunidad académica.</t>
  </si>
  <si>
    <t>RI-11-36</t>
  </si>
  <si>
    <t>Implementar el sistema de evangelización para las culturas con cobertura a todos los estamentos de la comunidad académica bajo los preceptos de la espiritualidad fransicana y capuchina.</t>
  </si>
  <si>
    <t>Gestión para la Evangelización de las Culturas</t>
  </si>
  <si>
    <t>Incrementar un 10% la participación de la comunidad académica en los procesos y actividades de evangelización.</t>
  </si>
  <si>
    <t>Número de participantes en los procesos y actividades de evangelizaciòn periodo P /
Número de participantes en los procesos y actividades de evangelizaciòn periodo P-1</t>
  </si>
  <si>
    <t>RI-1</t>
  </si>
  <si>
    <t>OE-10</t>
  </si>
  <si>
    <t>Fortalecer la gestión de las comunicaciones en todos los niveles de la Institución para un adecuado manejo reputacional y preparar la transición de marca en el reconocimiento como universidad.</t>
  </si>
  <si>
    <t>RI-1-21</t>
  </si>
  <si>
    <t>Unificar el departamento de Comunicaciones, publicidad y mercadeo como responsable de la gestión integral de las comunicaciones en cumplimiento de las políticas institucionales.</t>
  </si>
  <si>
    <t>Gestión de la Comunicación</t>
  </si>
  <si>
    <t>Ejecución del 100% de estrategias comunicacionales orientadas a gestionar la reputación de la Institutición con todos los grupos de interés.</t>
  </si>
  <si>
    <t>Número de estrategias ejecutadas a gestionar la reputación de la Institución /
Número de estrategias planteadas</t>
  </si>
  <si>
    <t>INTERNACIONALIZACIÓN</t>
  </si>
  <si>
    <t>RI-12</t>
  </si>
  <si>
    <t>OE-13</t>
  </si>
  <si>
    <t>Fortalecer la internacionalización en las funciones sustantivas para promover la inserción y visibilidad de la institución en contextos internacionales.</t>
  </si>
  <si>
    <t>RI-12-15</t>
  </si>
  <si>
    <t>Fortalecimiento de la internacionalización para promover la visibilidad nacional e internacional desde la participación dinámicae en procesos nacionales e internacionales de intercambio de conocimiento, experiencias prácticas y la formación cultural.</t>
  </si>
  <si>
    <t>100% de programas con resultados visibles de internacionalización.</t>
  </si>
  <si>
    <t>Número de programas con resultados visibles de internacionalización/
Número total de Programas activos.</t>
  </si>
  <si>
    <t>Proyecto OE-16 y RI-5-11</t>
  </si>
  <si>
    <t>INFRAESTRUCTURA FÍSICA Y TECNOLÓGICA</t>
  </si>
  <si>
    <t>RI-9</t>
  </si>
  <si>
    <t>OE-11</t>
  </si>
  <si>
    <t>Gestionar la infraestructura física para proporcionar a la comunidad académica,ambientes educativos adecuados y suficientes.</t>
  </si>
  <si>
    <t>RI-9-32</t>
  </si>
  <si>
    <t>Desarrollar y dotar la planta física para ampliar la capacidad de espacios físicos al servicio de la comunidad académica</t>
  </si>
  <si>
    <t>Gestión de Bienes y Servicios</t>
  </si>
  <si>
    <t>Ampliar la capacidad fìsica de la Institución en un 50% para el año 2021.</t>
  </si>
  <si>
    <t>Capacidad física en m2 periodo P /
Capacidad física en m2 periodo P-1</t>
  </si>
  <si>
    <t>OE-12</t>
  </si>
  <si>
    <t>Gestionar la infraestructura tecnológica para garantizar una conectividad eficiente y segura que soporte los procesos académicos, administrativos y de apoyo.</t>
  </si>
  <si>
    <t>RI-9-33</t>
  </si>
  <si>
    <t>Mejorar la cobertura de conectividad  para el fortalecimiento de los procesos académicos y administrativos.</t>
  </si>
  <si>
    <t>Gestión de la Tecnología</t>
  </si>
  <si>
    <t>Ampliar progresivamente la cobertura de cubrimiento de la Sede Principal con conexión inalámbrica.</t>
  </si>
  <si>
    <t>Cubrimiento de red con conexión inalambrica.
Sede Principal de la Institución.</t>
  </si>
  <si>
    <t>RI-9-34</t>
  </si>
  <si>
    <t>Mejorar las prestaciones técnicas y de cobertura a nivel de software, hardware y conectividad necesarios para el fortalecimiento de los procesos académicos y administrativos.</t>
  </si>
  <si>
    <t>Incrementar el porcentaje de procesos de primer nivel gestionados con soporte tecnológico específico, hasta llegar a un 80% en 2021. (Base 14 procesos 2017)</t>
  </si>
  <si>
    <t>Número de procesos de primer nivel con soporte tecnológico específico/
Total de procesos de la institución</t>
  </si>
  <si>
    <t>RI-9-35</t>
  </si>
  <si>
    <t>Proveer la infraestructura tecnológica en cuanto a software y hardware necesaria para que la Institución, a través de los  programas académicos y educación continuada, pueda ofrecer educación bajo la metodología virtual.</t>
  </si>
  <si>
    <t>Incrementar en un 5% el número de espacios académicos virtualizados o con apoyo virtual en los programas académicos y de educación continua. (Base 2017)</t>
  </si>
  <si>
    <t>Número de espacios académicos con apoyo virtual en los programas/
Número total de espacios académicos</t>
  </si>
  <si>
    <t>BIENESTAR INSTITUCIONAL</t>
  </si>
  <si>
    <t>OE-3</t>
  </si>
  <si>
    <t>Promover el desarrollo integral de las personas que conforman la comunidad académica, la permanencia estudiantil y la práctica de actividades deportivas, culturales y recreativas que estimulen la convivencia pacífica y la justicia social.</t>
  </si>
  <si>
    <t>RI-4-22</t>
  </si>
  <si>
    <t>Articular y consolidar el Programa de Permanencia de Estudiantes con sus componentes de acompañamiento, desarrollo humano e inclusión, acorde con los lineamientos de ley y con el PEI.</t>
  </si>
  <si>
    <t>Gestión del Bienestar Institucional</t>
  </si>
  <si>
    <t>Reducir en un (1) punto porcencual la tasa de deserción por semestre a 2021 (Año Base, 2016)</t>
  </si>
  <si>
    <t>Tasa de deserción 2016-II 
- Tasa de deserción actual</t>
  </si>
  <si>
    <t>RI-4-23</t>
  </si>
  <si>
    <t>Consolidar el Centro de Estimulación Infantil como estrategia para la permanencia de estudiantes están en riesgo de deserción por su condición de padres o madres.</t>
  </si>
  <si>
    <t>Continuación de estudios del 100% de estudiantes beneficiarios del Centro de Estimulación Infantil.</t>
  </si>
  <si>
    <t xml:space="preserve">Número de beneficiarios del centro de estimulación infantil que continuaron sus estudios en el periodo/
Número de beneficiarios del centro de estimulación infantil </t>
  </si>
  <si>
    <t>RI-4-24</t>
  </si>
  <si>
    <t>Articular en el Sistema de Bienestar Institucional estrategias para promover el desarrollo humano con la práctica de actividades deportivas, culturales y recreativas, y la convivencia pacífica de la comunidad académica.</t>
  </si>
  <si>
    <t>Incrementar anualmente en un 5% la participación de la comunidad académica en actividades de bienestar, hasta lograr en 2021 una cobertura del 70% (Año Base 2017)</t>
  </si>
  <si>
    <t>Número de participantes en actividades de bienestar P /
Número de participantes en actividades de bienestar P-1</t>
  </si>
  <si>
    <t>GESTIÓN ORGANIZACIONAL Y ADMINISTRATIVA</t>
  </si>
  <si>
    <t>RI-8</t>
  </si>
  <si>
    <t>OE-7</t>
  </si>
  <si>
    <t>Fortalecer el clima organizacional para favorecer el desarrollo del talento humano, su permanencia y fidelidad hacia la institución eliminando factores de riesgo laboral y psicosocial.</t>
  </si>
  <si>
    <t>RI-8-31</t>
  </si>
  <si>
    <t>Articular y gestionar un programa integral y sistemático de identificación, control e intervención de los factores de riesgo psicosocial con el fin de generar comportamientos de vida, trabajo y convivencia laboral saludable.</t>
  </si>
  <si>
    <t>Gestión Humana</t>
  </si>
  <si>
    <t>100% de empleados reportados por riesgo social con acompañamiento institucional.</t>
  </si>
  <si>
    <t>Número de Empleados Reportados con Riesgo social con acompañamiento/
Número de Empleados Reportados con Riesgo social</t>
  </si>
  <si>
    <t>RI-10</t>
  </si>
  <si>
    <t>OE-8</t>
  </si>
  <si>
    <t>Implementar un sistema de gestión organizacional con enfoque de procesos que permita la integración de las estructuras académico-administrativas hacia el mejoramiento continuo, soportado en un equipo humano competente y que permita la transición exitosa hacia el reconocimiento como universidad.</t>
  </si>
  <si>
    <t>RI-10-25</t>
  </si>
  <si>
    <t>Implementar un sistema de gestión de la calidad con alcance al rediseño de la estructura orgánica y de procesos, que conduzca a la certificación de procesos bajo normas técnicas colombianas.</t>
  </si>
  <si>
    <t>Gestión del Direccionamiento Estratégico</t>
  </si>
  <si>
    <t>Procesos misionales con Certificación ISO 9001:2015.</t>
  </si>
  <si>
    <t xml:space="preserve">Número de Procesos misionales con Certificación ISO 9001:2015.
</t>
  </si>
  <si>
    <t>RI-10-26</t>
  </si>
  <si>
    <t>Implementar la Unidad de Correspondencia como extensión operativa del Archivo Central, bajo la dirección de la Secretaría General, soportado tecnológicamente y orientado al cumplimiento de requisitos técnicos (NTC ISO 9001:2015).</t>
  </si>
  <si>
    <t>Gestión Documental</t>
  </si>
  <si>
    <t>Incremento sostenido a razón de un 10% anual en la gestión controlada de trámites por ventanilla única.</t>
  </si>
  <si>
    <t>Porcentaje de trámites atendidos en ventanilla única periodo P -
Porcentaje de tr{amites atendidos en ventanilla única periodo P-1</t>
  </si>
  <si>
    <t>Està en proceso</t>
  </si>
  <si>
    <t>Director de Planeación</t>
  </si>
  <si>
    <t>valor por hora</t>
  </si>
  <si>
    <t>Auditorio completo valor hora</t>
  </si>
  <si>
    <t xml:space="preserve">Auditorio (Espacio 1) valor hora </t>
  </si>
  <si>
    <t>Auditorio (Espacio 1) valor hora</t>
  </si>
  <si>
    <t>Auditorio (Espacio 2) valor hora</t>
  </si>
  <si>
    <t>Hall cafeteria san Francisco valor hora</t>
  </si>
  <si>
    <t xml:space="preserve">Aula de audiovisuales con equipos  valor hora mañana, tarde o noche </t>
  </si>
  <si>
    <t>Aula sin equipos  valor hora mañana, tarde o noche</t>
  </si>
  <si>
    <t>Cámara de Gesell valor hora mañana, tarde o noche</t>
  </si>
  <si>
    <t xml:space="preserve">Estudio Fotográfico valor hora mañana, tarde o noche  </t>
  </si>
  <si>
    <t>Laboratorio de pruebas valor hora mañana, tarde o noche</t>
  </si>
  <si>
    <t>Salón de danzas con amplificación valor hora mañana, tarde o noche</t>
  </si>
  <si>
    <t xml:space="preserve">Auditorio Santa Clara con amplificación y sillas valor hora mañana, tarde o noche </t>
  </si>
  <si>
    <t>Aula de Sistemas con servicio de internet valor hora mañana, tarde o noche por equipo</t>
  </si>
  <si>
    <r>
      <t>PROYECTO</t>
    </r>
    <r>
      <rPr>
        <i/>
        <sz val="11"/>
        <color theme="1"/>
        <rFont val="Calibri"/>
        <family val="2"/>
        <scheme val="minor"/>
      </rPr>
      <t/>
    </r>
  </si>
  <si>
    <t>ESTRATEGIA</t>
  </si>
  <si>
    <t>PROYECTO ESPECIAL</t>
  </si>
  <si>
    <t>PROYECTO DE INVERSIÓN</t>
  </si>
  <si>
    <t>PROYECTO ESTRATÉGICO</t>
  </si>
  <si>
    <t>Es el conjunto de actividades interrelacionadas que se desarrollan de manera coordinada por una persona o grupo de personas para alcanzar un objetivo
Un proyecto tiene unas características específicas, como son:
- Manejo de una metodología clara y definida, que permite dividir el proyecto en fases, que contienen un objetivo, tiempo de ejecución, recursos limitados y cada fase debe tener un resultado que se pueda evaluar o comprobar. 
- Tener un cronograma de actividades.
- Contener resultados esenciales</t>
  </si>
  <si>
    <t xml:space="preserve"> VICERRECTORÍA ACADÉMICA</t>
  </si>
  <si>
    <t xml:space="preserve"> VICERRECTORIA ADMINISTRATIVA FINANCIERA </t>
  </si>
  <si>
    <t xml:space="preserve"> VICERRECTORIA PARA EVANGELIZACIÓN DE LAS CULTURAS</t>
  </si>
  <si>
    <t>Constancias, Duplicados y Otros</t>
  </si>
  <si>
    <t>Detalle</t>
  </si>
  <si>
    <t>Personal y/o Estudiantes Entidades Gorettianas</t>
  </si>
  <si>
    <t>Duplicado Diplomas</t>
  </si>
  <si>
    <t>Servicios por fotocopiado e impresión de documentos</t>
  </si>
  <si>
    <t>Mensualidad grupos Deportivos y Otros</t>
  </si>
  <si>
    <t xml:space="preserve">Sesión Laboratorio de Paz por persona </t>
  </si>
  <si>
    <t xml:space="preserve">Presentaciones grupos Artísticos, no incluye transportes, alojamiento ni  manutención. </t>
  </si>
  <si>
    <t>tener en cuenta para 2020 tarifa de salones de Meditacion</t>
  </si>
  <si>
    <t>Aulas y Otros Espacios Físicos</t>
  </si>
  <si>
    <t>NOTA: Para efecto de descuentos en eventos internos o exclusivos de la Institución en el alquiler de Aulas, de Audiovisuales, de Sistemas e Internet, y salones de clase, se aplica la siguiente tabla  diferencial,  según el número de horas contratadas.</t>
  </si>
  <si>
    <t>10% descuento</t>
  </si>
  <si>
    <t>20% descuento</t>
  </si>
  <si>
    <t>40% descuento</t>
  </si>
  <si>
    <t>50% descuento</t>
  </si>
  <si>
    <t>60% descuento</t>
  </si>
  <si>
    <t xml:space="preserve">Obras bibliográficas </t>
  </si>
  <si>
    <t xml:space="preserve">Honorarios Docente, interno o externo por prestación de servicio.  </t>
  </si>
  <si>
    <t>Educación continuada y diplomados: Tecnólogo</t>
  </si>
  <si>
    <t>Otros Conceptos por contratación</t>
  </si>
  <si>
    <t>Dependiendo de la complejidad del documento y los requerimientos de los traductores, el valor oscilará entre $11.300 y $16.900 hoja, arial tamaño 12. Para traducciones internas se requerirá la disponibilidad presupuestal, liquidada con base en el número de horas requeridas, categoria de contrato del docentes o docentes que efectuarán el trabajo y disponibilidad de tiempo.</t>
  </si>
  <si>
    <t>Corrección de Estilo</t>
  </si>
  <si>
    <t>El Valor de la Corrección de Estilo por página, tamaño carta y con tipo de letra Times New Roman 12, será de $6.000</t>
  </si>
  <si>
    <t>Fr. Daniel Omar Sarria Tejada OFM Cap.</t>
  </si>
  <si>
    <t>Aulas</t>
  </si>
  <si>
    <t xml:space="preserve"> CENTRO DE IDIOMAS</t>
  </si>
  <si>
    <t xml:space="preserve"> G.I. LUCA PACCIOLI DE CONTADURIA </t>
  </si>
  <si>
    <t xml:space="preserve"> DIRECCIÓN CONTÍNUA</t>
  </si>
  <si>
    <t xml:space="preserve"> INTERNACIONALIZACIÓN</t>
  </si>
  <si>
    <t xml:space="preserve"> EGRESADOS</t>
  </si>
  <si>
    <t>Personal Docente necesario para el desarrollo de las Actividades</t>
  </si>
  <si>
    <t>Descripción del Rubro</t>
  </si>
  <si>
    <t>HORAS</t>
  </si>
  <si>
    <t>ANEXO # Otros Costos por Personal</t>
  </si>
  <si>
    <t>Útiles y Papelería</t>
  </si>
  <si>
    <t>Medio Tiempo Profesional</t>
  </si>
  <si>
    <t>Medio Tiempo Especialista</t>
  </si>
  <si>
    <t>Medio Tiempo Magister</t>
  </si>
  <si>
    <t>Medio Tiempo Doctor</t>
  </si>
  <si>
    <t>ADQUISICIÓN DE ACTIVOS</t>
  </si>
  <si>
    <t>INSTRUMENTOS MUSICALES</t>
  </si>
  <si>
    <t xml:space="preserve">ENSERES Y ELECTRODOMESTICOS CAFETERIAS </t>
  </si>
  <si>
    <t>EQUIPOS DE TELECOMUNICACIONES</t>
  </si>
  <si>
    <t>EQUIPOS DE RADIO</t>
  </si>
  <si>
    <t>HERRAMIENTAS</t>
  </si>
  <si>
    <t>ESTABILIZADORES</t>
  </si>
  <si>
    <t>EQ.GENERADORES DE ELECTRIC.</t>
  </si>
  <si>
    <t>EQUIPO PARA LABORATORIO</t>
  </si>
  <si>
    <t>MOBILIARIO DE USO DIDACTICO</t>
  </si>
  <si>
    <t>EQUIPO MÉDICO CIENTÍFICO</t>
  </si>
  <si>
    <t>MUEBLES Y ENSERES</t>
  </si>
  <si>
    <t>EQUIPOS DE OFICINA</t>
  </si>
  <si>
    <t>EQUIPOS DE CÓMPUTO</t>
  </si>
  <si>
    <t>LICENCIAS DE SOFTWARE</t>
  </si>
  <si>
    <t>BIBLIOTECA (LIBROS)</t>
  </si>
  <si>
    <t>BIBLIOTECA (BASES DE DATOS)</t>
  </si>
  <si>
    <t>EQUIPO Y MAQUINARIA DEPORTE</t>
  </si>
  <si>
    <t>EQUIPOS PROYECC. Y FILMACION</t>
  </si>
  <si>
    <t>ACTIVOS</t>
  </si>
  <si>
    <t>CLASE DE ELEMENTO</t>
  </si>
  <si>
    <t>OBJETIVO</t>
  </si>
  <si>
    <t xml:space="preserve">PLAN DE MEJORAMIENTO </t>
  </si>
  <si>
    <r>
      <rPr>
        <b/>
        <sz val="9"/>
        <color theme="1"/>
        <rFont val="Calibri"/>
        <family val="2"/>
        <scheme val="minor"/>
      </rPr>
      <t xml:space="preserve">INSTRUCCIONES: </t>
    </r>
    <r>
      <rPr>
        <sz val="9"/>
        <color theme="1"/>
        <rFont val="Calibri"/>
        <family val="2"/>
        <scheme val="minor"/>
      </rPr>
      <t xml:space="preserve">
1. No alterar la estructura del formato.
2. No combinar celdas horizontal o verticalmente, en caso que se requiera asociar varios indicadores a una actividad se debe repetir su postulado en las  filas que sea necesario.
3. Utilizar las listas de selección en los campos cuyo encabezado está resaltado con fondo </t>
    </r>
    <r>
      <rPr>
        <b/>
        <sz val="9"/>
        <color rgb="FFC00000"/>
        <rFont val="Calibri"/>
        <family val="2"/>
        <scheme val="minor"/>
      </rPr>
      <t>rojo.</t>
    </r>
    <r>
      <rPr>
        <sz val="9"/>
        <color theme="1"/>
        <rFont val="Calibri"/>
        <family val="2"/>
        <scheme val="minor"/>
      </rPr>
      <t xml:space="preserve">
4. Diligenciar completamente los campos para cada actividad de mejoramiento o fortalecimiento identificadas.</t>
    </r>
  </si>
  <si>
    <t>PROGRAMA:</t>
  </si>
  <si>
    <t>PSICOLOGÍA</t>
  </si>
  <si>
    <t>FACTOR</t>
  </si>
  <si>
    <t>CARACTERÍSTICA</t>
  </si>
  <si>
    <t>ASPECTO / HALLAZGO</t>
  </si>
  <si>
    <t>CALIFICACIÓN</t>
  </si>
  <si>
    <t>TIPO DE ACCIÓN</t>
  </si>
  <si>
    <t>NOMBRE DE LA ACTIVIDAD</t>
  </si>
  <si>
    <t>DESCRIPCIÓN DE LA ACTIVIDAD</t>
  </si>
  <si>
    <t>INDICADOR</t>
  </si>
  <si>
    <t>META</t>
  </si>
  <si>
    <t>FECHA INICIO</t>
  </si>
  <si>
    <t>FECHA FIN</t>
  </si>
  <si>
    <t>RECURSOS</t>
  </si>
  <si>
    <t>VALOR PRESUPUESTO</t>
  </si>
  <si>
    <t>PROCESO RESPONSABLE</t>
  </si>
  <si>
    <t>CARGO RESPONSABLE</t>
  </si>
  <si>
    <t>ALCANCE</t>
  </si>
  <si>
    <t>EJE ESTRATÉGICO</t>
  </si>
  <si>
    <t>OBJETIVO ESTRATÉGICO</t>
  </si>
  <si>
    <t>PROYECTO PDI</t>
  </si>
  <si>
    <t>A17. Cambios en el plan de estudios, resultantes de experiencias relativas al análisis y propuestas de solución a los problemas del contexto.</t>
  </si>
  <si>
    <t>MEJORAMIENTO</t>
  </si>
  <si>
    <t>Desarrollar un estudio cualitativo y cuantitativo del contexto,  para establecer propuestas de solución a las necesidades encontradas en el plan de estudios</t>
  </si>
  <si>
    <t>Estudio de las necesidades del contexto regional en el marco de la política pública nacional y regional.</t>
  </si>
  <si>
    <t>Se adelantará un estudiocualitativo y cuantitativo para reconocer las necesidades del contexto a nivel regional y nacional.
El estudio del resultado para establecer propuestas de modificación del plan de estudios</t>
  </si>
  <si>
    <t>Documento estudio del contexto</t>
  </si>
  <si>
    <t>Recursos humanos, tecnológicos y financieros</t>
  </si>
  <si>
    <t>Dirección Programa de Psicología</t>
  </si>
  <si>
    <t>PROGRAMA</t>
  </si>
  <si>
    <t>Ofrecer_programas_de_calidad</t>
  </si>
  <si>
    <t>Presentar propuestas que permitan realizar cambios en el plan de estudios en articulación con la renovación de registro calificado.</t>
  </si>
  <si>
    <t>Análisis del plan de estudios del Programa de Psicología</t>
  </si>
  <si>
    <t xml:space="preserve">A partir del estudio y las conclusiones del estudio de necesidades se presentarán propuestas para el plan de estudios ofertado por el Programa de Psicología.
</t>
  </si>
  <si>
    <t>Documento propuestas para cambios en el plan de estudios</t>
  </si>
  <si>
    <t xml:space="preserve">A18. Proyectos que adelanta el programa, mediante sus funciones de docencia, investigación, innovación, creación artística y cultural, y extensión tendientes a ejercer un impacto sobre el medio, de acuerdo con el Proyecto Educativo del Programa.  </t>
  </si>
  <si>
    <t>Diseñar una estrategia para el seguimiento a los  proyectos que adelanta el programa, mediante sus funciones de docencia, investigación, innovación, creación artística y cultural, y extensión.</t>
  </si>
  <si>
    <t>Estrategia de seguimiento a proyectos adelantados por el programa</t>
  </si>
  <si>
    <t>Documento de la estrategia de seguimiento a proyectos adelantados por el programa</t>
  </si>
  <si>
    <t>A19. Estudios orientados a evaluar el impacto del programa con respecto al cumplimiento de sus propósitos y objetivos, así como la incidencia en el entorno social y su grupo de referencia disciplinar o profesional.</t>
  </si>
  <si>
    <t>A25. Apreciación de profesores y estudiantes del programa con respecto a la relación entre el número de admitidos, el cuerpo docente y los recursos académicos y físicos disponibles.</t>
  </si>
  <si>
    <t>A33. Estudiantes que participan efectivamente en grupos o centros de estudio, proyectos de experimentación o de desarrollo empresarial o en las demás actividades académicas y culturales distintas de la docencia que brinda la institución o el programa para contribuir a la formación integral.</t>
  </si>
  <si>
    <t>A35. Apreciación de estudiantes y profesores del programa sobre pertinencia, vigencia y aplicación del reglamento estudiantil y académico.</t>
  </si>
  <si>
    <t>A37. Apreciación de directivos, profesores y estudiantes sobre la participación del estudiantado en los órganos de dirección del programa.</t>
  </si>
  <si>
    <t>A41. Apreciación de directivos, profesores y estudiantes sobre la aplicación, pertinencia y vigencia de las políticas, las normas y los criterios académicos establecidos por la institución para la selección, vinculación y permanencia de sus profesores.</t>
  </si>
  <si>
    <t>C9. Estatuto profesoral</t>
  </si>
  <si>
    <t>A43. Apreciación de directivos y profesores del programa sobre la pertinencia, vigencia y aplicación del estatuto profesoral.</t>
  </si>
  <si>
    <t>A46. Apreciación de directivos y profesores sobre la aplicación de las políticas institucionales en materia de participación del profesorado en los órganos de dirección de la institución y del programa.</t>
  </si>
  <si>
    <t>A53. Suficiencia del número de profesores con relación a la cantidad de estudiantes del programa y sus necesidades de formación de acuerdo con el proyecto educativo.</t>
  </si>
  <si>
    <t>C11. Desarrollo profesoral</t>
  </si>
  <si>
    <t>A58. Apreciación de directivos y profesores del programa adscritos directamente o a través de la Facultad o Departamento respectivo, sobre el impacto que han tenido las acciones orientadas al desarrollo integral de los profesores, en el enriquecimiento de la calidad del programa.</t>
  </si>
  <si>
    <t>A59. Acompañamiento por expertos, para la labor pedagógica de los profesores, de acuerdo con el tipo y metodología del programa.</t>
  </si>
  <si>
    <t>A61. Estrategias orientadas a la actualización docente en temas relacionados con la atención a la diversidad poblacional.</t>
  </si>
  <si>
    <t>C13. Producción, pertinencia, utilización e impacto de material docente</t>
  </si>
  <si>
    <t>A66. Apreciación de los estudiantes del programa sobre la calidad de los materiales de apoyo producidos o utilizados por los profesores adscritos al programa y su pertinencia de acuerdo con la metodología del programa.</t>
  </si>
  <si>
    <t>C15. Evaluación de profesores</t>
  </si>
  <si>
    <t>A73. Criterios y mecanismos de evaluación de los profesores adscritos al programa, en correspondencia con la naturaleza del cargo, las funciones y los compromisos contraídos en relación con las metas institucionales y del programa.</t>
  </si>
  <si>
    <t>A83. Valor agregado obtenido en los resultados de las Pruebas de Estado (Saber Pro), con relación a las Pruebas Saber Once utilizadas como mecanismo de ingreso a la educación superior y al desempeño de los estudiantes adscritos al programa.</t>
  </si>
  <si>
    <t>A85. Articulación del plan de estudios con los diversos niveles de formación  (periodos académicos, especialización, maestría y doctorado, componentes propedéuticos y/o ciclos, entre otros).</t>
  </si>
  <si>
    <t>A87. Existencia y aplicación de políticas institucionales en materia de flexibilidad, referidas a la organización y jerarquización de los contenidos, reconocimiento de créditos, formación en competencias tales como actitudes, conocimientos, capacidades y habilidades, y estrategias pedagógicas, electividad, doble titulación y movilidad.</t>
  </si>
  <si>
    <t>A89. Mecanismos de actualización permanente del currículo en consonancia con los desarrollos disciplinares, profesionales y pedagógicos, y en atención a las necesidades del entorno.</t>
  </si>
  <si>
    <t>A95. Oferta académica que facilite la aplicación de criterios de flexibilidad con miras a garantizar la participación de los estudiantes, en el diseño de su propio plan académico, de acuerdo con sus intereses y la adquisición de, competencias, tales como actitudes, conocimientos, capacidades y habilidades, con el apoyo de un tutor o asesor.</t>
  </si>
  <si>
    <t>A97. Espacios y actividades curriculares y extracurriculares con carácter explícitamente interdisciplinario.</t>
  </si>
  <si>
    <t>A99. Apreciación de profesores y estudiantes sobre la pertinencia y eficacia de la interdisciplinariedad del programa en el enriquecimiento de la calidad del mismo.</t>
  </si>
  <si>
    <t>A104. Incorporación de los adelantos y transformaciones que se han dado en las ciencias, las técnicas y las tecnologías implicadas, de acuerdo con el tipo y modalidad del programa.</t>
  </si>
  <si>
    <t>A106. Articulación entre las estrategias pedagógicas propias de la metodología de enseñanza y los recursos tecnológicos utilizados.</t>
  </si>
  <si>
    <t>A120. Correspondencia entre el tipo de trabajos y actividades realizados por los estudiantes respecto a los objetivos y modalidad del programa.</t>
  </si>
  <si>
    <t>A123. Correspondencia entre las actividades y trabajos realizados por los estudiantes y las formas de evaluación por competencias especialmente en actitudes, conocimientos, capacidades y habilidades, según la naturaleza del programa y los métodos pedagógicos empleados para desarrollar los diversos procesos de formación.</t>
  </si>
  <si>
    <t>A126. Estrategias verificables de seguimiento, evaluación y mejoramiento continuo y gestión de la innovación de los procesos y logros del programa, así como de su pertinencia y relevancia social.</t>
  </si>
  <si>
    <t>ASEGURAMIENTO Y GESTIÓN DE LA CALIDAD</t>
  </si>
  <si>
    <t>A128. Cambios específicos realizados en el programa, en los últimos cinco años, a partir de los resultados de los procesos de evaluación y autorregulación.</t>
  </si>
  <si>
    <t>A132. Participación del programa en la aplicación las políticas nacionales en materia de innovación y desarrollo económico, técnico y tecnológico (innovación, adaptación, transferencia), de acuerdo con el tipo y modalidad del programa.</t>
  </si>
  <si>
    <t>EXTENSIÓN Y PROYECCIÓN SOCIAL</t>
  </si>
  <si>
    <t>A139. Pertinencia, actualización y suficiencia del material bibliográfico con que cuenta el programa para apoyar el desarrollo de las distintas actividades académicas, de acuerdo con el tipo y modalidad de programa.</t>
  </si>
  <si>
    <t>INSTITUCIONAL</t>
  </si>
  <si>
    <t>C26. Recursos de apoyo docente</t>
  </si>
  <si>
    <t>A148. Dotación adecuada de equipos materiales e insumos en los laboratorios y talleres campos de práctica y plantas piloto, según la naturaleza, metodología y exigencias del programa.</t>
  </si>
  <si>
    <t>A150. Disponibilidad y capacidad de talleres, laboratorios, equipos, medios audiovisuales, sitios de práctica, estaciones y granjas experimentales, escenarios de simulación virtual entre otros, para el óptimo desarrollo de la actividad docente, investigativa y de extensión, según requerimientos del programa.</t>
  </si>
  <si>
    <t>A154. Existencia y aplicación de políticas institucionales en materia de referentes académicos externos, nacionales e internacionales para la revisión y actualización del plan de estudio.</t>
  </si>
  <si>
    <t>A156. Convenios activos y actividades de cooperación académica desarrollados por el Programa con Instituciones y Programas de Alta Calidad y reconocimiento nacional e internacional.</t>
  </si>
  <si>
    <t>A157. Proyectos de investigación, innovación, creación artística y cultural y/o proyección desarrollados como producto de la cooperación académica y profesional, realizada por directivos, profesores y estudiantes del programa, con miembros de comunidades nacionales e internacionales de reconocido liderazgo en el área del Programa.</t>
  </si>
  <si>
    <t>A159. Inversión efectivamente realizada por la institución para los fines de internacionalización en los últimos cinco años.</t>
  </si>
  <si>
    <t>A160. Prospectos o iniciativas en curso de doble titulación con otras entidades, de acuerdo con el tipo y naturaleza del Programa.</t>
  </si>
  <si>
    <t>A161. Incidencia verificable en el enriquecimiento de la calidad del Programa de la interacción con comunidades académicas nacionales e internacionales.</t>
  </si>
  <si>
    <t>A163. Convenios activos de intercambio con universidades nacionales y extranjeras.</t>
  </si>
  <si>
    <t>A168. Resultados efectivos de la participación de profesores y estudiantes adscritos al Programa en actividades de cooperación académica.</t>
  </si>
  <si>
    <t>A170. Inversión efectiva desarrollada para proyectos de movilidad en doble vía en los últimos cinco años.</t>
  </si>
  <si>
    <t>A176. Actividad académica – pasantías, talleres, actividades conjuntas – relacionadas con la realidad empresarial, organizadas desde los primeros semestres con una lógica enfocada en el entendimiento creciente de aquella según sus mayores grados de complejidad.</t>
  </si>
  <si>
    <t>A177. Existencia dentro del plan de estudios de espacios académicos y de vinculación con el sector productivo donde se analiza la naturaleza de la investigación científica, técnica y tecnológica, la innovación, sus objetos de indagación, sus problemas, oportunidades y sus resultados y soluciones.</t>
  </si>
  <si>
    <t>A182. Criterios, estrategias y políticas institucionales en materia de investigación, innovación y creación artística y cultural que se evidencie en mecanismos efectivos que estimulen el desarrollo de los procesos investigativos, de innovación y creativos, y establezcan criterios de evaluación de su calidad y pertinencia, ampliamente difundidos y aceptados por la comunidad académica.</t>
  </si>
  <si>
    <t>A186. Impacto a nivel regional, nacional e internacional de la investigación, la innovación y la creación artística y cultural del programa, de acuerdo con su naturaleza.</t>
  </si>
  <si>
    <t>A203. Existencia de certificaciones y de mecanismos orientados al mejoramiento de la calidad de procesos.</t>
  </si>
  <si>
    <t>DIRECCIONAMIENTO ESTRATÉGICO</t>
  </si>
  <si>
    <t>A204. Criterios institucionales para la toma de decisiones sobre asignación de cargos, responsabilidades y procedimientos en los diferentes programas académicos, evidencias sobre la aplicación de estos criterios.</t>
  </si>
  <si>
    <t>A211. La página web institucional incluye información detallada y actualizada sobre el currículo y los profesores adscritos al programa, incluyendo su formación y trayectoria.</t>
  </si>
  <si>
    <t>GESTIÓN HUMANA</t>
  </si>
  <si>
    <t>A213. Mecanismos de gestión documental, organización, actualización y seguridad de los registros y archivos académicos de estudiantes, profesores, personal directivo y administrativo.</t>
  </si>
  <si>
    <t>GESTIÓN DOCUMENTAL</t>
  </si>
  <si>
    <t>A228. Mecanismos y estrategias para efectuar ajustes al programa en atención a las necesidades del entorno, evidenciados a través del seguimiento de los egresados.</t>
  </si>
  <si>
    <t>A232. Egresados del programa que han recibido distinciones y reconocimientos significativos por su desempeño en la disciplina, profesión, ocupación u oficio correspondiente.</t>
  </si>
  <si>
    <t>A234. Espacios que se destinan al desarrollo de cada una de las funciones sustantivas a que se dedica el Programa y de las áreas destinadas al Bienestar Institucional.</t>
  </si>
  <si>
    <t>GESTIÓN DE BIENES Y SERVICIOS</t>
  </si>
  <si>
    <t>A240. Mecanismos de seguimiento y verificación a la ejecución presupuestal del Programa con base en planes de mejoramiento y mantenimiento.</t>
  </si>
  <si>
    <t>GESTIÓN FINANCIERA</t>
  </si>
  <si>
    <t>PERSONAL</t>
  </si>
  <si>
    <t>Adquisición de Activos</t>
  </si>
  <si>
    <t>Honorarios</t>
  </si>
  <si>
    <t>ANEXO # Honorarios (Personal Externo)</t>
  </si>
  <si>
    <t>TOTAL</t>
  </si>
  <si>
    <t>Publicidad necesaria para el desarrollo delas actividades</t>
  </si>
  <si>
    <t>DIVERSOS</t>
  </si>
  <si>
    <t>COSTOS DIVERSOS</t>
  </si>
  <si>
    <t>Son todos aquellos gastos ocasionados por conceptos diferentes a los especificados anteriormente como: suscripciones, elementos de aseo y cafetería, combustibles, taxis, estampillas, casino y restaurante-refrigerios, ropería y lencería, entre otros</t>
  </si>
  <si>
    <t>PUBLICIDAD</t>
  </si>
  <si>
    <t xml:space="preserve">FLYERS </t>
  </si>
  <si>
    <t>PUBLICIDAD EN FACEBOOK</t>
  </si>
  <si>
    <t>OTROS</t>
  </si>
  <si>
    <t>VALORES</t>
  </si>
  <si>
    <t>AÑO</t>
  </si>
  <si>
    <t>Cantidad en Horas</t>
  </si>
  <si>
    <t xml:space="preserve">Hace referecia al alquiler de espacios especiales que la Universidad disponde para desarrollar las diferentes actividades. Si bien el uso de estos espacios para proyectos internos de la Universidad no requieren salida de efectivo, el uso en de ellos es un recurso físico que se debe cuantificar. 
(Actividades de: capacitación, sensibilización, encuestas en salas especiales, conferencias, entre otros eventos) </t>
  </si>
  <si>
    <t>Son aquellos costos ocasionados por concepto de la relación laboral existente de conformidad con las disposiciones legales vigentes. Se presupuesta al personal docente contratado por medio tiempo y tiempo completo, que labora en la Universidad.  y que se dedicaran en horas al desarrollo de las diferentes actividades del objetivo del plan de mejoramiento</t>
  </si>
  <si>
    <t>Hace referencia a los servicios profesionales que se requieren contratar para el desarrollo de una actividad que se considere calificada como: conferencistas, asesores, expertos, evaluadores, capacitadores, servicios de profesionales, etc.</t>
  </si>
  <si>
    <t>Hace referencia a los elementos de Propiedad, planta y equipo que se requiere adquirir para el desarrollo de la actividad u objetivo propuesto en el Plan de Mejoramiento; entre ellos están: Material Bibliográfico, equipos de cómputo, equipos de laboratorio, bases de datos, entre otros</t>
  </si>
  <si>
    <t>OBJETIVO:</t>
  </si>
  <si>
    <t>Otros costos de Personal</t>
  </si>
  <si>
    <t xml:space="preserve">Horas para desarrollar el documento </t>
  </si>
  <si>
    <t>Horas de apoyo en los documentos</t>
  </si>
  <si>
    <t>Capacitación al personal Docente, Experto en el tema Psicoanálisis</t>
  </si>
  <si>
    <t>horas del capacitador</t>
  </si>
  <si>
    <t>Adquisición Material Bibliográfico</t>
  </si>
  <si>
    <t>Son los gastos ocasionados por concepto de útiles y papelería, se registran conceptos como: lapiceros, lápices, cosedoras, perforadoras, sacaganchos, cds, cinta, pegastic, tijeras, clips, tinta para sellos, cintas para impresora, recargue de tóneres, papel contac, fólderes, sobres, resmas de papel carta y oficio, etc.  Esta cuenta tiene que ver también con el registro de fotocopias</t>
  </si>
  <si>
    <t>Papelería</t>
  </si>
  <si>
    <t>Para la elaboración del Documento</t>
  </si>
  <si>
    <t>CÓDIGO OBJETIVO</t>
  </si>
  <si>
    <t>OPMPSICOLOGÍA_50</t>
  </si>
  <si>
    <t>A1. Apropiación de la Visión y la Misión Institucional por parte de la comunidad académica.</t>
  </si>
  <si>
    <t>A7. Estrategias y mecanismos establecidos para la discusión, actualización y difusión del Proyecto Educativo del Programa académico.</t>
  </si>
  <si>
    <t>A11. Análisis realizados sobre las tendencias y líneas de desarrollo de la disciplina o profesión en el ámbito local, regional, nacional e internacional, y su incidencia en el programa.</t>
  </si>
  <si>
    <t>A20. Mecanismos de ingreso que garanticen transparencia en la selección de los estudiantes.</t>
  </si>
  <si>
    <t>A24. Políticas institucionales para la definición del número de estudiantes que se admiten al programa, acorde con el cuerpo docente, los recursos físicos y de apoyo académico disponible.</t>
  </si>
  <si>
    <t>A31. Políticas y estrategias definidas por el programa en materia de formación integral de los estudiantes.</t>
  </si>
  <si>
    <t>A34. Mecanismos utilizados para la divulgación del reglamento estudiantil y académico.</t>
  </si>
  <si>
    <t>A39. Aplicación de las políticas, las normas y los créditos académicos establecidos por la Institución para la selección y la vinculación de los profesores.</t>
  </si>
  <si>
    <t>A42. Mecanismos de divulgación del estatuto profesoral.</t>
  </si>
  <si>
    <t>A48. Profesores de planta con título de especialización, maestría y doctorado en relación con el objeto de conocimiento del programa adscritos directamente o a través de la Facultad o Departamento respectivo, e información demostrada acerca de las Instituciones en las cuales fueron formados.</t>
  </si>
  <si>
    <t>A56. Políticas institucionales y evidencias de aplicación, en materia de desarrollo integral del profesorado, que incluyan la capacitación y actualización en los aspectos académicos, profesionales y pedagógicos relacionados con la metodología del programa.</t>
  </si>
  <si>
    <t>A62. Políticas de estímulo y reconocimiento a los profesores por el ejercicio calificado de la docencia, de la investigación, de la innovación, de la creación artística, de la técnica y tecnología, de la extensión o proyección social y de la cooperación internacional.</t>
  </si>
  <si>
    <t>A65. Producción, utilización y evaluación de materiales de apoyo docente, en los últimos cinco años, pertinentes a la naturaleza y metodología del programa y su función pedagógica.</t>
  </si>
  <si>
    <t>A69. Políticas y reglamentaciones institucionales en materia de remuneración de los profesores en las que se tengan en cuenta los méritos profesionales y académicos, así como los estímulos a la producción académica y de innovación debidamente evaluada.</t>
  </si>
  <si>
    <t>A72. Existencia y aplicación de políticas institucionales en materia de evaluación integral al desempeño de los profesores. La Institución presente evidencias sobre el desarrollo de estas políticas.</t>
  </si>
  <si>
    <t>A77. Existencia de criterios y mecanismos para el seguimiento y la evaluación del desarrollo de competencias, especialmente las actitudes, los conocimientos, las capacidades y las habilidades generales y aquellas que son específicas del ejercicio y de la cultura de la profesión o la disciplina en la que se forma al estudiante.</t>
  </si>
  <si>
    <t>A100. Concordancia de los métodos de enseñanza y aprendizaje utilizados con el tipo y metodología del programa.</t>
  </si>
  <si>
    <t>A114. Criterios, políticas y reglamentaciones institucionales y del programa en materia de evaluación académica de los estudiantes. Evidencias de aplicación y divulgación de la misma.</t>
  </si>
  <si>
    <t>A125. Existencia y aplicación de políticas en materia de evaluación y autorregulación del programa académico que conduzcan al diseño y formulación de planes de mejoramiento continuo y a la gestión de la innovación.</t>
  </si>
  <si>
    <t>A129. Existencia y aplicación de criterios y políticas institucionales y del programa en materia de extensión o proyección social.</t>
  </si>
  <si>
    <t>A137. Estrategias y mecanismos orientados a incentivar en el estudiante la consulta y el uso de material bibliográfico. Evidencias de aplicación de estas estrategias y mecanismos.</t>
  </si>
  <si>
    <t>A144. Disponibilidad para docentes, estudiantes, directivos y administrativos, actualización y calidad de los recursos informáticos y de comunicaciones para el desarrollo de los procesos académicos y de apoyo del programa, de acuerdo con su naturaleza.</t>
  </si>
  <si>
    <t>A171. Criterios, estrategias y actividades del Programa, orientados a promover la capacidad de indagación y búsqueda, y la formación de un espíritu investigativo, creativo e innovador en los estudiantes.</t>
  </si>
  <si>
    <t>A190. Políticas sobre Bienestar Institucional suficientemente conocidas que propician el desarrollo integral de la comunidad institucional, reconozcan el valor y la diversidad y orientan la prestación de los servicios de bienestar.</t>
  </si>
  <si>
    <t>A199. Tasas de deserción estudiantil acumulada y por periodos académicos, acorde con los reportes efectuados al sistema para la prevención de la Deserción de la Educación Superior –SPADIES-.</t>
  </si>
  <si>
    <t>A202. Correspondencia entre la organización, administración y gestión del programa, y los fines de la docencia, la investigación, la innovación o creación artística y cultural, la extensión o proyección social y la cooperación nacional e internacional en el Programa.</t>
  </si>
  <si>
    <t>A209. Existencia y utilización de sistemas de información integrados y mecanismos eficaces que faciliten la comunicación interna y externa el Programa.</t>
  </si>
  <si>
    <t>A218. Apreciación de profesores y estudiantes del programa sobre la orientación académica que imparten los directivos del mismo y sobre el liderazgo que ejercen.</t>
  </si>
  <si>
    <t>A222. Existencia de registros actualizados sobre ocupación y ubicación profesional de los egresados del Programa.</t>
  </si>
  <si>
    <t>A230. Índice de empleo entre los egresados del Programa.</t>
  </si>
  <si>
    <t>A239. Origen, monto y distribución de los recursos presupuestales destinados al Programa.</t>
  </si>
  <si>
    <t>A247. Manejo de los recursos físicos y financieros, en concordancia con los planes de desarrollo, los planes de mejoramiento y el tamaño y la complejidad de la Institución y del Programa.</t>
  </si>
  <si>
    <t>A2. Correspondencia entre la Visión y la Misión Institucional y los objetivos del programa académico.</t>
  </si>
  <si>
    <t>A8. Apropiación del Proyecto Educativo del Programa por parte de la comunidad académica del programa.</t>
  </si>
  <si>
    <t>A12. Estudios orientados a identificar las necesidades y requerimientos del entorno laboral (local, regional y nacional) en términos productivos y de competitividad, tecnológicos y de talento humano. Acciones del programa para atenderlos.</t>
  </si>
  <si>
    <t>A21. Estudiantes que ingresaron mediante la aplicación de reglas generales y mecanismos de admisión excepcionales, en los últimos cinco años.</t>
  </si>
  <si>
    <t>A32. Apreciación de los estudiantes sobre la calidad de los espacios y estrategias que ofrece el programa, de acuerdo con la naturaleza y orientación de éste, para la participación en grupos o centros de estudio, proyectos de experimentación o de desarrollo empresarial y demás actividades académicas y culturales distintas de la docencia que contribuyan a su formación integral.</t>
  </si>
  <si>
    <t>A40. Estrategias de la Institución para propiciar la permanencia de los profesores en el programa y el relevo generacional.</t>
  </si>
  <si>
    <t>A49. Profesores del programa adscritos en forma directa o a través de la Facultad o Departamento respectivo con dedicación de tiempo completo, medio tiempo y cátedra, según nivel de formación.</t>
  </si>
  <si>
    <t>A57. Número de profesores del programa adscritos directamente o a través de la Facultad o Departamento respectivo, que han participado en los últimos cinco años en programas de desarrollo profesoral o que han recibido apoyo a la capacitación y actualización permanente, como resultado de las políticas institucionales orientadas para tal fin.</t>
  </si>
  <si>
    <t>A63. Estrategias que promueven la creación artística y cultural, la innovación, la adaptación, la transferencia técnica y tecnológica, la creación de tecnofactos y prototipos, y la obtención de patentes, de acuerdo con la naturaleza del programa.</t>
  </si>
  <si>
    <t>A70. Evidencias sobre la aplicación de estas políticas y reglamentaciones.</t>
  </si>
  <si>
    <t>A78. Créditos académicos del programa correspondiente a asignaturas orientadas a ampliar la formación del estudiante en las dimensiones ética, estética, ambiental, filosófica, política y social.</t>
  </si>
  <si>
    <t>A88. Existencia y aplicación de políticas y normas para asegurar la continuidad y movilidad del estudiante en el sistema educativo y en la Institución: homologaciones de créditos, reconocimientos de experiencias educativas y laborales previas, equivalencia de títulos y transferencias.</t>
  </si>
  <si>
    <t>A98. Mecanismos que permitan el tratamiento de problemas pertinentes al programa y al ejercicio laboral, a través de orientaciones interdisciplinarias por parte de profesores y estudiantes.</t>
  </si>
  <si>
    <t>A101. Correspondencia de los métodos de enseñanza y aprendizaje empleados para el desarrollo de los contenidos del plan de estudios del programa, como las competencias tales como las actitudes, los conocimientos, las capacidades y las habilidades que se espera desarrollar, la naturaleza de los saberes y las necesidades, objetivos y modalidad del programa.</t>
  </si>
  <si>
    <t>A115. Correspondencia entre las formas de evaluación de los aprendizajes, los propósitos de formación y los perfiles de egreso definidos por el programa.</t>
  </si>
  <si>
    <t>A121. Criterios y estrategias aplicados en el programa para efecto de la dosificación de la labor académica de los estudiantes en coherencia con el sistema de créditos.</t>
  </si>
  <si>
    <t>A130. Proyectos y actividades de extensión o proyección a la comunidad desarrollados por directivos, profesores y estudiantes del programa en los últimos cinco años.</t>
  </si>
  <si>
    <t>A138. Existencia y aplicación de criterios y políticas institucionales y del programa en materia de acceso, adquisición y actualización de material bibliográfico.</t>
  </si>
  <si>
    <t>A145. Estrategias que garanticen el rendimiento de los equipos, la capacidad de almacenamiento y la seguridad (confidencialidad, disponibilidad) en el manejo de la información.</t>
  </si>
  <si>
    <t>A149. Dotación adecuada de laboratorios, máquinas y talleres suficientemente dotados con equipos y materiales, según la naturaleza, metodología y exigencias del programa, y que cumplen las normas sanitarias y de bioseguridad, seguridad industrial y de salud ocupacional y manejo de seres vivos, de acuerdo con la normativa vigente.</t>
  </si>
  <si>
    <t>A155. Análisis sistemático de comparabilidad con otros programas nacionales e internacionales de la misma naturaleza.</t>
  </si>
  <si>
    <t>A164. Número de estudiantes extranjeros en el Programa en los últimos 5 años.</t>
  </si>
  <si>
    <t>A172. Existencia y utilización de mecanismos por parte de los profesores adscritos al programa para incentivar en los estudiantes la generación de ideas y problemas de investigación, la identificación de problemas en el ámbito empresarial susceptibles de resolver mediante la aplicación del conocimiento y la innovación.</t>
  </si>
  <si>
    <t>A183. Correspondencia entre el número y nivel de formación de los profesores adscritos al programa con la actividad investigativa y de innovación y la creación artística y cultural, relacionadas con la naturaleza del programa.</t>
  </si>
  <si>
    <t>A191. Estrategias que propicien un clima institucional adecuado que favorezca el desarrollo humano y promueva una cultura que reconozca el valor de la diversidad..</t>
  </si>
  <si>
    <t>A200. Registros periódicos de la caracterización de los estudiantes teniendo en cuenta variables de vulnerabilidad.</t>
  </si>
  <si>
    <t>A210. Existencia y efectividad de la página web institucional debidamente actualizada para mantener informados a los usuarios sobre los temas de interés institucional y facilitar la comunicación académica y administrativa.</t>
  </si>
  <si>
    <t>A219. Lineamientos y políticas que orientan la gestión del programa, debidamente divulgados y apropiados por los directivos, profesores y personal administrativo del mismo.</t>
  </si>
  <si>
    <t>A223. Correspondencia entre la ocupación y ubicación profesional de los egresados y el perfil de formación del Programa.</t>
  </si>
  <si>
    <t>A231. Egresados del programa que forman parte de comunidades académicas reconocidas, de asociaciones científicas, profesionales, tecnológicas, técnicas o artísticas, y del sector productivo y financiero, en el ámbito nacional o internacional.</t>
  </si>
  <si>
    <t>A235. Existencia y uso adecuado de aulas, laboratorios, talleres, sitios de estudio para los alumnos, salas de cómputo, oficinas de profesores, sitios para la creación artística y cultural, auditorios y sales de conferencias, oficinas administrativas, cafeterías, baños, servicios, campos de juego, espacios libres, zonas verdes y demás espacios destinados al Bienestar en general.</t>
  </si>
  <si>
    <t>A248. Criterios y mecanismos para la elaboración, ejecución y seguimiento del presupuesto y para la asignación de recursos físicos y financieros para el Programa.</t>
  </si>
  <si>
    <t>A3. El proyecto institucional orienta las acciones y decisiones del programa académico, en la gestión del currículo, la docencia, la investigación científica, la creación artística, la internacionalización, la proyección social, el bienestar de la comunidad institucional y demás áreas estratégicas de la institución.</t>
  </si>
  <si>
    <t>A9. Modelo pedagógico o concepción de aprendizaje que sustentan la metodología de enseñanza en que se ofrece el programa evaluado</t>
  </si>
  <si>
    <t>A13. Estudios que demuestren la necesidad social del programa en la metodología que se ofrece.</t>
  </si>
  <si>
    <t>A22. Existencia y utilización de sistemas y mecanismos de evaluación de los procesos de selección y admisión, y aplicación de los resultados de dicha evaluación.</t>
  </si>
  <si>
    <t>A26. Población de estudiantes que ingreso al programa en los últimos cinco años, el puntaje promedio obtenido por los admitidos en las pruebas de estado, el puntaje promedio estandarizado en pruebas de admisión cuando éstas se realicen, el puntaje mínimo aceptable para ingresar y la capacidad de selección y absorción de estudiantes por parte del programa (relación entre inscritos y admitidos, relación entre inscritos y matriculados).</t>
  </si>
  <si>
    <t>A36. Evidencias sobre la aplicación de las normas establecidas en los reglamentos estudiantil y académico para atender las situaciones presentadas con los estudiantes.</t>
  </si>
  <si>
    <t>A44. Información actualizada sobre el número de profesores adscritos a la facultad, al programa o departamento que sirva al mismo, por categorías académicas establecidas en el escalafón.</t>
  </si>
  <si>
    <t>A50. Tiempos de cada profesor del programa adscritos directamente o a través de la Facultad o Departamento respectivo, dedicados a la docencia (incluyendo el desarrollo de productos, artefactos, materiales y prototipos, entre otros), a la investigación, a la creación artística, a la extensión o proyección social, a la atención de funciones de gestión académica o administrativa, a la tutoría individual de los estudiantes, de acuerdo con la naturaleza del programa.</t>
  </si>
  <si>
    <t>A64. Apreciación de directivos y profesores del programa, adscritos directamente o a través de la Facultad o Departamento respectivo, sobre el impacto que, para el enriquecimiento de la calidad del programa ha tenido el régimen de estímulos al profesorado por el ejercicio calificado de la docencia. La investigación, la innovación, la creación artística y cultural, la extensión o proyección social, los aportes al desarrollo técnico y tecnológico y la cooperación internacional.</t>
  </si>
  <si>
    <t>A67. Premios u otros reconocimientos a los materiales de apoyo a la labor docente, en el ámbito nacional o internacional, que hayan producido los profesores adscritos al programa.</t>
  </si>
  <si>
    <t>A71. Apreciación de los profesores con respecto a la correspondencia entre la remuneración y los méritos académicos y profesionales.</t>
  </si>
  <si>
    <t>A74. Evaluaciones realizadas a los profesores adscritos al programa durante los últimos cinco años y las acciones adelantadas por la Institución y por el programa a partir de dichos resultados.</t>
  </si>
  <si>
    <t>A79. Asignación de créditos y de distribución de tiempos directo e independiente, a las distintas actividades de formación de acuerdo con la modalidad en que se ofrece el programa.</t>
  </si>
  <si>
    <t>A102. Apreciación de los estudiantes, profesores y directivos del programa sobre la correspondencia entre los métodos de enseñanza y aprendizaje que se emplean en el programa y el desarrollo de los contenidos del plan de estudios.</t>
  </si>
  <si>
    <t>A116. Apreciación de directivos, profesores y estudiantes del programa sobre la correspondencia entre las formas de evaluación académica de los estudiantes, la naturaleza del mismo y los métodos pedagógicos empleados para su desarrollo.</t>
  </si>
  <si>
    <t>A122. Apreciación de directivos y profesores adscritos al programa sobre la correspondencia entre la calidad de los trabajos realizados por los estudiantes y los objetivos de logro definidos para el mismo, incluyendo la formación personal.</t>
  </si>
  <si>
    <t>A127. Apreciación de directivos, profesores, estudiantes sobre la incidencia de los sistemas de evaluación y autorregulación del programa en el enriquecimiento de la calidad de éste.</t>
  </si>
  <si>
    <t>A131. Evidencias del impacto en el entorno que han generado los resultados de los proyectos de extensiones o proyección social desarrollados por el programa</t>
  </si>
  <si>
    <t>A146. Eficiencia, oportunidad y eficacia en cuanto a la actualización y al soporte técnico de la plataforma informática y los equipos computacionales.</t>
  </si>
  <si>
    <t>A165. Experiencias de homologación de cursos realizados en otros programas nacionales o extranjeros.</t>
  </si>
  <si>
    <t>A173. Estudiantes que están vinculados como monitores, auxiliares de investigación e integrantes de semilleros y/o grupos de investigación.</t>
  </si>
  <si>
    <t>A184. Recursos humanos, logísticos y financieros con que cuenta el programa, asociados a proyectos y a otras actividades de investigación, innovación y creación artística y cultural.</t>
  </si>
  <si>
    <t>A192. Programas, servicios y actividades de bienestar dirigidos a los profesores, estudiantes y personal administrativo del Programa.</t>
  </si>
  <si>
    <t>A201. Existencia de proyectos que establezcan estrategias pedagógicas y actividades extracurriculares orientadas a optimizar las tasas de retención y de graduación de estudiantes en los tiempos previstos, manteniendo la calidad académica del Programa.</t>
  </si>
  <si>
    <t>A220. Documentos institucionales que establecen la forma de operación (procesos y procedimientos) de las distintas instancias relacionadas con la gestión del Programa.</t>
  </si>
  <si>
    <t>A224. Apreciación de los egresados, empleadores y usuarios externos sobre la calidad de la formación dada por el programa.</t>
  </si>
  <si>
    <t>A236. Existencia de planes y proyectos en ejecución para la conservación, expansión, mejoras y mantenimiento de la planta física para el Programa, de acuerdo con las normas técnicas respectivas.</t>
  </si>
  <si>
    <t>A241. Distribución de la asignación presupuestal para actividades de docencia, investigación, creación artística y cultural, proyección social, bienestar institucional e internacionalización que en forma directa o indirecta se reflejen en el Programa.</t>
  </si>
  <si>
    <t>A249. Evidencias de los controles legales y administrativos para asegurar el manejo transparente de los recursos.</t>
  </si>
  <si>
    <t>A4. La Institución cuenta con una política eficaz y tiene evidencias sobre alternativas de financiación para facilitar el ingreso y permanencia de los estudiantes que evidencian dificultades económicas.</t>
  </si>
  <si>
    <t>A10. Coherencia entre el Proyecto Educativo del Programa y las actividades académicas desarrolladas.</t>
  </si>
  <si>
    <t>A14. Correspondencia entre el perfil laboral y ocupacional del sector y el perfil profesional expresado en el Proyecto Educativo del Programa.</t>
  </si>
  <si>
    <t>A23. Requerimientos para el ingreso de estudiantes en condición de transferencia, homologación u otro proceso que amerite criterios específicos para el tránsito entre ciclos, niveles y/o instituciones. Beneficios de estos requerimientos en la formación integral de los estudiantes.</t>
  </si>
  <si>
    <t>A27. En los programas de salud, donde sea pertinente, evidenciar la utilización de escenarios de práctica requeridos para cumplir con los objetivos del programa.</t>
  </si>
  <si>
    <t>A45. Aplicación de las políticas institucionales en materia de ubicación, permanencia y ascenso en las categorías del escalafón docente.</t>
  </si>
  <si>
    <t>A51. Tiempos de los profesores de cátedra dedicados a las tutorías, al acompañamiento de estudiante y el desarrollo de competencias, especialmente actitudes, conocimientos, capacidades y habilidades.</t>
  </si>
  <si>
    <t>A68. Existencia y aplicación de un régimen de propiedad intelectual en la Institución aplicado a los materiales de apoyo a la docencia.</t>
  </si>
  <si>
    <t>A75. Información verificable sobre la participación de los distintos actores en la evaluación.</t>
  </si>
  <si>
    <t>A80. Apreciación de directivos, profesores y estudiantes sobre la calidad e integralidad del currículo.</t>
  </si>
  <si>
    <t>A90. Índice de flexibilidad curricular y comparativos nacionales e internacionales.</t>
  </si>
  <si>
    <t>A103. Estrategias y mecanismos de seguimiento y acompañamiento por parte del docente al trabajo que realizan los estudiantes en las distintas actividades académicas, de acuerdo con sus capacidades y potencialidades y con el tipo y metodología del programa.</t>
  </si>
  <si>
    <t>A117. Apreciación de los estudiantes acerca de la utilidad del sistema de evaluación académica en la adquisición de competencias, tales como las actitudes, los conocimientos, las capacidades y las habilidades propias del programa.</t>
  </si>
  <si>
    <t>A140. Inversión anual en las adquisiciones de libros, revistas especializadas, bases de datos y suscripciones a publicaciones periódicas, relacionados con el programa académico, en los últimos cinco años.</t>
  </si>
  <si>
    <t>A147. Apreciación de directivos, profesores y estudiantes del programa sobre la pertinencia, correspondencia y suficiencia de los recursos informáticos y de comunicación con que cuenta el programa.</t>
  </si>
  <si>
    <t>A151. Convenios con centros, instituciones, empresas u organizaciones, que faciliten el uso de otros recursos y escenarios de enseñanza, aprendizaje, investigación y creación artística y cultural, por parte de la comunidad académica.</t>
  </si>
  <si>
    <t>A166. Profesores o expertos visitantes nacionales y extranjeros que ha recibido el Programa en los últimos cinco años (objetivos, duración y resultados de su estadía).</t>
  </si>
  <si>
    <t>A174. Grupos y semilleros de investigación del programa en los que participan estudiantes, de acuerdo con su tipo y modalidad.</t>
  </si>
  <si>
    <t>A185. Grupos de investigación conformados por profesores y estudiantes adscritos al programa, reconocidos por COLCIENCIAS o por otro organismo.</t>
  </si>
  <si>
    <t>A193. Participación de directivos, profesores, estudiantes y personal administrativo del programa en los programas, los servicios y las actividades de Bienestar Institucional.</t>
  </si>
  <si>
    <t>A205. Cantidad y dedicación del talento humano para cubrir las necesidades del Programa.</t>
  </si>
  <si>
    <t>A212. Sistema de consulta, registro y archivo de la información académica de los estudiantes y los profesores adscritos al programa.</t>
  </si>
  <si>
    <t>A221. Mecanismos eficientes de participación de la comunidad académica en la gestión del Programa.</t>
  </si>
  <si>
    <t>A225. Apreciación de los egresados acerca de la forma como el programa favorece el desarrollo del proyecto de vida.</t>
  </si>
  <si>
    <t>A233. Apreciación de empleadores sobre la calidad de la formación y el desempeño de los egresados del programa.</t>
  </si>
  <si>
    <t>A237. Apreciación de directivos, profesores, estudiantes y personal administrativo del programa sobre las características de la planta física, desde el punto de vista de su accesibilidad, diseño, capacidad, iluminación, ventilación y condiciones de seguridad e higiene.</t>
  </si>
  <si>
    <t>A242. Porcentaje de los ingresos que la Institución dedica a la inversión en el Programa.</t>
  </si>
  <si>
    <t>A250. Apreciación de directivos y profesores adscritos al Programa sobre la equidad en la asignación de recursos físicos y financieros para el Programa.</t>
  </si>
  <si>
    <t>A5. La Institución aplica una política eficaz que permite el acceso a la educación superior sin discriminación. Promueve estrategias eficaces orientadas a identificar, eliminar o disminuir barreras comunicativas para poblaciones diversas.</t>
  </si>
  <si>
    <t>A15. Estudios y/o proyectos formulados o en desarrollo, que propendan por la modernización, actualización y pertinencia del currículo de acuerdo con las necesidades del entorno.</t>
  </si>
  <si>
    <t>A28. Evidenciar que los convenios de docencia – servicios se realizan a largo plazo y con IPS acreditadas o con Hospitales Universitarios y en ellos la dinámica interinstitucional denota equilibrio y reciprocidad.</t>
  </si>
  <si>
    <t>A38. Políticas y estrategias sobre estímulos académicos para los estudiantes. El programa tiene evidencias sobre la aplicación de estas políticas y estrategias.</t>
  </si>
  <si>
    <t>A52. Experiencia profesional y/o académica de los profesores, según necesidades y exigencias del programa para el desarrollo óptimo de sus funciones sustantivas.</t>
  </si>
  <si>
    <t>A60. Reconocimiento a los profesores que participan en procesos de creación artística y cultural.</t>
  </si>
  <si>
    <t>A76. Apreciación de los profesores adscritos al programa, sobre los criterios y mecanismos para la evaluación de docentes, su transparencia, equidad y eficacia.</t>
  </si>
  <si>
    <t>A81. Estrategias aplicadas para el fomento de la creatividad y del desarrollo de pensamiento autónomo en los estudiantes.</t>
  </si>
  <si>
    <t>A91. Apreciación de directivos, profesores y estudiantes del programa sobre aplicación y eficacia de las políticas institucionales en materia de flexibilidad curricular.</t>
  </si>
  <si>
    <t>A118. Criterios y procedimientos orientados a la evaluación de competencias especialmente actitudes, conocimientos, capacidades y habilidades, y estrategias de retroalimentación de la actividad académica de los estudiantes</t>
  </si>
  <si>
    <t>A124. Trabajos académicos realizados por estudiantes del programa, en los últimos cinco años, que han merecido premios o reconocimientos significativos por la comunidad académica nacional o internacional.</t>
  </si>
  <si>
    <t>A133. Apreciación de empresarios, funcionarios públicos, líderes comunitarios y de otros agentes externos sobre el impacto social de los proyectos desarrollados por el programa.</t>
  </si>
  <si>
    <t>A141. Profesores y estudiantes del programa que utilizan recursos bibliográficos: libros, revistas especializadas y bases de datos, en los últimos cinco años, de acuerdo con el tipo y modalidad del programa.</t>
  </si>
  <si>
    <t>A152. Para programas del área de Ciencias de la Salud, información sobre escenarios de práctica y convenios docente-asistenciales de largo plazo, con Hospitales Universitarios o IPS acreditadas, certificados por el Ministerio de Protección Social. Evidenciar su pertinencia, calidad docente y capacidad instalada en relación con el número de estudiantes del programa.</t>
  </si>
  <si>
    <t>A158. Profesores, estudiantes y directivos del programa con participación activa en redes u organismos nacionales e internacionales de la que se hayan derivado productos concretos como publicaciones en coautoría, cofinanciación de proyectos, registros y patentes, entre otros.</t>
  </si>
  <si>
    <t>A167. Profesores y estudiantes adscritos al programa que en los últimos cinco años han participado en actividades de cooperación académica y profesional con programas nacionales e internacionales de reconocido liderazgo en el área (semestre académico de intercambio, pasantía o práctica, rotación médica, curso corto, misión, profesor visitante/conferencia, estancia de investigación, estudios de postgrado, profesor en programa de pregrado y/o postgrado, congresos, foros, seminarios, simposios, educación continuada, par académico, parques tecnológicos, incubadoras de empresas, mesas y ruedas de negociación económica y tecnológica, entre otros).</t>
  </si>
  <si>
    <t>A175. Actividades académicas – cursos electivos, seminarios, pasantías, eventos – derivados de líneas de investigación en los últimos cinco años.</t>
  </si>
  <si>
    <t>A194. Apreciación de directivos, profesores, estudiantes y personal administrativo del programa sobre la calidad y pertinencia de los servicios y las actividades de bienestar y sobre su contribución a su desarrollo personal.</t>
  </si>
  <si>
    <t>A206. Formación y experiencia de quienes orientan la administración del Programa.</t>
  </si>
  <si>
    <t>A226. Utilización de la información contenida en el Observatorio Laboral para la Educación, como insumo para estudiar la pertinencia del programa.</t>
  </si>
  <si>
    <t>A238. Disponibilidad de infraestructura física para atender las necesidades académicas, administrativas y de bienestar, que sea coherente con la modalidad en que se ofrece el Programa.</t>
  </si>
  <si>
    <t>A243. Capacidad del programa para generar recursos externos para el apoyo a sus funciones misionales.</t>
  </si>
  <si>
    <t>A251. En los programas de salud, donde sea pertinente, evidencia las dinámicas de administración compartida entre las Instituciones de Educación Superior y el Hospital Universitario o IPS, en cuanto a convenios docentes-asistenciales y escenarios de prácticas, entre otros.</t>
  </si>
  <si>
    <t>A6. La Institución cuenta con una política eficaz orientada a identificar, eliminar o disminuir barreras en infraestructura física. La institución tiene evidencias sobre la aplicación de esta política.</t>
  </si>
  <si>
    <t>A16. Estudios actualizados sobre las necesidades formativas en la región de influencia del programa.</t>
  </si>
  <si>
    <t>A29. En los programas de salud, donde sea pertinente, evidenciar que la relación entre el número de estudiantes y la capacidad instalada de los escenarios de práctica (camas, docentes, tutores, investigadores, entre otros) es adecuada y suficiente.</t>
  </si>
  <si>
    <t>A47. Evidencias sobre la participación de los profesores en los órganos de dirección del programa, de la facultad, del departamento y/o de la institución, durante los últimos cinco años.</t>
  </si>
  <si>
    <t>A82. Desempeño de los estudiantes del programa en las Pruebas de Estado de educación superior, en los últimos cinco años. Calificaciones promedio con respecto al promedio nacional.</t>
  </si>
  <si>
    <t>A92. Movilidad estudiantil con otras instituciones nacionales e internacionales.</t>
  </si>
  <si>
    <t>A105. Estrategias pedagógicas, didácticas y comunicativas acordes con la metodología y con las posibilidades tecnológicas y las necesidades de los estudiantes en atención a su diversidad.</t>
  </si>
  <si>
    <t>A119. Criterios y procedimientos para la revisión de los sistemas de evaluación académica de los estudiantes.</t>
  </si>
  <si>
    <t>A134. Número y tipo de reconocimientos hechos en los últimos cinco años por entidades gubernamentales y no gubernamentales al impacto que el programa ha ejercido en los medios locales, regionales, nacionales o internacionales.</t>
  </si>
  <si>
    <t>A153. Apreciación de profesores y estudiantes del programa sobre la capacidad, disponibilidad, dotación y utilización de laboratorios, talleres, ayudas audiovisuales y campos de práctica, entre otros recursos de apoyo docente.</t>
  </si>
  <si>
    <t>A187. Publicaciones en revistas indexadas y especializadas nacionales e internacionales, innovaciones, patentes, productos o procesos técnicos y tecnológicos patentables o no patentables o protegidas por secreto industrial, libros, capítulos de libros, dirección de trabajos de grado de maestría y doctorado, paquetes tecnológicos, normas resultado de investigación, producción artística y cultural, productos de apropiación social del conocimiento, productos asociados a servicios técnicos o consultoría cualificada , elaborados por profesores adscritos al programa, de acuerdo con su tipo y naturaleza.</t>
  </si>
  <si>
    <t>A195. Programas y estrategias de seguimiento integral a la comunidad institucional y acciones derivadas que conduzcan al desarrollo humano y el respeto a la diferencia.</t>
  </si>
  <si>
    <t>A207. Apreciación del personal administrativo del programa sobre la claridad de las funciones encomendadas, sobre la articulación de sus tareas con las necesidades.</t>
  </si>
  <si>
    <t>A214. Apreciación de directivos, profesores, estudiantes y personal administrativo sobre la eficacia de los sistemas de información académica y de los mecanismos de comunicación del Programa.</t>
  </si>
  <si>
    <t>A227. Evidencia de los procesos de análisis de la situación de los egresados.</t>
  </si>
  <si>
    <t>A244. Apreciación de directivos y profesores adscritos al programa sobre la suficiencia de los recursos presupuestales de que se dispone en el mismo y sobre la ejecución presupuestal.</t>
  </si>
  <si>
    <t>A30. En los programas de salud, donde sea pertinente, evidenciar adecuadas rotaciones y entrenamiento médico. Los profesores-médicos que tienen a cargo los programas de docencia de servicio cuentan con el nivel de formación adecuado y la experiencia requerida.</t>
  </si>
  <si>
    <t>A54. Apreciación de directivos, profesores y estudiantes del programa adscritos directamente o a través de la Facultad o Departamento respectivo, sobre la calidad y la suficiencia del número y de la dedicación de los profesores al servicio de éste.</t>
  </si>
  <si>
    <t>A93. Existencia de sistemas de homologación de créditos y de tránsito del pregrado al postgrado.</t>
  </si>
  <si>
    <t>A135. Mecanismos para el análisis de las acciones que el programa ejerce sobre el medio y para la revisión periódica de las estrategias implementadas en esa materia.</t>
  </si>
  <si>
    <t>A169. Participación de profesores adscritos al programa en redes académicas, científicas, técnicas y tecnológicas, económicas, a nivel nacional e internacional, de acuerdo con el tipo y modalidad del Programa.</t>
  </si>
  <si>
    <t>A188. En el caso de las artes, el reconocimiento en libros de arte y revistas especializadas, la presentación, exposición o ejecución en instituciones de reconocido prestigio, la participación en eventos organizados por comunidades artísticas y académicas. En el caso de la literatura, la publicación por editoriales reconocidas en el ámbito literario e incluidas en antologías, entre otras.</t>
  </si>
  <si>
    <t>A196. Investigación permanente de la problemática social del entorno que incide en la comunidad institucional.</t>
  </si>
  <si>
    <t>A208. Apreciación de profesores y estudiantes adscritos al programa sobre la eficiencia, eficacia y orientación de los procesos administrativos hacia el desarrollo de las funciones misionales.</t>
  </si>
  <si>
    <t>A215. Profesores, administrativos y estudiantes que confirman el acceso con calidad a los sistemas de comunicación e información mediados por las TIC.</t>
  </si>
  <si>
    <t>A245. Existencia de estudio de viabilidad financiera del programa, que incluya un plan básico de inversión orientado a la consolidación del Proyecto Educativo.</t>
  </si>
  <si>
    <t>C14. Remuneración por méritos</t>
  </si>
  <si>
    <t>A55. Existencia y utilización de sistemas y criterios para evaluar el número, la dedicación, el nivel de formación y la experiencia de los profesores del programa, adscritos directamente o a través de la Facultad o Departamento respectivo; periodicidad de esta evaluación; acciones adelantadas por la institución y el programa, a partir de los resultados de las evaluaciones realizadas en esta materia en los últimos cinco años.</t>
  </si>
  <si>
    <t>A84. Identificación en el perfil profesional y ocupacional de los distintos tipos de competencias, especialmente actitudes, conocimientos, capacidades y habilidades requeridas en el nivel de formación y las actividades académicas necesarias para su desarrollo.</t>
  </si>
  <si>
    <t>A94. Convenios y relaciones de cooperación con Instituciones de Educación media y superior y con el sector laboral, para asegurar el tránsito y continuidad de los estudiantes en el sistema educativo y su inserción en el sistema productivo, de acuerdo con el tipo y modalidad del programa.</t>
  </si>
  <si>
    <t>A107. Estrategias y mecanismos pedagógicos aplicados y orientados hacia la integración de las tres funciones sustantivas de investigación, docencia y proyección social.</t>
  </si>
  <si>
    <t>A136. Información sobre las comunidades, empresas, gobiernos, instituciones, organizaciones de usuarios, y asociaciones a los que se presta asistencia técnica o tecnológica, servicios, asesorías y otros apoyos que apuntan a la resolución de problemas o a la ejecución de programas de mejoramiento, de acuerdo con la naturaleza y modalidad del programa.</t>
  </si>
  <si>
    <t>A178. Participación de los estudiantes en los programas institucionales de jóvenes investigadores.</t>
  </si>
  <si>
    <t>A189. Apoyo administrativo y financiero para el desarrollo y gestión de la investigación, gestión del conocimiento (vigilancia tecnológica), la creación de empresas y de planes de negocio (como los centros de incubación y financiación empresarial, oficinas de transferencia de resultados de investigación, centros de investigación y desarrollo tecnológico, entre otros) proyectos de innovación en conjunto con empresas y la creación artística y cultural, de acuerdo con la naturaleza del programa.</t>
  </si>
  <si>
    <t>A197. Estrategias que permitan a los estudiantes vincularse a redes de apoyo orientadas a contrarrestar las situaciones de vulnerabilidad.</t>
  </si>
  <si>
    <t>A216. Existencia de estrategias que garanticen la conectividad a los miembros de la comunidad académica del Programa, de acuerdo con la modalidad en que éste es ofrecido.</t>
  </si>
  <si>
    <t>A229. Estrategias que faciliten el paso del estudiante al mundo laboral.</t>
  </si>
  <si>
    <t>A246. Los planes de mejoramiento del programa se soportan en un presupuesto de apropiación programada.</t>
  </si>
  <si>
    <t>A108. Estudios realizados por la Institución y el programa para identificar y evaluar la permanencia y retención, de acuerdo con la metodología de enseñanza en que se ofrece el programa.</t>
  </si>
  <si>
    <t>A162. Evidencias del impacto social que ha generado la inserción del Programa en los contextos académicos nacionales e internacionales, de acuerdo a su naturaleza.</t>
  </si>
  <si>
    <t>A179. Participación de los estudiantes en prácticas empresariales en temas de investigación y desarrollo, ingeniería y experimentación en Colombia y en el extranjero.</t>
  </si>
  <si>
    <t>A198. En los programas de salud, donde sea pertinente, evidenciar estrategias de bienestar adecuadas para los estudiantes en prácticas (lockers, camarotes, dormitorios) entre otros.</t>
  </si>
  <si>
    <t>A217. Mecanismos de comunicación para facilitar que la población estudiantil en toda su diversidad tenga acceso a la información.</t>
  </si>
  <si>
    <t>A86. Aplicación de estrategias efectivas orientadas al desarrollo de competencias, especialmente conocimientos, capacidades y habilidades comunicativas en un segundo idioma extranjero.</t>
  </si>
  <si>
    <t>A96. Acciones llevadas a cabo entre la Institución y otras instituciones del sector público o privado (educativo, productivo, financiero, entre otros) para articular y afirmar el carácter secuencial y complementario de los ciclos, desde el punto de vista académico y laboral, de acuerdo con el tipo y modalidad del programa.</t>
  </si>
  <si>
    <t>A109. Correlación entre la duración prevista para el programa, de acuerdo con su metodología y plan de estudios, y la que realmente tiene lugar.</t>
  </si>
  <si>
    <t>A180. Participación de los estudiantes en proyectos Universidad Empresa Estado que adelante la Institución.</t>
  </si>
  <si>
    <t>C25. Recursos  informáticos y de comunicación</t>
  </si>
  <si>
    <t>A110. Estrategias para garantizar el éxito académico de los estudiantes en el tiempo previsto para el desarrollo del plan de estudios, atendiendo los estándares de calidad.</t>
  </si>
  <si>
    <t>A181. Participación de los estudiantes en programas de innovación tales como: transferencia de conocimiento, emprendimiento y creatividad.</t>
  </si>
  <si>
    <t>A111. Informes estadísticos sobre la población de estudiantes del programa desde el primero hasta el último semestre, en las últimas cinco cohortes.</t>
  </si>
  <si>
    <t>A112. Apreciación de profesores y estudiantes sobre la correspondencia entre las condiciones y exigencias académicas de permanencia y graduación en el programa, y la naturaleza del mismo.</t>
  </si>
  <si>
    <t>A113. Existencia de mecanismo de seguimiento, acompañamiento especial a estudiantes y adecuaciones locativas para facilitar el óptimo desempeño de admitidos en condición de vulnerabilidad y discapacidad, entre otros.</t>
  </si>
  <si>
    <t>FACTORES</t>
  </si>
  <si>
    <t>GESTIÓN JURÍDICA</t>
  </si>
  <si>
    <t>GESTIÓN DEL BIENESTAR INSTITUCIONAL</t>
  </si>
  <si>
    <t>GESTIÓN DE LA COMUNICACIÓN</t>
  </si>
  <si>
    <t>GESTIÓN DE LA EVANGELIZACIÓN</t>
  </si>
  <si>
    <t>GESTIÓN DE LA TECNOLOGÍA</t>
  </si>
  <si>
    <t>FORTALECIMIENTO</t>
  </si>
  <si>
    <t>ADMINISTRACIÓN DE EMPRESAS</t>
  </si>
  <si>
    <t>ARQUITECTURA</t>
  </si>
  <si>
    <t>CONTADURÍA PÚBLICA</t>
  </si>
  <si>
    <t>DERECHO</t>
  </si>
  <si>
    <t>DISEÑO GRÁFICO</t>
  </si>
  <si>
    <t>ESP. EN GERENCIA DE PROYECTOS</t>
  </si>
  <si>
    <t>INGENIERÍA DE SISTEMAS</t>
  </si>
  <si>
    <t>INGENIERÍA ELECTRÓNICA</t>
  </si>
  <si>
    <t>LICENCIATURA EN EDUCACIÓN FÍSICA</t>
  </si>
  <si>
    <t>LICENCIATURA EN EDUCACIÓN INFANTIL</t>
  </si>
  <si>
    <t>TECNOLOGÍA EN CONTABILIDAD Y FINANZAS</t>
  </si>
  <si>
    <t>TECNOLOGÍA EN GESTIÓN FINANCIERA</t>
  </si>
  <si>
    <t>Tarifas a cobrar por la Universidad Cesmag para el año 2022</t>
  </si>
  <si>
    <t>Duplicado de Acta de grado</t>
  </si>
  <si>
    <t>sesiòn</t>
  </si>
  <si>
    <t>Valor Hora para entidades Gorettianas</t>
  </si>
  <si>
    <t>Valor hora para Convenios</t>
  </si>
  <si>
    <t>Aplicar un descuento el 20% del valor de la hora externos por cada uno de los conceptos referenciados</t>
  </si>
  <si>
    <t>Aplicar un descuento el 50% del valor de la hora externos por cada uno de los conceptos referenciados</t>
  </si>
  <si>
    <t>DECRETO RECTORAL 001</t>
  </si>
  <si>
    <t>VALOR SMMLV</t>
  </si>
  <si>
    <t>Asunto:                                   Tarifas 2024</t>
  </si>
  <si>
    <t>Reemplaza:                            Circular 08 de 2024</t>
  </si>
  <si>
    <t>Fecha de expedición:            Enero 16 de 2024</t>
  </si>
  <si>
    <t>Certificado para contrato por OPS</t>
  </si>
  <si>
    <t>Certificado Record de contratos por OPS</t>
  </si>
  <si>
    <t>Cursos de Inglés A, A2, B1, B2, C1, C2</t>
  </si>
  <si>
    <t>Valor Hora Aulas sin Equipos Sede Central</t>
  </si>
  <si>
    <t>Valor Hora Aulas sin Equipos Sede MUSD</t>
  </si>
  <si>
    <t>Cámara de Gesell Valor hora</t>
  </si>
  <si>
    <t>Equipos de cómputo y video beam</t>
  </si>
  <si>
    <t>Jornada de 4 horas mañana, tarde o noche por equipo</t>
  </si>
  <si>
    <t>Jornada de 4 horas mañana, tarde o noche Video Beam</t>
  </si>
  <si>
    <t>Espacios Deportivas Sede MUSD</t>
  </si>
  <si>
    <t>Piscina sesión 1 hora/persona. Docentes UNICESMAG</t>
  </si>
  <si>
    <t>Piscina sesión 1 hora/persona. Estudiantes UNICESMAG</t>
  </si>
  <si>
    <t>Piscina sesión 1 hora/persona. Egresados UNICESMAG</t>
  </si>
  <si>
    <t>Piscina sesión 1 hora/persona. Personal de Entidades Gorettianas</t>
  </si>
  <si>
    <t>Piscina sesión 1 hora/persona. Personal Externo</t>
  </si>
  <si>
    <t>ALQUILER DE AULAS Y OTROS ESPACIOS FISICOS</t>
  </si>
  <si>
    <t>PARA ALQUILER DE AULAS Y OTROS ESPACIÓS FISICOS TENER EN CUENTA:</t>
  </si>
  <si>
    <t xml:space="preserve">Tratamiento Para ENTIDADES GORETIANAS: </t>
  </si>
  <si>
    <t>Cancelar el 10% del valor de la hora externos, por cada uno de los conceptos referenciados</t>
  </si>
  <si>
    <t>Tratamiento Para CONVENIOS:</t>
  </si>
  <si>
    <t>Aplicar un descuento del 20% del valor de la hora externos por cada uno de los conceptos referenciados</t>
  </si>
  <si>
    <t>De    4  a  10 horas</t>
  </si>
  <si>
    <t>De  11  a  40 horas</t>
  </si>
  <si>
    <t>De  41  a  80 horas</t>
  </si>
  <si>
    <t>De  81  a  130 horas</t>
  </si>
  <si>
    <t>De 131  a  180 horas</t>
  </si>
  <si>
    <t>De 181  a  250 horas</t>
  </si>
  <si>
    <t>5% descuento</t>
  </si>
  <si>
    <t>15% descuento</t>
  </si>
  <si>
    <t>7.5% descuento</t>
  </si>
  <si>
    <t>25% descuento</t>
  </si>
  <si>
    <t>30% descuento</t>
  </si>
  <si>
    <t xml:space="preserve">Valor hora para ENTIDADES GORETIANAS: </t>
  </si>
  <si>
    <t>Se descuenta hasta el 100% de la tarifa cuando el uso sea para actividades ordinarias de las entidades Gorettianas, siempre y cuando haya disponibilidad del o los espacios solicitados</t>
  </si>
  <si>
    <t>Valor diario por libro, equivalente al 0,5% del SMMLV, sin sobre pasar el valor actual de la obra bibliográfica</t>
  </si>
  <si>
    <t>Valor diario por elemento, sin sobre pasar el valor actual del elemento</t>
  </si>
  <si>
    <t>NOTA: SUSPENSIÓN DE PRÉSTAMOS POR NO CANCELACIÓN DE MULTA</t>
  </si>
  <si>
    <t>Hora Docente Hora Cátedra según lo siguiente</t>
  </si>
  <si>
    <t xml:space="preserve">PROFESIONAL      </t>
  </si>
  <si>
    <t xml:space="preserve">ESPECIALISTA      </t>
  </si>
  <si>
    <t xml:space="preserve">MAGISTER             </t>
  </si>
  <si>
    <t xml:space="preserve">DOCTOR              </t>
  </si>
  <si>
    <t>Doce horas tiempo completo, según escalafón docente</t>
  </si>
  <si>
    <t>Dos horas por asignatura tiempo completo, según escalafón docente</t>
  </si>
  <si>
    <t>Hasta 61.300</t>
  </si>
  <si>
    <t>Hasta 55.100</t>
  </si>
  <si>
    <t>Hasta 36.700</t>
  </si>
  <si>
    <t>Espacios Deportivos MUSD</t>
  </si>
  <si>
    <t>Descripción</t>
  </si>
  <si>
    <t>Otros conceptos y Equipos</t>
  </si>
  <si>
    <t>SALA ZOOM (Se coloca cantidad por usuarios)</t>
  </si>
  <si>
    <t>PLATAFORMA TAU (Se coloca cantidad por usuarios)</t>
  </si>
  <si>
    <t>PRESUPUESTO GENERAL DEL PLAN DE MEJORAMIENTO</t>
  </si>
  <si>
    <r>
      <t xml:space="preserve">IMPREVISTOS Renglones </t>
    </r>
    <r>
      <rPr>
        <b/>
        <sz val="9"/>
        <rFont val="Times New Roman"/>
        <family val="1"/>
      </rPr>
      <t xml:space="preserve">[(16)(5/100)] </t>
    </r>
  </si>
  <si>
    <t>SUBTOTAL ITEM 22</t>
  </si>
  <si>
    <t xml:space="preserve">TOTAL SERVICIOS PERSONALES </t>
  </si>
  <si>
    <t>SUBTOTAL Item 23</t>
  </si>
  <si>
    <t>SUBTOTAL ITEM 24</t>
  </si>
  <si>
    <t>TOTAL SERVICIOS PERSONALES Y GENERALES (22+ 23 )</t>
  </si>
  <si>
    <t>TOTAL GASTOS (SUME RENGLONES 15 + 16 + 17)</t>
  </si>
  <si>
    <t>Profesional Básico</t>
  </si>
  <si>
    <t>Profesional Auxiliar</t>
  </si>
  <si>
    <t>Especialista Básico</t>
  </si>
  <si>
    <t>Especialista Auxiliar</t>
  </si>
  <si>
    <t>Especialista Asistente</t>
  </si>
  <si>
    <t>Magíster Básico</t>
  </si>
  <si>
    <t>Magíster Auxiliar</t>
  </si>
  <si>
    <t>Magíster Asistente</t>
  </si>
  <si>
    <t>Magíster Asociado</t>
  </si>
  <si>
    <t>Doctor Básico</t>
  </si>
  <si>
    <t>Doctor Auxiliar</t>
  </si>
  <si>
    <t>Doctor Asistente</t>
  </si>
  <si>
    <t>Doctor Asociado</t>
  </si>
  <si>
    <t>Doctor Titular</t>
  </si>
  <si>
    <t xml:space="preserve">Auditorio San Francisco (457 personas) jornada de 4 horas </t>
  </si>
  <si>
    <t xml:space="preserve">Auditorio San Francisco (457 personas) jornada de 8 horas </t>
  </si>
  <si>
    <t>Auditorio San Francisco (457 personas) 1 hora adicional</t>
  </si>
  <si>
    <t xml:space="preserve">Auditorio San Francisco (284 personas) jornada de 4 horas </t>
  </si>
  <si>
    <t xml:space="preserve">Auditorio San Francisco (284 personas) jornada de 8 horas </t>
  </si>
  <si>
    <t>Auditorio San Francisco (284 personas) 1 hora adicional</t>
  </si>
  <si>
    <t xml:space="preserve">Auditorio San Francisco (173 personas) jornada de 4 horas </t>
  </si>
  <si>
    <t xml:space="preserve">Auditorio San Francisco (173 personas) jornada de 8 horas </t>
  </si>
  <si>
    <t>Auditorio San Francisco (173 personas) 1 hora adicional</t>
  </si>
  <si>
    <t>Hall San Francisco (300 personas) jornada de 4 horas</t>
  </si>
  <si>
    <t>Hall San Francisco (300 personas) jornada de 8 horas</t>
  </si>
  <si>
    <t>Hall San Francisco (300 personas) 1 hora adicional</t>
  </si>
  <si>
    <t xml:space="preserve">Auditorio Santa Clara (76 personas) jornada de 4 horas </t>
  </si>
  <si>
    <t xml:space="preserve">Auditorio Santa Clara (76 personas) jornada de 8 horas </t>
  </si>
  <si>
    <t>Auditorio Santa Clara (76 personas) 1 hora adicional</t>
  </si>
  <si>
    <t>Auditorio 1 Campus San Damián (40 personas) jornada de 8 horas</t>
  </si>
  <si>
    <t>Auditorio 1 Campus San Damián (40 personas) jornada de 4 horas</t>
  </si>
  <si>
    <t>Auditorio 1 Campus San Damián (40 personas) 1 hora adicional</t>
  </si>
  <si>
    <t>Auditorio 2 Campus San Damián (250 personas) jornada de 8 horas</t>
  </si>
  <si>
    <t>Auditorio 2 Campus San Damián (250 personas) jornada de 4 horas</t>
  </si>
  <si>
    <t>Auditorio 2 Campus San Damián (250 personas) 1 hora adicional</t>
  </si>
  <si>
    <t>Sala de Juntas Campus San Damián (15 personas) 4 horas</t>
  </si>
  <si>
    <t>Sala de Juntas Campus San Damián (15 personas) 8 horas</t>
  </si>
  <si>
    <t>Sala de Juntas Campus San Damián (15 personas) 1 hora adicional</t>
  </si>
  <si>
    <t>Cancha de futbol 5 (por partido)</t>
  </si>
  <si>
    <t>Cancha de futbol 11 (por partido)</t>
  </si>
  <si>
    <t>Camerinos</t>
  </si>
  <si>
    <t>Cancha de baloncesto, voleibol, microfutbol con gradería, coliseo cubierto (por partido)</t>
  </si>
  <si>
    <t>Cancha de baloncesto, voleibol, microfutbol con gradería, canchas externas (por partido)</t>
  </si>
  <si>
    <t>Voleibol playa</t>
  </si>
  <si>
    <t>Tenis de mesa por partido</t>
  </si>
  <si>
    <t>Pista de atletismo (hora para evento)</t>
  </si>
  <si>
    <t>Zonas de integración (espacio libre para adecuación de diversas actividades lúdicas)</t>
  </si>
  <si>
    <t>VICERRECTORIA FINANCIERA Y DESARROLLO INSITUCIONAL</t>
  </si>
  <si>
    <t>FORMATO DE PROYECTOS ACTIVIADES PLAN DE MEJORAMIENTO</t>
  </si>
  <si>
    <t>PRESUPUESTO POR OBJETIVO ACTIVIDADES PLAN DE MEJORAMIENTO</t>
  </si>
  <si>
    <t>VICERRECTORIA FINANCIERA Y DESARROLLO INSTITUCIONAL</t>
  </si>
  <si>
    <t>Vicerrectoría Financiera y Dllo Instinal</t>
  </si>
  <si>
    <t>OPM_01</t>
  </si>
  <si>
    <t>OPM_02</t>
  </si>
  <si>
    <t>OPM_03</t>
  </si>
  <si>
    <t>OPM_04</t>
  </si>
  <si>
    <t>OPM_05</t>
  </si>
  <si>
    <t>OPM_06</t>
  </si>
  <si>
    <t>OPM_07</t>
  </si>
  <si>
    <t>OPM_08</t>
  </si>
  <si>
    <t>OPM_09</t>
  </si>
  <si>
    <t>OPM_10</t>
  </si>
  <si>
    <t>Identificación  y sistematización de los  proyectos que adelanta el programa, mediante sus funciones de docencia, investigación, innovación, creación artística y cultural, y extensión.</t>
  </si>
  <si>
    <t>F1. Proyecto Educativo del Programa e Identidad Institucional</t>
  </si>
  <si>
    <t>F2. Estudiantes</t>
  </si>
  <si>
    <t>F3. Profesores</t>
  </si>
  <si>
    <t>F4. Egresados</t>
  </si>
  <si>
    <t>F5. Aspectos académicos y resultados de aprendizaje</t>
  </si>
  <si>
    <t>F6. Permanencia y graduación</t>
  </si>
  <si>
    <t>F7. Interacción con el entorno nacional e internacional</t>
  </si>
  <si>
    <t>F8. Aportes de la investigación, la innovación, el desarrollo tecnológico y la creación, asociados al programa académico</t>
  </si>
  <si>
    <t>F9. Bienestar de la comunidad académica del programa</t>
  </si>
  <si>
    <t>F10. Medios educativos y ambientes de aprendizaje</t>
  </si>
  <si>
    <t>F11. Organización, administración y financiación del programa académico</t>
  </si>
  <si>
    <t>F12. Recursos físicos y tecnológicos</t>
  </si>
  <si>
    <t>C1. Proyecto Educativo del Programa</t>
  </si>
  <si>
    <t>C2. Relevancia académica y pertinencia social del programa académico</t>
  </si>
  <si>
    <t>C3. Participación en actividades de formación integral</t>
  </si>
  <si>
    <t>C4. Orientación y seguimiento a estudiantes</t>
  </si>
  <si>
    <t>C5. Capacidad de trabajo autónomo</t>
  </si>
  <si>
    <t>C6. Reglamento estudiantil y política académica</t>
  </si>
  <si>
    <t>C7. Estímulos y apoyos para estudiantes</t>
  </si>
  <si>
    <t>C8. Selección, vinculación y permanencia</t>
  </si>
  <si>
    <t>C10. Número, dedicación, nivel de formación y experiencia</t>
  </si>
  <si>
    <t>C12. Estímulos a la trayectoria profesoral</t>
  </si>
  <si>
    <t>C16. Seguimiento de los egresados</t>
  </si>
  <si>
    <t>C17. Impacto de los egresados en el medio social y académico</t>
  </si>
  <si>
    <t>C18. Integralidad de los aspectos curriculares</t>
  </si>
  <si>
    <t>C19. Flexibilidad de los aspectos curriculares.</t>
  </si>
  <si>
    <t>C20. Interdisciplinariedad</t>
  </si>
  <si>
    <t>C21. Estrategias pedagógicas.</t>
  </si>
  <si>
    <t>C22. Sistema de evaluación de estudiantes</t>
  </si>
  <si>
    <t>C23. Resultados de aprendizaje</t>
  </si>
  <si>
    <t>C24. Competencias</t>
  </si>
  <si>
    <t>C25. Evaluación y autorregulación del programa académico</t>
  </si>
  <si>
    <t>C26. Vinculación e interacción social</t>
  </si>
  <si>
    <t>C27. Políticas, estrategias y estructura para la permanencia y la graduación</t>
  </si>
  <si>
    <t>C28. Caracterización de estudiantes y sistema de alertas tempranas.</t>
  </si>
  <si>
    <t>C29. Ajustes a los aspectos curriculares</t>
  </si>
  <si>
    <t>C30. Mecanismos de selección</t>
  </si>
  <si>
    <t>C31. Inserción del programa en contextos académicos nacionales e internacionales</t>
  </si>
  <si>
    <t>C32. Relaciones externas de profesores y estudiantes</t>
  </si>
  <si>
    <t>C33. Habilidades comunicativas en una segunda lengua</t>
  </si>
  <si>
    <t>C34. Formación para la investigación, desarrollo tecnológico, la innovación y la creación</t>
  </si>
  <si>
    <t>C35. Compromiso con la investigación, desarrollo tecnológico, la innovación y la creación</t>
  </si>
  <si>
    <t>C36. Programas y servicios</t>
  </si>
  <si>
    <t>C37. Participación y seguimiento</t>
  </si>
  <si>
    <t>C38. Estrategias y recursos de apoyo a profesores</t>
  </si>
  <si>
    <t>C39. Estrategias y recursos de apoyo a estudiantes</t>
  </si>
  <si>
    <t>C40. Recursos bibliográficos y de información</t>
  </si>
  <si>
    <t>C41. Organización y administración</t>
  </si>
  <si>
    <t>C42. Dirección y gestión</t>
  </si>
  <si>
    <t>C43. Sistemas de comunicación e información</t>
  </si>
  <si>
    <t>C44. Estudiantes y capacidad institucional</t>
  </si>
  <si>
    <t>C45. Financiación del programa académico</t>
  </si>
  <si>
    <t>C46. Aseguramiento de la alta calidad y mejora continua</t>
  </si>
  <si>
    <t>C47. Recursos de infraestructura física y tecnológica.</t>
  </si>
  <si>
    <t>C48. Recursos informáticos y de comunicación.</t>
  </si>
  <si>
    <t>OE1_Diseñar e implementar estrategias integrales e innovadoras para arraigar la identidad de UNICESMAG</t>
  </si>
  <si>
    <t>OE2_Articular las labores institucionales desde una óptica transformadora de la persona para impactar la sociedad desde el reconocimiento de las culturas y las comunidades</t>
  </si>
  <si>
    <t>OE3_Desarrollar una arquitectura institucional bajo los principios de ética y buen gobierno</t>
  </si>
  <si>
    <t>Innovación en el Modelo Pedagógico</t>
  </si>
  <si>
    <t>Trazabilidad de los RA en el macro, meso y micro currículo</t>
  </si>
  <si>
    <t>Interacción social pertinente</t>
  </si>
  <si>
    <t>Apropiación de la identidad institucional</t>
  </si>
  <si>
    <t>Fomento de la cultura de autoevaluación al quehacer institucional</t>
  </si>
  <si>
    <t>Innovación en los procesos de bienestar, permanencia, inclusión y graduación</t>
  </si>
  <si>
    <t>Sostenibilidad administrativa y financiera.</t>
  </si>
  <si>
    <t>Creación de entornos tecnológicos sostenibles para las labores formativas</t>
  </si>
  <si>
    <t>Interinstitucionalización de la UNICESMAG</t>
  </si>
  <si>
    <t xml:space="preserve">Fortalecimiento de la investigación, innovación y/o creación artística y cultural </t>
  </si>
  <si>
    <t xml:space="preserve">Transformación y apropiación de la gobernabilidad y gobernanza institucional, mediante un marco normativo actualizado y pertinente. </t>
  </si>
  <si>
    <t>Consolidación de la comunidad UNICESMAG, a través de una arquitectura institucional eficiente.</t>
  </si>
  <si>
    <t>Toma de decisiones con base en información confiable</t>
  </si>
  <si>
    <t>INVESTIGACIÓN Y EXTENSIÓN</t>
  </si>
  <si>
    <t>A1. 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</si>
  <si>
    <t>A2. Análisis sobre las tendencias, necesidades y líneas de desarrollo de la disciplina o profesión, en el contexto regional, nacional e internacional.</t>
  </si>
  <si>
    <t>A3. 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t>
  </si>
  <si>
    <t>A4. Evidencia de las transformaciones sociales pertinentes para el contexto y el territorio en el que se ofrece el programa académico, y del entorno tanto nacional como internacional.</t>
  </si>
  <si>
    <t>A5. Apreciación de los estudiantes en relación con su participación en las actividades de investigación, desarrollo tecnológico, creación artística, culturales, deportivas y de extensión, que contribuyen a su formación integral, junto con las acciones emprendidas como resultado de dichas apreciaciones.</t>
  </si>
  <si>
    <t>A6. Resultados del análisis de la participación y principales logros de los estudiantes en actividades de investigación, desarrollo tecnológico, innovación, creación artística, culturales y deportivas.</t>
  </si>
  <si>
    <t>A7. Resultados del análisis de la participación y principales logros de los estudiantes en proyectos de desarrollo empresarial, relacionamiento nacional e internacional.</t>
  </si>
  <si>
    <t>A8. Resultados del análisis de la participación y principales logros de los estudiantes en otras acciones de formación complementaria, que promuevan la comprensión de la realidad social, la empatía, la ética, habilidades blandas, así como el relacionamiento con otras culturas y lenguas, de acuerdo con el nivel de formación y la modalidad del programa.</t>
  </si>
  <si>
    <t>A9. Evidencia de los efectos en la formación de los estudiantes, a partir de los procesos de orientación y seguimiento de los estudiantes, teniendo como referencia sus características de ingreso.</t>
  </si>
  <si>
    <t>A10. Evidencia de los resultados de las estrategias de seguimiento y evaluación de los resultados de aprendizaje en el desarrollo de capacidades para el trabajo autónomo del estudiante.</t>
  </si>
  <si>
    <t>A11. 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</si>
  <si>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A12. Evidencia de los mecanismos para la aplicación, actualización y divulgación del reglamento estudiantil.</t>
  </si>
  <si>
    <t>A13. Evidencia de los beneficios generados por el otorgamiento de estímulos académicos y apoyos socioeconómicos a los estudiantes.</t>
  </si>
  <si>
    <t>A14. Apreciación de los estudiantes del programa frente a la aplicación de los estímulos académicos y apoyos socioeconómicos, y el cumplimiento institucional de estas medidas, junto con las acciones emprendidas como resultado de dichas apreciaciones.</t>
  </si>
  <si>
    <t>A15. Evidencia de la aplicación de los procesos de selección, vinculación y permanencia de los profesores, en coherencia con el nivel de formación, modalidad del programa académico y lugar de desarrollo.</t>
  </si>
  <si>
    <t>A16. 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</si>
  <si>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A17. Evidencias que demuestren los resultados de la aplicación del estatuto profesoral, o el que haga sus veces, sobre la trayectoria profesoral, la inclusión, el reconocimiento de méritos y el ascenso en el escalafón, de acuerdo con el nivel de formación y la modalidad del programa.</t>
  </si>
  <si>
    <t>A18. Resultados en el mejoramiento de la calidad del programa, a partir de la aplicación de un estatuto que promueve la trayectoria profesoral, la inclusión, el reconocimiento de los méritos y el ascenso en el escalafón.</t>
  </si>
  <si>
    <t>A19. Apreciación de los profesores sobre la aplicación y pertinencia del estatuto profesoral y de las políticas que establecen distinciones, estímulos que promueven la trayectoria profesoral, junto con las acciones emprendidas como resultado de dichas apreciaciones.</t>
  </si>
  <si>
    <t>A20. Evidencia de la coherencia entre el número, dedicación, nivel de formación y experiencia de los profesores de tiempo completo, con el número de estudiantes, nivel de formación y modalidad del programa académico.</t>
  </si>
  <si>
    <t>A21. Evidencia de la existencia de un núcleo básico de profesores de tiempo completo, preferiblemente con contratación a término indefinido, y su relación con la formación de la comunidad académica del programa y el cumplimiento con alta calidad de las funciones esenciales del programa.</t>
  </si>
  <si>
    <t>A22. Evidencia de la vinculación de una planta profesoral pertinente con el área disciplinar del programa (TyT) con título de especialista y experiencia pedagógica y profesional certificada en los campos de formación del programa, que garantice del logro de los resultados de aprendizaje de los estudiantes y el cumplimiento de las funciones asignadas en condiciones de calidad, atendiendo a estándares internacionales, en coherencia con el nivel de formación y modalidad del programa.</t>
  </si>
  <si>
    <t>A23. Evidencia de la vinculación de una planta profesoral pertinente con el área disciplinar del programa (Prof) con título de especialistas, magísteres y/o doctores con experiencia o formación pedagógica y profesional certificada, que garantice el logro de los resultados de aprendizaje de los estudiantes y el cumplimiento de las funciones asignadas en condiciones de calidad, atendiendo a estándares internacionales, en coherencia con el nivel de formación y modalidad del programa.</t>
  </si>
  <si>
    <t>A24. Evidencia de la vinculación de una planta profesoral pertinente con el área disciplinar del programa (Esp) con título de medicina y especialidad médico-quirúrgica, con experiencia o formación pedagógica y profesional certificada en el campo de práctica de la especialidad, que garantice el logro de los resultados de aprendizaje de los estudiantes y el cumplimiento de las funciones asignadas en condiciones de calidad, atendiendo a estándares internacionales, en coherencia con el nivel de formación y modalidad del programa.</t>
  </si>
  <si>
    <t>A25. Evidencia de la vinculación de una planta profesoral pertinente con el área disciplinar del programa (Mg) con título de maestría y/o doctorado con experiencia o formación pedagógica, investigativa y profesional certificada y experiencia en investigación, que garantice el logro de los resultados de aprendizaje de los estudiantes y el cumplimiento de las funciones asignadas en condiciones de calidad, atendiendo a estándares internacionales, en coherencia con el nivel de formación y modalidad del programa.</t>
  </si>
  <si>
    <t>A26. Evidencia de la vinculación de una planta profesoral pertinente con el área disciplinar del programa (Dr) con título de doctorado y con experiencia en la dirección de tesis doctorales, así como publicaciones en revistas indexadas y libros en los campos de conocimiento, reconocidos en el Ministerio de Ciencia, Tecnología e Innovación (Minciencias), con experiencia o formación pedagógica, que garantice el logro de los resultados de aprendizaje de los estudiantes y el cumplimiento de las funciones asignadas en condiciones de calidad, atendiendo a estándares internacionales, en coherencia con el nivel de formación y modalidad del programa.</t>
  </si>
  <si>
    <t>A27. Análisis de los resultados de la aplicación de políticas y estrategias Institucionales en materia de desarrollo integral del profesorado, que incluya la capacitación y la actualización en los aspectos académicos, profesionales y pedagógicos relacionados con la naturaleza, nivel de formación y modalidad del programa.</t>
  </si>
  <si>
    <t>A28. Evidencia de cómo el desarrollo profesoral atiende a la diversidad de los estudiantes, a las modalidades de la docencia y a los requerimientos de internacionalización y de inter y multiculturalidad de profesores y estudiantes.</t>
  </si>
  <si>
    <t>A29. 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</si>
  <si>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A30. Evidencia de los efectos generados en el desempeño de las labores de docencia, investigación y extensión con el otorgamiento de estímulos a los profesores.</t>
  </si>
  <si>
    <t>A31. 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</si>
  <si>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A32. Evidencia de la efectividad de los criterios de evaluación del material producido por los profesores en la calidad de los aprendizajes de los estudiantes, de acuerdo con el nivel de formación y modalidad del programa académico.</t>
  </si>
  <si>
    <t>A33. Presentación de los resultados de evaluación de los materiales académicos producidos por los profesores para el desarrollo de las diversas actividades académicas, que soportan los ambientes de aprendizaje, de acuerdo con el nivel de formación y modalidad.</t>
  </si>
  <si>
    <t>A34. Apreciación de los estudiantes y directivos del programa sobre la pertinencia y calidad del material académico producido, de acuerdo con el nivel de formación y la modalidad del programa, junto con las acciones emprendidas como resultado de dichas apreciaciones.</t>
  </si>
  <si>
    <t>A35. 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</si>
  <si>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A36. 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</si>
  <si>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A37. Demostración del mejoramiento continuo del programa, a partir de las evaluaciones permanentes realizadas a los profesores, en coherencia con el nivel de formación y modalidad.</t>
  </si>
  <si>
    <t>A38. Resultado de los estudios sistémicos aplicados sobre el desarrollo profesional y laboral de los egresados, el alcance de las competencias adquiridas, la correspondencia entre el desempeño de los egresados y el perfil de egreso o resultados de aprendizaje del programa.</t>
  </si>
  <si>
    <t>A39. Apreciación de los egresados en relación con el perfil de formación, las competencias adquiridas y las posibilidades que les ha ofrecido su formación para su desarrollo profesional y laboral, junto con las acciones emprendidas como resultado de dichas apreciaciones.</t>
  </si>
  <si>
    <t>A40. Evidencia del impacto de los egresados en el medio social y académico, científico y cultural, como un mecanismo para establecer los aportes del programa a la solución de problemas de la sociedad y/o la creación e innovación de conocimiento.</t>
  </si>
  <si>
    <t>A41. Apreciación de empleadores sobre el desempeño destacado de los egresados y su aporte en la solución de los problemas académicos, ambientales, tecnológicos, sociales y culturales, junto con las acciones emprendidas como resultado de dichas apreciaciones.</t>
  </si>
  <si>
    <t>A42. Resultados de la aplicación de ejercicios continuos de evaluación de la integralidad del currículo que conduzcan a la realización de ajustes y mejoras que impactan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t>
  </si>
  <si>
    <t>A43. Evaluación de las estrategias y acciones del programa para el mejoramiento de las competencias definidas por el programa.</t>
  </si>
  <si>
    <t>A44. Evidencia de procesos de flexibilización como, doble titulación; articulación pregrado-posgrado; reconocimiento de créditos, homologación y oferta de cursos electivos en distintas modalidades y lugares de desarrollo entre otros, que permiten al estudiante interactuar con otros programas a nivel I, nacional e internacional.</t>
  </si>
  <si>
    <t>A45. 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</si>
  <si>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A46. Evidencia de la implementación de las estrategias que promueven y estimulan la interdisciplinariedad curricular del programa, y el resultado de su aplicación en las diferentes rutas formativas seguidas por los estudiantes.</t>
  </si>
  <si>
    <t>A47. 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</si>
  <si>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A48.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</si>
  <si>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A49. Evidencia de la evaluación y el mejoramiento de las estrategias y prácticas pedagógicas, a partir de los aportes de la investigación pedagógica y de los procesos de actualización de los profesores.</t>
  </si>
  <si>
    <t>A50. En el caso de programas académicos del área de la salud, presentar análisis de la incidencia de las actividades desarrolladas en el marco de los convenios de docencia servicio con los distintos escenarios de práctica (con énfasis en el escenario principal, cuando aplique) en los procesos de formación. Los análisis se deben realizar entre las partes que participan en el convenio.</t>
  </si>
  <si>
    <t>A51. Apreciación de profesores y estudiantes sobre los sistemas de evaluación de los resultados de aprendizaje que desarrolla o implementa el programa, junto con las acciones emprendidas como resultado de dichas apreciaciones.</t>
  </si>
  <si>
    <t>A52. Evidencia de los resultados obtenidos a partir de la implementación de los sistemas de evaluación de estudiantes basado en políticas y normas claras, universales y transparentes.</t>
  </si>
  <si>
    <t>A53. Evidencia de sistemas de evaluación que integran la innovación para generar transformaciones profundas en el Aprendizaje, y que acogen dinámicas en referencia a cambios en el conocimiento.</t>
  </si>
  <si>
    <t>A54. Evidencia de la aplicación de una política Institucional que establezca parámetros para la formulación, evaluación y mejora continua de los resultados de aprendizaje establecidos en el programa, en alineación con el perfil de formación y acorde con el nivel y la modalidad de formación.</t>
  </si>
  <si>
    <t>A55. Evidencia del proceso de mejoramiento continuo relacionado con la evaluación entre los resultados de aprendizaje esperados y los alcanzados por los estudiantes, el sistema de evaluación de estudiantes y las acciones de ajuste de los aspectos curriculares y las metodologías de enseñanza - aprendizaje derivadas de dicha evaluación.</t>
  </si>
  <si>
    <t>A56. Evidencia del resultado de la aplicación de estrategias para el desarrollo de las competencias previstas acordes con el perfil de formación del programa.</t>
  </si>
  <si>
    <t>A57. Evidencia del cumplimiento de planes de mejoramiento y de innovación producto del proceso de autoevaluación del programa.</t>
  </si>
  <si>
    <t>A58. Apreciación de los profesores y estudiantes sobre la calidad y pertinencia del proceso de evaluación y autorregulación del programa, junto con las acciones emprendidas como resultado de dichas apreciaciones.</t>
  </si>
  <si>
    <t>A59. Evidencia de la participación de los profesores y estudiantes en la proyección social del programa.</t>
  </si>
  <si>
    <t>A60. Evidencia del efecto de las estrategias y acciones de proyección social como un mecanismo para establecer los aportes del programa a la solución de problemas de la sociedad y a las mejoras de los aspectos curriculares.</t>
  </si>
  <si>
    <t>A61. Análisis del efecto de las políticas, estrategias y acciones orientadas al mejoramiento de la permanencia y la graduación en el programa, que incluyan el comportamiento en los últimos seis años o en la vigencia de la acreditación si se trata de una renovación, de la tasa de deserción interanual, tasa de deserción por cohorte y la tasa de graduación acumulada del programa.</t>
  </si>
  <si>
    <t>A62. Evidencia de la existencia e implementación de un sistema de alertas tempranas que permita reconocer las particularidades de los estudiantes según su contexto sociocultural y la puesta en marcha de acciones que faciliten su proceso formativo, de acuerdo, al menos, con las normas nacionales vigentes en materia de inclusión y diversidad.</t>
  </si>
  <si>
    <t>A63. Apreciación de estudiantes y profesores sobre la contribución de las estrategias del sistema de alertas tempranas en su permanencia y graduación, junto con las acciones emprendidas como resultado de dichas apreciaciones.</t>
  </si>
  <si>
    <t>A64. Presentación del análisis de los resultados derivados del sistema de alertas tempranas y su impacto en el currículo, para mejorar el desempeño académico de los estudiantes, su permanencia y graduación.</t>
  </si>
  <si>
    <t>A65. Evidencia de la evaluación y el mejoramiento de los aspectos curriculares derivados de los análisis del desempeño académico de los estudiantes, la permanencia y la graduación.</t>
  </si>
  <si>
    <t>A66. Evidencia y análisis de la evolución de la matrícula total de estudiantes del programa y de la relación entre aspirantes inscritos, admitidos y matriculados en cada periodo, a fin de establecer la tasa de selectividad y/o absorción del programa.</t>
  </si>
  <si>
    <t>A67. Análisis de la correlación entre los mecanismos de selección, de desempeño académico, permanencia y graduación que resulte en ajustes a los procesos de selección del programa.</t>
  </si>
  <si>
    <t>A68. Evidencia del efecto de la aplicación de políticas y estrategias de cooperación con comunidades, nacionales e internacionales, en el desarrollo de labores formativas, académicas, docentes, científicas, culturales, deportivas y de extensión, así como en aspectos curriculares y en la revisión de tendencias y referentes nacionales e internacionales que contribuyan al mejoramiento continuo del programa.</t>
  </si>
  <si>
    <t>A69. Evidencia y análisis de los resultados de la cooperación académica y científica del programa, mediante convenios, proyectos conjuntos, intercambios de profesores, estudiantes y la participación en redes científicas, culturales y de extensión.</t>
  </si>
  <si>
    <t>A70. 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</si>
  <si>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A71. Evidencia de la incidencia de las estrategias empleadas para el desarrollo de las competencias comunicativas en una segunda lengua y las interacciones de profesores y estudiantes con otras comunidades no hispanohablantes de acuerdo con el nivel de formación y modalidad del programa.</t>
  </si>
  <si>
    <t>A72. Evidencia de las estrategias implementadas para el desarrollo de las competencias investigativas, de innovación o creación artística y cultural de los estudiantes, en coherencia con la naturaleza, nivel de formación y la modalidad de oferta del programa.</t>
  </si>
  <si>
    <t>A73. 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</si>
  <si>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A74. Evidencia de la existencia de un reglamento de propiedad intelectual, de grupos de investigación categorizados y de profesores investigadores reconocidos en las convocatorias de medición de Minciencias, acorde con el Proyecto Educativo del Programa, el nivel de formación y la modalidad del programa.</t>
  </si>
  <si>
    <t>A75. Evidencia de resultados de investigación, desarrollo tecnológico, innovación o creación de los profesores del programa, que contribuyan al fortalecimiento de los aspectos curriculares, la formación de los estudiantes y a la generación de nuevo conocimiento o a la solución de problemas de la sociedad, en coherencia con el Proyecto Educativo del Programa, el nivel de formación y la modalidad del programa.</t>
  </si>
  <si>
    <t>A76. Análisis sistemáticos de la participación de estudiantes y profesores en las actividades de bienestar en cada uno de los escenarios de práctica.</t>
  </si>
  <si>
    <t>A77. 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</si>
  <si>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A78. Análisis sistemáticos de la participación de la comunidad del programa en los planes y las actividades de bienestar, de acuerdo con las particularidades de la población estudiantil, académica y administrativa.</t>
  </si>
  <si>
    <t>A79. Evaluación de la calidad y pertinencia de la infraestructura, espacios y servicios de bienestar por parte de la comunidad del programa, junto con las acciones emprendidas como resultado de dicha evaluación.</t>
  </si>
  <si>
    <t>A80. Demostración de los resultados y la incidencia de la implementación de las estrategias y recursos de apoyo (pedagógico-didáctico) en los contextos de actuación de los profesores para el mejoramiento de sus prácticas de enseñanza-aprendizaje teniendo en cuenta la diversidad y la inclusión.</t>
  </si>
  <si>
    <t>A81. 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</si>
  <si>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A82. En el caso de programas académicos del área de la salud, análisis de las acciones que realizan conjuntamente el programa con los escenarios de práctica, en sus procesos de certificación, acreditación, reconocimiento como hospital universitario y acciones de mejora.</t>
  </si>
  <si>
    <t>A83. Evidencia de la disponibilidad y capacidad de talleres, laboratorios, equipos, medios audiovisuales, sitios de práctica, estaciones y granjas experimentales, escenarios de simulación virtual, entre otros, para el adecuado desarrollo de la actividad docente, investigativa y de extensión, según requerimientos del programa.</t>
  </si>
  <si>
    <t>A84. 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</si>
  <si>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A85. En el caso de los programas académicos del área de la salud, evidencia de la disponibilidad de laboratorios especializados y/o de simulación en los distintos lugares de desarrollo y los escenarios de práctica, y análisis del nivel de uso por parte de profesores y estudiantes.</t>
  </si>
  <si>
    <t>A86. Análisis de la correspondencia entre la inversión en recursos bibliográficos y de información, su utilización por parte de la comunidad del programa, demostrando la suficiencia y pertinencia para el desarrollo de actividades de docencia, investigación y extensión, de acuerdo con el nivel de formación y modalidad del programa.</t>
  </si>
  <si>
    <t>A87. 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</si>
  <si>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A88. Evidencia de la participación de representantes de la comunidad académica, a través de estructuras organizacionales definidas por la institución, y de su contribución, en el desarrollo y mejoramiento del programa.</t>
  </si>
  <si>
    <t>A89. Apreciación de estudiantes, profesores y egresados sobre su participación en cuerpos colegiados, y en decisiones orientadas al mejoramiento del programa, junto con las acciones emprendidas como resultado de dichas apreciaciones.</t>
  </si>
  <si>
    <t>A90. Evidencia de los mecanismos existentes para la dirección y gestión del programa que contribuyen al mejoramiento de las dinámicas administrativas y académicas y al relacionamiento con los grupos de interés.</t>
  </si>
  <si>
    <t>A91. 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</si>
  <si>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A92. Presentación de estudios de satisfacción de profesores y estudiantes del programa acerca de la suficiencia y calidad de los recursos y sistemas de comunicación e información.</t>
  </si>
  <si>
    <t>A93. Presentación de estadísticas y análisis del uso de los sistemas de comunicación e información, y de la implementación de estrategias que garanticen la conectividad a los miembros de la comunidad académica del programa.</t>
  </si>
  <si>
    <t>A94. Evidencia de la aplicación de mecanismos de gestión documental, organización, actualización y seguridad de los registros y archivos académicos de estudiantes, profesores, personal directivo y administrativo.</t>
  </si>
  <si>
    <t>A95. Presentación de estadísticas y análisis de las capacidades Institucionales en materia de recursos humanos (planta docente y personal administrativo), técnicos, tecnológicos y financieros, que favorecen la permanencia, el desarrollo académico y la graduación de los estudiantes.</t>
  </si>
  <si>
    <t>A96. 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</si>
  <si>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A97. Demostración de la consistencia entre la asignación y distribución presupuestal del programa, y el desarrollo de las actividades de docencia, investigación, creación artística y cultural, deportiva, proyección social, bienestar institucional e internacionalización, y la implementación de los planes de mejoramiento.</t>
  </si>
  <si>
    <t>A98. Presentación de la proyección y la ejecución del presupuesto de inversión y de funcionamiento del programa y los mecanismos de seguimiento y control.</t>
  </si>
  <si>
    <t>A99. 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</si>
  <si>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A100. En el caso de los programas académicos del área de la salud, evidencia de los procesos de autoevaluación sobre el funcionamiento del convenio docencia servicio en cada uno de los escenarios de práctica y su incidencia en los procesos de mejoramiento.</t>
  </si>
  <si>
    <t>A101. Demostración de la existencia de aulas, laboratorios, talleres, centros de simulación, plataformas tecnológicas, biblioteca y salas de estudio, para el cumplimiento de las labores formativas, académicas, docentes, científicas, culturales y de extensión, en coherencia con el nivel de formación y la modalidad de oferta del programa.</t>
  </si>
  <si>
    <t>A102. Evidencia de planes y proyectos realizados o en ejecución, para la conservación, expansión, mejoras y mantenimiento de la planta física para el programa, de acuerdo con las normas técnicas respectivas y con el nivel de formación y la modalidad de oferta del programa.</t>
  </si>
  <si>
    <t>A103. Evidencia de la coherencia entre los recursos informáticos y de comunicación con las necesidades para el desarrollo y cumplimiento de las labores formativas, académicas, docentes, científicas, culturales del programa en el lugar de desarrollo y en los escenarios de práctica.</t>
  </si>
  <si>
    <t>A104. Apreciación de directivos, profesores y estudiantes del programa sobre la pertinencia, correspondencia y suficiencia de los recursos informáticos y de comunicación con que cuenta el programa.</t>
  </si>
  <si>
    <t>Tipo de acción</t>
  </si>
  <si>
    <t>Mejoramiento</t>
  </si>
  <si>
    <t>Fortalecimiento</t>
  </si>
  <si>
    <t>LISTAS PARA DESPLEGABLES (NO BORRAR ESTA HOJA)</t>
  </si>
  <si>
    <t>F1</t>
  </si>
  <si>
    <t>F2</t>
  </si>
  <si>
    <t>F3</t>
  </si>
  <si>
    <t>F4</t>
  </si>
  <si>
    <t>F5</t>
  </si>
  <si>
    <t>F6</t>
  </si>
  <si>
    <t>F7</t>
  </si>
  <si>
    <t>F8</t>
  </si>
  <si>
    <t>F9</t>
  </si>
  <si>
    <t>F10</t>
  </si>
  <si>
    <t>F11</t>
  </si>
  <si>
    <t>F12</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</si>
  <si>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</si>
  <si>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</si>
  <si>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</si>
  <si>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</si>
  <si>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</si>
  <si>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</si>
  <si>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</si>
  <si>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</si>
  <si>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</si>
  <si>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</si>
  <si>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</si>
  <si>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</si>
  <si>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</si>
  <si>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</si>
  <si>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</si>
  <si>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</si>
  <si>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</si>
  <si>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</si>
  <si>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</si>
  <si>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</si>
  <si>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</si>
  <si>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</si>
  <si>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</si>
  <si>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</si>
  <si>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</si>
  <si>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</si>
  <si>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</si>
  <si>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</si>
  <si>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</si>
  <si>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</si>
  <si>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</si>
  <si>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</si>
  <si>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</si>
  <si>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</si>
  <si>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</si>
  <si>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</si>
  <si>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</si>
  <si>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</si>
  <si>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</si>
  <si>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</si>
  <si>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</si>
  <si>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</si>
  <si>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</si>
  <si>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</si>
  <si>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</si>
  <si>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</si>
  <si>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</si>
  <si>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</si>
  <si>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OBJETIVOS</t>
  </si>
  <si>
    <t>AÑO:</t>
  </si>
  <si>
    <t>2027 - 2029</t>
  </si>
  <si>
    <t>SEMANAS</t>
  </si>
  <si>
    <t>MES</t>
  </si>
  <si>
    <t>TIEMPO</t>
  </si>
  <si>
    <t>PRUEBA</t>
  </si>
  <si>
    <t>MESES</t>
  </si>
  <si>
    <t>DÍAS</t>
  </si>
  <si>
    <t>No.
DOCENTES</t>
  </si>
  <si>
    <t>H/semanales ASIGNADAS</t>
  </si>
  <si>
    <t>NÙMERO 
DE HORAS</t>
  </si>
  <si>
    <r>
      <t xml:space="preserve">Este número de horas sería el que va en la casilla </t>
    </r>
    <r>
      <rPr>
        <b/>
        <sz val="10"/>
        <rFont val="Arial Narrow"/>
        <family val="2"/>
      </rPr>
      <t>HORAS</t>
    </r>
    <r>
      <rPr>
        <sz val="10"/>
        <color theme="1" tint="0.499984740745262"/>
        <rFont val="Arial Narrow"/>
        <family val="2"/>
      </rPr>
      <t>, del formato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</si>
</sst>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_-&quot;$&quot;* #,##0_-;\-&quot;$&quot;* #,##0_-;_-&quot;$&quot;* &quot;-&quot;_-;_-@_-"/>
    <numFmt numFmtId="165" formatCode="_-&quot;$&quot;* #,##0.00_-;\-&quot;$&quot;* #,##0.00_-;_-&quot;$&quot;* &quot;-&quot;??_-;_-@_-"/>
    <numFmt numFmtId="166" formatCode="&quot;$&quot;#,##0"/>
    <numFmt numFmtId="167" formatCode="_ * #,##0_ ;_ * \-#,##0_ ;_ * &quot;-&quot;_ ;_ @_ "/>
    <numFmt numFmtId="168" formatCode="_ * #,##0.00_ ;_ * \-#,##0.00_ ;_ * &quot;-&quot;??_ ;_ @_ "/>
    <numFmt numFmtId="169" formatCode="_ * #,##0_ ;_ * \-#,##0_ ;_ * &quot;-&quot;??_ ;_ @_ "/>
    <numFmt numFmtId="170" formatCode="&quot;$&quot;\ #,##0;[Red]&quot;$&quot;\ \-#,##0"/>
    <numFmt numFmtId="171" formatCode="[$$-240A]\ #,##0"/>
    <numFmt numFmtId="172" formatCode="[$$-240A]\ #,##0.00"/>
    <numFmt numFmtId="173" formatCode="0.0%"/>
    <numFmt numFmtId="174" formatCode="0.0"/>
    <numFmt numFmtId="175" formatCode="_(* #,##0_);_(* \(#,##0\);_(* &quot;-&quot;??_);_(@_)"/>
    <numFmt numFmtId="176" formatCode="##,##0_);[Red]\(##,##0\)"/>
    <numFmt numFmtId="177" formatCode="_(&quot;$&quot;\ * #,##0.00_);_(&quot;$&quot;\ * \(#,##0.00\);_(&quot;$&quot;\ * &quot;-&quot;??_);_(@_)"/>
    <numFmt numFmtId="178" formatCode="_(&quot;$&quot;\ * #,##0_);_(&quot;$&quot;\ * \(#,##0\);_(&quot;$&quot;\ * &quot;-&quot;??_);_(@_)"/>
  </numFmts>
  <fonts count="8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9"/>
      <color indexed="18"/>
      <name val="Times New Roman"/>
      <family val="1"/>
    </font>
    <font>
      <sz val="10"/>
      <name val="Times New Roman"/>
      <family val="1"/>
    </font>
    <font>
      <b/>
      <sz val="10"/>
      <name val="Times New Roman"/>
      <family val="1"/>
    </font>
    <font>
      <b/>
      <sz val="9"/>
      <name val="Times New Roman"/>
      <family val="1"/>
    </font>
    <font>
      <sz val="9"/>
      <name val="Times New Roman"/>
      <family val="1"/>
    </font>
    <font>
      <b/>
      <sz val="9"/>
      <color indexed="8"/>
      <name val="Times New Roman"/>
      <family val="1"/>
    </font>
    <font>
      <sz val="8"/>
      <name val="Times New Roman"/>
      <family val="1"/>
    </font>
    <font>
      <sz val="9"/>
      <color indexed="9"/>
      <name val="Times New Roman"/>
      <family val="1"/>
    </font>
    <font>
      <b/>
      <sz val="9"/>
      <color indexed="9"/>
      <name val="Times New Roman"/>
      <family val="1"/>
    </font>
    <font>
      <sz val="10"/>
      <color indexed="18"/>
      <name val="Times New Roman"/>
      <family val="1"/>
    </font>
    <font>
      <sz val="10"/>
      <color indexed="8"/>
      <name val="Times New Roman"/>
      <family val="1"/>
    </font>
    <font>
      <sz val="10"/>
      <name val="Arial"/>
      <family val="2"/>
    </font>
    <font>
      <sz val="9"/>
      <color indexed="8"/>
      <name val="Times New Roman"/>
      <family val="1"/>
    </font>
    <font>
      <sz val="8"/>
      <color indexed="8"/>
      <name val="Times New Roman"/>
      <family val="1"/>
    </font>
    <font>
      <sz val="6"/>
      <color indexed="8"/>
      <name val="Times New Roman"/>
      <family val="1"/>
    </font>
    <font>
      <b/>
      <sz val="8"/>
      <name val="Times New Roman"/>
      <family val="1"/>
    </font>
    <font>
      <sz val="8"/>
      <name val="Arial"/>
      <family val="2"/>
    </font>
    <font>
      <sz val="10"/>
      <name val="Calibri"/>
      <family val="2"/>
    </font>
    <font>
      <b/>
      <sz val="9"/>
      <name val="Arial"/>
      <family val="2"/>
    </font>
    <font>
      <sz val="10"/>
      <name val="Arial Narrow"/>
      <family val="2"/>
    </font>
    <font>
      <sz val="9"/>
      <name val="Arial"/>
      <family val="2"/>
    </font>
    <font>
      <sz val="9"/>
      <color theme="1"/>
      <name val="Times New Roman"/>
      <family val="1"/>
    </font>
    <font>
      <sz val="9"/>
      <color rgb="FF000000"/>
      <name val="Arial"/>
      <family val="2"/>
    </font>
    <font>
      <b/>
      <sz val="9"/>
      <color rgb="FF000000"/>
      <name val="Arial"/>
      <family val="2"/>
    </font>
    <font>
      <sz val="8"/>
      <color rgb="FF000000"/>
      <name val="Arial Narrow"/>
      <family val="2"/>
    </font>
    <font>
      <sz val="10"/>
      <color rgb="FF000000"/>
      <name val="Arial"/>
      <family val="2"/>
    </font>
    <font>
      <sz val="8"/>
      <color rgb="FF000000"/>
      <name val="Arial"/>
      <family val="2"/>
    </font>
    <font>
      <sz val="9"/>
      <name val="Calibri"/>
      <family val="2"/>
    </font>
    <font>
      <sz val="10"/>
      <name val="Arial"/>
      <family val="2"/>
    </font>
    <font>
      <b/>
      <sz val="8"/>
      <name val="Arial"/>
      <family val="2"/>
    </font>
    <font>
      <b/>
      <sz val="10"/>
      <name val="Arial"/>
      <family val="2"/>
    </font>
    <font>
      <b/>
      <sz val="8"/>
      <color rgb="FFFF0000"/>
      <name val="Arial"/>
      <family val="2"/>
    </font>
    <font>
      <sz val="8"/>
      <color theme="1"/>
      <name val="Arial"/>
      <family val="2"/>
    </font>
    <font>
      <sz val="11"/>
      <name val="Arial"/>
      <family val="2"/>
    </font>
    <font>
      <b/>
      <sz val="11"/>
      <name val="Arial"/>
      <family val="2"/>
    </font>
    <font>
      <sz val="8"/>
      <color rgb="FFFF0000"/>
      <name val="Arial"/>
      <family val="2"/>
    </font>
    <font>
      <sz val="8"/>
      <color indexed="10"/>
      <name val="Arial"/>
      <family val="2"/>
    </font>
    <font>
      <sz val="8"/>
      <color theme="0"/>
      <name val="Arial"/>
      <family val="2"/>
    </font>
    <font>
      <sz val="7"/>
      <name val="Arial"/>
      <family val="2"/>
    </font>
    <font>
      <sz val="11"/>
      <color indexed="18"/>
      <name val="Times New Roman"/>
      <family val="1"/>
    </font>
    <font>
      <b/>
      <sz val="10"/>
      <name val="Verdana"/>
      <family val="2"/>
    </font>
    <font>
      <b/>
      <sz val="11"/>
      <color theme="1"/>
      <name val="Calibri"/>
      <family val="2"/>
      <scheme val="minor"/>
    </font>
    <font>
      <i/>
      <sz val="11"/>
      <color theme="1"/>
      <name val="Calibri"/>
      <family val="2"/>
      <scheme val="minor"/>
    </font>
    <font>
      <sz val="11"/>
      <name val="Calibri"/>
      <family val="2"/>
      <scheme val="minor"/>
    </font>
    <font>
      <b/>
      <sz val="9"/>
      <color indexed="81"/>
      <name val="Tahoma"/>
      <family val="2"/>
    </font>
    <font>
      <sz val="9"/>
      <color indexed="81"/>
      <name val="Tahoma"/>
      <family val="2"/>
    </font>
    <font>
      <b/>
      <sz val="10"/>
      <color theme="0"/>
      <name val="Arial Narrow"/>
      <family val="2"/>
    </font>
    <font>
      <sz val="10"/>
      <color theme="1"/>
      <name val="Arial Narrow"/>
      <family val="2"/>
    </font>
    <font>
      <b/>
      <sz val="8"/>
      <color theme="0"/>
      <name val="Arial"/>
      <family val="2"/>
    </font>
    <font>
      <b/>
      <sz val="12"/>
      <color indexed="8"/>
      <name val="Times New Roman"/>
      <family val="1"/>
    </font>
    <font>
      <b/>
      <sz val="20"/>
      <name val="Arial"/>
      <family val="2"/>
    </font>
    <font>
      <b/>
      <sz val="16"/>
      <name val="Arial"/>
      <family val="2"/>
    </font>
    <font>
      <sz val="9"/>
      <color theme="1"/>
      <name val="Calibri"/>
      <family val="2"/>
      <scheme val="minor"/>
    </font>
    <font>
      <b/>
      <sz val="9"/>
      <color theme="1"/>
      <name val="Calibri"/>
      <family val="2"/>
      <scheme val="minor"/>
    </font>
    <font>
      <b/>
      <sz val="9"/>
      <color rgb="FFC00000"/>
      <name val="Calibri"/>
      <family val="2"/>
      <scheme val="minor"/>
    </font>
    <font>
      <b/>
      <sz val="11"/>
      <name val="Calibri"/>
      <family val="2"/>
      <scheme val="minor"/>
    </font>
    <font>
      <b/>
      <sz val="12"/>
      <name val="Arial"/>
      <family val="2"/>
    </font>
    <font>
      <b/>
      <sz val="12"/>
      <color theme="0"/>
      <name val="Calibri"/>
      <family val="2"/>
      <scheme val="minor"/>
    </font>
    <font>
      <sz val="11"/>
      <name val="Calibri"/>
      <family val="2"/>
    </font>
    <font>
      <b/>
      <sz val="14"/>
      <name val="Arial"/>
      <family val="2"/>
    </font>
    <font>
      <sz val="11"/>
      <color indexed="8"/>
      <name val="Times New Roman"/>
      <family val="1"/>
    </font>
    <font>
      <sz val="11"/>
      <color theme="1"/>
      <name val="Calibri"/>
      <family val="2"/>
    </font>
    <font>
      <sz val="11"/>
      <color rgb="FFFF0000"/>
      <name val="Calibri"/>
      <family val="2"/>
    </font>
    <font>
      <sz val="12"/>
      <color theme="1"/>
      <name val="Calibri"/>
      <family val="2"/>
    </font>
    <font>
      <sz val="10"/>
      <name val="Arial"/>
    </font>
    <font>
      <sz val="10"/>
      <color theme="1"/>
      <name val="Arial"/>
      <family val="2"/>
    </font>
    <font>
      <b/>
      <sz val="9"/>
      <color indexed="8"/>
      <name val="Arial Narrow"/>
      <family val="2"/>
    </font>
    <font>
      <b/>
      <sz val="9"/>
      <name val="Arial Narrow"/>
      <family val="2"/>
    </font>
    <font>
      <sz val="9"/>
      <name val="Arial Narrow"/>
      <family val="2"/>
    </font>
    <font>
      <sz val="9"/>
      <color theme="1"/>
      <name val="Arial Narrow"/>
      <family val="2"/>
    </font>
    <font>
      <sz val="8"/>
      <name val="Arial"/>
    </font>
    <font>
      <sz val="12"/>
      <color rgb="FF000000"/>
      <name val="Arial Narrow"/>
      <family val="2"/>
    </font>
    <font>
      <b/>
      <sz val="14"/>
      <color rgb="FF1F4E79"/>
      <name val="Calibri"/>
      <family val="2"/>
      <scheme val="minor"/>
    </font>
    <font>
      <b/>
      <sz val="11"/>
      <color rgb="FFFFFFFF"/>
      <name val="Calibri"/>
      <family val="2"/>
      <scheme val="minor"/>
    </font>
    <font>
      <b/>
      <sz val="16"/>
      <color theme="1"/>
      <name val="Calibri"/>
      <family val="2"/>
      <scheme val="minor"/>
    </font>
    <font>
      <b/>
      <sz val="10"/>
      <name val="Arial Narrow"/>
      <family val="2"/>
    </font>
    <font>
      <sz val="10"/>
      <color theme="1" tint="0.499984740745262"/>
      <name val="Arial Narrow"/>
      <family val="2"/>
    </font>
    <font>
      <sz val="10"/>
      <color theme="1" tint="0.499984740745262"/>
      <name val="Arial"/>
      <family val="2"/>
    </font>
    <font>
      <b/>
      <sz val="9"/>
      <color theme="1" tint="0.499984740745262"/>
      <name val="Arial Narrow"/>
      <family val="2"/>
    </font>
    <font>
      <b/>
      <sz val="10"/>
      <color theme="1" tint="0.499984740745262"/>
      <name val="Arial Narrow"/>
      <family val="2"/>
    </font>
  </fonts>
  <fills count="21">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5DCE4"/>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4"/>
        <bgColor theme="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00000"/>
        <bgColor indexed="64"/>
      </patternFill>
    </fill>
    <fill>
      <patternFill patternType="solid">
        <fgColor theme="4" tint="-0.249977111117893"/>
        <bgColor indexed="64"/>
      </patternFill>
    </fill>
    <fill>
      <patternFill patternType="solid">
        <fgColor rgb="FF1F4E79"/>
        <bgColor indexed="64"/>
      </patternFill>
    </fill>
    <fill>
      <patternFill patternType="solid">
        <fgColor rgb="FF2E7D32"/>
        <bgColor indexed="64"/>
      </patternFill>
    </fill>
    <fill>
      <patternFill patternType="solid">
        <fgColor theme="3" tint="0.79998168889431442"/>
        <bgColor indexed="64"/>
      </patternFill>
    </fill>
  </fills>
  <borders count="73">
    <border>
      <left/>
      <right/>
      <top/>
      <bottom/>
      <diagonal/>
    </border>
    <border>
      <left style="hair">
        <color indexed="8"/>
      </left>
      <right style="hair">
        <color indexed="8"/>
      </right>
      <top style="hair">
        <color indexed="8"/>
      </top>
      <bottom style="hair">
        <color indexed="8"/>
      </bottom>
      <diagonal/>
    </border>
    <border>
      <left style="hair">
        <color indexed="8"/>
      </left>
      <right/>
      <top/>
      <bottom/>
      <diagonal/>
    </border>
    <border>
      <left/>
      <right style="hair">
        <color indexed="8"/>
      </right>
      <top/>
      <bottom/>
      <diagonal/>
    </border>
    <border>
      <left/>
      <right style="hair">
        <color indexed="8"/>
      </right>
      <top/>
      <bottom style="hair">
        <color indexed="8"/>
      </bottom>
      <diagonal/>
    </border>
    <border>
      <left/>
      <right/>
      <top/>
      <bottom style="hair">
        <color indexed="64"/>
      </bottom>
      <diagonal/>
    </border>
    <border>
      <left style="hair">
        <color indexed="64"/>
      </left>
      <right/>
      <top/>
      <bottom/>
      <diagonal/>
    </border>
    <border>
      <left style="hair">
        <color indexed="64"/>
      </left>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hair">
        <color indexed="8"/>
      </left>
      <right/>
      <top style="hair">
        <color indexed="8"/>
      </top>
      <bottom/>
      <diagonal/>
    </border>
    <border>
      <left/>
      <right/>
      <top style="hair">
        <color indexed="8"/>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8"/>
      </left>
      <right/>
      <top style="hair">
        <color indexed="8"/>
      </top>
      <bottom style="hair">
        <color indexed="8"/>
      </bottom>
      <diagonal/>
    </border>
    <border>
      <left style="thin">
        <color indexed="64"/>
      </left>
      <right/>
      <top/>
      <bottom/>
      <diagonal/>
    </border>
    <border>
      <left style="thin">
        <color indexed="64"/>
      </left>
      <right style="thin">
        <color indexed="64"/>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thin">
        <color rgb="FF000000"/>
      </left>
      <right style="thin">
        <color rgb="FF000000"/>
      </right>
      <top style="thin">
        <color rgb="FF000000"/>
      </top>
      <bottom style="thin">
        <color rgb="FF000000"/>
      </bottom>
      <diagonal/>
    </border>
    <border>
      <left style="hair">
        <color indexed="64"/>
      </left>
      <right style="medium">
        <color indexed="64"/>
      </right>
      <top/>
      <bottom style="hair">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theme="4"/>
      </left>
      <right style="thin">
        <color theme="4"/>
      </right>
      <top style="thin">
        <color theme="4"/>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4"/>
      </left>
      <right/>
      <top/>
      <bottom/>
      <diagonal/>
    </border>
    <border>
      <left/>
      <right style="hair">
        <color indexed="8"/>
      </right>
      <top style="thin">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s>
  <cellStyleXfs count="18">
    <xf numFmtId="0" fontId="0" fillId="0" borderId="0"/>
    <xf numFmtId="41" fontId="35" fillId="0" borderId="0" applyFont="0" applyFill="0" applyBorder="0" applyAlignment="0" applyProtection="0"/>
    <xf numFmtId="0" fontId="6" fillId="0" borderId="0"/>
    <xf numFmtId="168"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0" fontId="32" fillId="0" borderId="0"/>
    <xf numFmtId="9" fontId="35"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0" fontId="4" fillId="0" borderId="0"/>
    <xf numFmtId="0" fontId="6" fillId="0" borderId="0"/>
    <xf numFmtId="177" fontId="4" fillId="0" borderId="0" applyFont="0" applyFill="0" applyBorder="0" applyAlignment="0" applyProtection="0"/>
    <xf numFmtId="0" fontId="3" fillId="0" borderId="0"/>
    <xf numFmtId="43" fontId="71" fillId="0" borderId="0" applyFont="0" applyFill="0" applyBorder="0" applyAlignment="0" applyProtection="0"/>
    <xf numFmtId="0" fontId="1" fillId="0" borderId="0"/>
  </cellStyleXfs>
  <cellXfs count="706">
    <xf numFmtId="0" fontId="0" fillId="0" borderId="0" xfId="0"/>
    <xf numFmtId="0" fontId="7" fillId="0" borderId="0" xfId="0" applyFont="1"/>
    <xf numFmtId="3" fontId="7" fillId="0" borderId="0" xfId="0" applyNumberFormat="1" applyFont="1"/>
    <xf numFmtId="0" fontId="11" fillId="0" borderId="0" xfId="0" applyFont="1" applyAlignment="1">
      <alignment horizontal="left"/>
    </xf>
    <xf numFmtId="0" fontId="11" fillId="0" borderId="0" xfId="0" applyFont="1"/>
    <xf numFmtId="0" fontId="11" fillId="0" borderId="0" xfId="0" applyFont="1" applyAlignment="1">
      <alignment wrapText="1"/>
    </xf>
    <xf numFmtId="0" fontId="11" fillId="0" borderId="0" xfId="0" applyFont="1" applyAlignment="1">
      <alignment horizontal="center"/>
    </xf>
    <xf numFmtId="1" fontId="11" fillId="0" borderId="0" xfId="0" applyNumberFormat="1" applyFont="1"/>
    <xf numFmtId="1" fontId="11" fillId="0" borderId="0" xfId="0" applyNumberFormat="1" applyFont="1" applyAlignment="1">
      <alignment horizontal="right"/>
    </xf>
    <xf numFmtId="1" fontId="7" fillId="0" borderId="0" xfId="0" applyNumberFormat="1" applyFont="1"/>
    <xf numFmtId="0" fontId="14" fillId="0" borderId="0" xfId="0" applyFont="1"/>
    <xf numFmtId="0" fontId="12" fillId="0" borderId="0" xfId="0" applyFont="1" applyAlignment="1">
      <alignment horizontal="center"/>
    </xf>
    <xf numFmtId="0" fontId="8" fillId="0" borderId="0" xfId="0" applyFont="1" applyAlignment="1" applyProtection="1">
      <alignment horizontal="center"/>
      <protection locked="0"/>
    </xf>
    <xf numFmtId="0" fontId="10" fillId="0" borderId="1" xfId="0" applyFont="1" applyBorder="1" applyAlignment="1">
      <alignment horizontal="center"/>
    </xf>
    <xf numFmtId="0" fontId="11" fillId="0" borderId="1" xfId="0" applyFont="1" applyBorder="1"/>
    <xf numFmtId="0" fontId="11" fillId="0" borderId="1" xfId="0" applyFont="1" applyBorder="1" applyAlignment="1" applyProtection="1">
      <alignment horizontal="centerContinuous"/>
      <protection locked="0"/>
    </xf>
    <xf numFmtId="1" fontId="11" fillId="0" borderId="1" xfId="0" applyNumberFormat="1" applyFont="1" applyBorder="1"/>
    <xf numFmtId="0" fontId="11" fillId="0" borderId="2" xfId="0" applyFont="1" applyBorder="1"/>
    <xf numFmtId="0" fontId="11" fillId="0" borderId="3" xfId="0" applyFont="1" applyBorder="1"/>
    <xf numFmtId="0" fontId="11" fillId="0" borderId="4" xfId="0" applyFont="1" applyBorder="1"/>
    <xf numFmtId="0" fontId="11" fillId="0" borderId="5" xfId="0" applyFont="1" applyBorder="1"/>
    <xf numFmtId="0" fontId="10" fillId="0" borderId="0" xfId="0" applyFont="1" applyAlignment="1">
      <alignment horizontal="center"/>
    </xf>
    <xf numFmtId="0" fontId="10" fillId="0" borderId="0" xfId="0" applyFont="1" applyAlignment="1">
      <alignment horizontal="left"/>
    </xf>
    <xf numFmtId="0" fontId="13" fillId="0" borderId="0" xfId="0" applyFont="1"/>
    <xf numFmtId="0" fontId="8" fillId="0" borderId="0" xfId="0" applyFont="1"/>
    <xf numFmtId="0" fontId="8" fillId="0" borderId="0" xfId="0" applyFont="1" applyAlignment="1">
      <alignment horizontal="center"/>
    </xf>
    <xf numFmtId="1" fontId="8" fillId="0" borderId="0" xfId="0" applyNumberFormat="1" applyFont="1" applyAlignment="1">
      <alignment horizontal="right"/>
    </xf>
    <xf numFmtId="3" fontId="8" fillId="0" borderId="0" xfId="0" applyNumberFormat="1" applyFont="1" applyAlignment="1">
      <alignment horizontal="right"/>
    </xf>
    <xf numFmtId="0" fontId="9" fillId="0" borderId="0" xfId="0" applyFont="1" applyAlignment="1">
      <alignment wrapText="1"/>
    </xf>
    <xf numFmtId="3" fontId="9" fillId="0" borderId="0" xfId="0" applyNumberFormat="1" applyFont="1" applyAlignment="1">
      <alignment horizontal="right"/>
    </xf>
    <xf numFmtId="0" fontId="8" fillId="0" borderId="0" xfId="0" applyFont="1" applyAlignment="1">
      <alignment wrapText="1"/>
    </xf>
    <xf numFmtId="0" fontId="8" fillId="0" borderId="0" xfId="0" applyFont="1" applyAlignment="1" applyProtection="1">
      <alignment horizontal="centerContinuous"/>
      <protection locked="0"/>
    </xf>
    <xf numFmtId="1" fontId="8" fillId="0" borderId="0" xfId="0" applyNumberFormat="1" applyFont="1"/>
    <xf numFmtId="0" fontId="9" fillId="0" borderId="0" xfId="0" applyFont="1"/>
    <xf numFmtId="0" fontId="16" fillId="0" borderId="0" xfId="0" applyFont="1"/>
    <xf numFmtId="1" fontId="16" fillId="0" borderId="0" xfId="0" applyNumberFormat="1" applyFont="1"/>
    <xf numFmtId="0" fontId="17" fillId="0" borderId="0" xfId="0" applyFont="1"/>
    <xf numFmtId="0" fontId="18" fillId="0" borderId="0" xfId="0" applyFont="1" applyAlignment="1">
      <alignment horizontal="center"/>
    </xf>
    <xf numFmtId="0" fontId="8" fillId="0" borderId="0" xfId="0" applyFont="1" applyProtection="1">
      <protection locked="0"/>
    </xf>
    <xf numFmtId="0" fontId="9" fillId="3" borderId="0" xfId="0" applyFont="1" applyFill="1"/>
    <xf numFmtId="0" fontId="9" fillId="3" borderId="0" xfId="0" applyFont="1" applyFill="1" applyAlignment="1">
      <alignment wrapText="1"/>
    </xf>
    <xf numFmtId="0" fontId="20" fillId="0" borderId="0" xfId="0" applyFont="1"/>
    <xf numFmtId="0" fontId="21" fillId="0" borderId="0" xfId="0" applyFont="1"/>
    <xf numFmtId="0" fontId="11" fillId="0" borderId="6" xfId="0" applyFont="1" applyBorder="1"/>
    <xf numFmtId="0" fontId="20" fillId="0" borderId="6" xfId="0" applyFont="1" applyBorder="1"/>
    <xf numFmtId="0" fontId="20" fillId="0" borderId="5" xfId="0" applyFont="1" applyBorder="1"/>
    <xf numFmtId="0" fontId="21" fillId="0" borderId="5" xfId="0" applyFont="1" applyBorder="1"/>
    <xf numFmtId="0" fontId="13" fillId="0" borderId="7" xfId="0" applyFont="1" applyBorder="1"/>
    <xf numFmtId="0" fontId="10" fillId="5" borderId="8" xfId="0" applyFont="1" applyFill="1" applyBorder="1" applyAlignment="1">
      <alignment horizontal="center"/>
    </xf>
    <xf numFmtId="0" fontId="10" fillId="5" borderId="9" xfId="0" applyFont="1" applyFill="1" applyBorder="1" applyAlignment="1">
      <alignment horizontal="center"/>
    </xf>
    <xf numFmtId="0" fontId="10" fillId="5" borderId="9" xfId="0" applyFont="1" applyFill="1" applyBorder="1" applyAlignment="1">
      <alignment horizontal="center" wrapText="1"/>
    </xf>
    <xf numFmtId="0" fontId="10" fillId="5" borderId="10" xfId="0" applyFont="1" applyFill="1" applyBorder="1" applyAlignment="1">
      <alignment horizontal="center" wrapText="1"/>
    </xf>
    <xf numFmtId="0" fontId="28" fillId="0" borderId="0" xfId="0" applyFont="1"/>
    <xf numFmtId="3" fontId="11" fillId="0" borderId="0" xfId="0" applyNumberFormat="1" applyFont="1"/>
    <xf numFmtId="2" fontId="11" fillId="0" borderId="0" xfId="0" applyNumberFormat="1" applyFont="1"/>
    <xf numFmtId="3" fontId="28" fillId="0" borderId="0" xfId="0" applyNumberFormat="1" applyFont="1"/>
    <xf numFmtId="0" fontId="29" fillId="0" borderId="22" xfId="0" applyFont="1" applyBorder="1" applyAlignment="1">
      <alignment horizontal="center" vertical="center" wrapText="1"/>
    </xf>
    <xf numFmtId="0" fontId="29" fillId="0" borderId="22" xfId="0" applyFont="1" applyBorder="1" applyAlignment="1">
      <alignment vertical="center" wrapText="1"/>
    </xf>
    <xf numFmtId="0" fontId="30" fillId="0" borderId="22" xfId="0" applyFont="1" applyBorder="1" applyAlignment="1">
      <alignment horizontal="center" vertical="center" wrapText="1"/>
    </xf>
    <xf numFmtId="0" fontId="29" fillId="0" borderId="22" xfId="0" applyFont="1" applyBorder="1" applyAlignment="1">
      <alignment horizontal="justify" vertical="center" wrapText="1"/>
    </xf>
    <xf numFmtId="0" fontId="29" fillId="0" borderId="22" xfId="0" applyFont="1" applyBorder="1" applyAlignment="1">
      <alignment vertical="center"/>
    </xf>
    <xf numFmtId="0" fontId="30" fillId="0" borderId="22" xfId="0" applyFont="1" applyBorder="1" applyAlignment="1">
      <alignment vertical="center" wrapText="1"/>
    </xf>
    <xf numFmtId="0" fontId="29" fillId="0" borderId="22" xfId="0" applyFont="1" applyBorder="1" applyAlignment="1">
      <alignment horizontal="center" vertical="center"/>
    </xf>
    <xf numFmtId="0" fontId="24" fillId="0" borderId="22" xfId="0" applyFont="1" applyBorder="1" applyAlignment="1">
      <alignment vertical="center"/>
    </xf>
    <xf numFmtId="0" fontId="30" fillId="0" borderId="22" xfId="0" applyFont="1" applyBorder="1" applyAlignment="1">
      <alignment horizontal="center" vertical="center"/>
    </xf>
    <xf numFmtId="0" fontId="31" fillId="8" borderId="22" xfId="0" applyFont="1" applyFill="1" applyBorder="1" applyAlignment="1">
      <alignment horizontal="center" vertical="center" wrapText="1"/>
    </xf>
    <xf numFmtId="0" fontId="33" fillId="0" borderId="22" xfId="0" applyFont="1" applyBorder="1" applyAlignment="1">
      <alignment vertical="center" wrapText="1"/>
    </xf>
    <xf numFmtId="0" fontId="33" fillId="0" borderId="22" xfId="0" applyFont="1" applyBorder="1" applyAlignment="1">
      <alignment horizontal="justify" vertical="center" wrapText="1"/>
    </xf>
    <xf numFmtId="0" fontId="34" fillId="0" borderId="22" xfId="0" applyFont="1" applyBorder="1" applyAlignment="1">
      <alignment vertical="center" wrapText="1"/>
    </xf>
    <xf numFmtId="0" fontId="34" fillId="0" borderId="22" xfId="0" applyFont="1" applyBorder="1" applyAlignment="1">
      <alignment vertical="center"/>
    </xf>
    <xf numFmtId="0" fontId="10" fillId="5" borderId="30" xfId="0" applyFont="1" applyFill="1" applyBorder="1" applyAlignment="1">
      <alignment wrapText="1"/>
    </xf>
    <xf numFmtId="0" fontId="10" fillId="0" borderId="0" xfId="0" applyFont="1" applyAlignment="1">
      <alignment vertical="center"/>
    </xf>
    <xf numFmtId="0" fontId="10" fillId="0" borderId="0" xfId="0" applyFont="1" applyAlignment="1">
      <alignment wrapText="1"/>
    </xf>
    <xf numFmtId="0" fontId="10" fillId="0" borderId="0" xfId="0" applyFont="1"/>
    <xf numFmtId="0" fontId="10" fillId="0" borderId="40" xfId="0" applyFont="1" applyBorder="1" applyAlignment="1">
      <alignment horizontal="center"/>
    </xf>
    <xf numFmtId="0" fontId="11" fillId="0" borderId="40" xfId="0" applyFont="1" applyBorder="1"/>
    <xf numFmtId="0" fontId="11" fillId="0" borderId="40" xfId="0" applyFont="1" applyBorder="1" applyAlignment="1">
      <alignment wrapText="1"/>
    </xf>
    <xf numFmtId="0" fontId="10" fillId="0" borderId="40" xfId="0" applyFont="1" applyBorder="1"/>
    <xf numFmtId="0" fontId="10" fillId="2" borderId="40" xfId="0" applyFont="1" applyFill="1" applyBorder="1" applyAlignment="1">
      <alignment wrapText="1"/>
    </xf>
    <xf numFmtId="0" fontId="11" fillId="5" borderId="1" xfId="0" applyFont="1" applyFill="1" applyBorder="1"/>
    <xf numFmtId="0" fontId="10" fillId="0" borderId="30" xfId="0" applyFont="1" applyBorder="1" applyAlignment="1">
      <alignment vertical="center"/>
    </xf>
    <xf numFmtId="0" fontId="10" fillId="0" borderId="31" xfId="0" applyFont="1" applyBorder="1" applyAlignment="1">
      <alignment vertical="center"/>
    </xf>
    <xf numFmtId="0" fontId="10" fillId="5" borderId="29" xfId="0" applyFont="1" applyFill="1" applyBorder="1" applyAlignment="1">
      <alignment vertical="top"/>
    </xf>
    <xf numFmtId="0" fontId="10" fillId="5" borderId="30" xfId="0" applyFont="1" applyFill="1" applyBorder="1" applyAlignment="1">
      <alignment vertical="center"/>
    </xf>
    <xf numFmtId="0" fontId="10" fillId="0" borderId="26" xfId="0" applyFont="1" applyBorder="1" applyAlignment="1">
      <alignment vertical="top" wrapText="1"/>
    </xf>
    <xf numFmtId="0" fontId="11" fillId="5" borderId="0" xfId="0" applyFont="1" applyFill="1" applyAlignment="1">
      <alignment vertical="center"/>
    </xf>
    <xf numFmtId="0" fontId="10" fillId="5" borderId="25" xfId="0" applyFont="1" applyFill="1" applyBorder="1" applyAlignment="1">
      <alignment horizontal="left" vertical="center"/>
    </xf>
    <xf numFmtId="0" fontId="23" fillId="0" borderId="0" xfId="2" applyFont="1"/>
    <xf numFmtId="0" fontId="36" fillId="0" borderId="0" xfId="2" applyFont="1"/>
    <xf numFmtId="169" fontId="23" fillId="0" borderId="0" xfId="3" applyNumberFormat="1" applyFont="1"/>
    <xf numFmtId="169" fontId="36" fillId="5" borderId="0" xfId="3" applyNumberFormat="1" applyFont="1" applyFill="1"/>
    <xf numFmtId="10" fontId="23" fillId="0" borderId="0" xfId="4" applyNumberFormat="1" applyFont="1" applyAlignment="1">
      <alignment horizontal="left"/>
    </xf>
    <xf numFmtId="0" fontId="23" fillId="0" borderId="0" xfId="2" applyFont="1" applyAlignment="1">
      <alignment wrapText="1"/>
    </xf>
    <xf numFmtId="0" fontId="37" fillId="5" borderId="45" xfId="2" applyFont="1" applyFill="1" applyBorder="1" applyAlignment="1">
      <alignment horizontal="center" vertical="center" wrapText="1"/>
    </xf>
    <xf numFmtId="167" fontId="37" fillId="5" borderId="35" xfId="2" applyNumberFormat="1" applyFont="1" applyFill="1" applyBorder="1" applyAlignment="1">
      <alignment horizontal="center" vertical="center" wrapText="1"/>
    </xf>
    <xf numFmtId="3" fontId="36" fillId="5" borderId="35" xfId="2" applyNumberFormat="1" applyFont="1" applyFill="1" applyBorder="1" applyAlignment="1">
      <alignment horizontal="center" vertical="center" wrapText="1"/>
    </xf>
    <xf numFmtId="0" fontId="37" fillId="5" borderId="39" xfId="2" applyFont="1" applyFill="1" applyBorder="1" applyAlignment="1">
      <alignment horizontal="center" vertical="center" wrapText="1"/>
    </xf>
    <xf numFmtId="0" fontId="23" fillId="0" borderId="22" xfId="2" applyFont="1" applyBorder="1"/>
    <xf numFmtId="3" fontId="23" fillId="0" borderId="22" xfId="2" applyNumberFormat="1" applyFont="1" applyBorder="1"/>
    <xf numFmtId="169" fontId="23" fillId="4" borderId="22" xfId="3" applyNumberFormat="1" applyFont="1" applyFill="1" applyBorder="1"/>
    <xf numFmtId="169" fontId="23" fillId="4" borderId="22" xfId="3" applyNumberFormat="1" applyFont="1" applyFill="1" applyBorder="1" applyAlignment="1">
      <alignment horizontal="right"/>
    </xf>
    <xf numFmtId="0" fontId="23" fillId="0" borderId="22" xfId="2" applyFont="1" applyBorder="1" applyAlignment="1">
      <alignment wrapText="1"/>
    </xf>
    <xf numFmtId="167" fontId="23" fillId="0" borderId="0" xfId="5" applyFont="1"/>
    <xf numFmtId="164" fontId="23" fillId="0" borderId="0" xfId="2" applyNumberFormat="1" applyFont="1"/>
    <xf numFmtId="165" fontId="23" fillId="0" borderId="0" xfId="2" applyNumberFormat="1" applyFont="1"/>
    <xf numFmtId="170" fontId="23" fillId="0" borderId="22" xfId="2" applyNumberFormat="1" applyFont="1" applyBorder="1" applyAlignment="1">
      <alignment wrapText="1"/>
    </xf>
    <xf numFmtId="0" fontId="37" fillId="5" borderId="32" xfId="2" applyFont="1" applyFill="1" applyBorder="1"/>
    <xf numFmtId="169" fontId="40" fillId="5" borderId="33" xfId="3" applyNumberFormat="1" applyFont="1" applyFill="1" applyBorder="1" applyAlignment="1">
      <alignment horizontal="right"/>
    </xf>
    <xf numFmtId="0" fontId="40" fillId="5" borderId="34" xfId="2" applyFont="1" applyFill="1" applyBorder="1" applyAlignment="1">
      <alignment horizontal="center" vertical="center" wrapText="1"/>
    </xf>
    <xf numFmtId="0" fontId="23" fillId="0" borderId="0" xfId="2" applyFont="1" applyAlignment="1">
      <alignment horizontal="left"/>
    </xf>
    <xf numFmtId="10" fontId="23" fillId="0" borderId="0" xfId="2" applyNumberFormat="1" applyFont="1"/>
    <xf numFmtId="170" fontId="23" fillId="4" borderId="33" xfId="2" applyNumberFormat="1" applyFont="1" applyFill="1" applyBorder="1" applyAlignment="1">
      <alignment wrapText="1"/>
    </xf>
    <xf numFmtId="170" fontId="23" fillId="4" borderId="34" xfId="2" applyNumberFormat="1" applyFont="1" applyFill="1" applyBorder="1" applyAlignment="1">
      <alignment wrapText="1"/>
    </xf>
    <xf numFmtId="0" fontId="6" fillId="0" borderId="0" xfId="2"/>
    <xf numFmtId="0" fontId="41" fillId="5" borderId="32" xfId="2" applyFont="1" applyFill="1" applyBorder="1" applyAlignment="1">
      <alignment horizontal="left" vertical="center"/>
    </xf>
    <xf numFmtId="169" fontId="41" fillId="5" borderId="33" xfId="3" applyNumberFormat="1" applyFont="1" applyFill="1" applyBorder="1" applyAlignment="1">
      <alignment vertical="center"/>
    </xf>
    <xf numFmtId="0" fontId="41" fillId="5" borderId="34" xfId="2" applyFont="1" applyFill="1" applyBorder="1" applyAlignment="1">
      <alignment horizontal="center" vertical="center" wrapText="1"/>
    </xf>
    <xf numFmtId="0" fontId="36" fillId="0" borderId="22" xfId="2" applyFont="1" applyBorder="1" applyAlignment="1">
      <alignment wrapText="1"/>
    </xf>
    <xf numFmtId="169" fontId="40" fillId="5" borderId="33" xfId="3" applyNumberFormat="1" applyFont="1" applyFill="1" applyBorder="1" applyAlignment="1">
      <alignment vertical="center"/>
    </xf>
    <xf numFmtId="0" fontId="41" fillId="5" borderId="34" xfId="2" applyFont="1" applyFill="1" applyBorder="1" applyAlignment="1">
      <alignment vertical="center" wrapText="1"/>
    </xf>
    <xf numFmtId="10" fontId="42" fillId="4" borderId="0" xfId="2" applyNumberFormat="1" applyFont="1" applyFill="1"/>
    <xf numFmtId="0" fontId="23" fillId="4" borderId="0" xfId="2" applyFont="1" applyFill="1"/>
    <xf numFmtId="169" fontId="23" fillId="0" borderId="0" xfId="2" applyNumberFormat="1" applyFont="1"/>
    <xf numFmtId="169" fontId="40" fillId="5" borderId="33" xfId="3" applyNumberFormat="1" applyFont="1" applyFill="1" applyBorder="1" applyAlignment="1">
      <alignment horizontal="left" vertical="center"/>
    </xf>
    <xf numFmtId="0" fontId="41" fillId="5" borderId="34" xfId="2" applyFont="1" applyFill="1" applyBorder="1" applyAlignment="1">
      <alignment horizontal="left" vertical="center" wrapText="1"/>
    </xf>
    <xf numFmtId="0" fontId="36" fillId="4" borderId="0" xfId="2" applyFont="1" applyFill="1"/>
    <xf numFmtId="0" fontId="23" fillId="0" borderId="22" xfId="2" applyFont="1" applyBorder="1" applyAlignment="1">
      <alignment vertical="center"/>
    </xf>
    <xf numFmtId="169" fontId="23" fillId="4" borderId="22" xfId="3" applyNumberFormat="1" applyFont="1" applyFill="1" applyBorder="1" applyAlignment="1">
      <alignment vertical="center"/>
    </xf>
    <xf numFmtId="0" fontId="23" fillId="0" borderId="22" xfId="2" applyFont="1" applyBorder="1" applyAlignment="1">
      <alignment vertical="center" wrapText="1"/>
    </xf>
    <xf numFmtId="10" fontId="23" fillId="4" borderId="0" xfId="2" applyNumberFormat="1" applyFont="1" applyFill="1"/>
    <xf numFmtId="3" fontId="41" fillId="5" borderId="37" xfId="2" applyNumberFormat="1" applyFont="1" applyFill="1" applyBorder="1" applyAlignment="1">
      <alignment horizontal="left" vertical="center" wrapText="1"/>
    </xf>
    <xf numFmtId="169" fontId="40" fillId="5" borderId="38" xfId="3" applyNumberFormat="1" applyFont="1" applyFill="1" applyBorder="1"/>
    <xf numFmtId="3" fontId="41" fillId="5" borderId="39" xfId="2" applyNumberFormat="1" applyFont="1" applyFill="1" applyBorder="1" applyAlignment="1">
      <alignment horizontal="center" vertical="center" wrapText="1"/>
    </xf>
    <xf numFmtId="0" fontId="36" fillId="5" borderId="32" xfId="2" applyFont="1" applyFill="1" applyBorder="1"/>
    <xf numFmtId="0" fontId="36" fillId="5" borderId="22" xfId="2" applyFont="1" applyFill="1" applyBorder="1"/>
    <xf numFmtId="169" fontId="23" fillId="5" borderId="22" xfId="3" applyNumberFormat="1" applyFont="1" applyFill="1" applyBorder="1"/>
    <xf numFmtId="169" fontId="23" fillId="5" borderId="33" xfId="3" applyNumberFormat="1" applyFont="1" applyFill="1" applyBorder="1"/>
    <xf numFmtId="3" fontId="36" fillId="5" borderId="34" xfId="2" applyNumberFormat="1" applyFont="1" applyFill="1" applyBorder="1" applyAlignment="1">
      <alignment horizontal="center" vertical="center" wrapText="1"/>
    </xf>
    <xf numFmtId="3" fontId="42" fillId="0" borderId="22" xfId="2" applyNumberFormat="1" applyFont="1" applyBorder="1" applyAlignment="1">
      <alignment horizontal="left" vertical="center" wrapText="1"/>
    </xf>
    <xf numFmtId="10" fontId="38" fillId="4" borderId="0" xfId="2" applyNumberFormat="1" applyFont="1" applyFill="1"/>
    <xf numFmtId="169" fontId="23" fillId="4" borderId="0" xfId="2" applyNumberFormat="1" applyFont="1" applyFill="1"/>
    <xf numFmtId="167" fontId="23" fillId="4" borderId="0" xfId="5" applyFont="1" applyFill="1"/>
    <xf numFmtId="0" fontId="23" fillId="0" borderId="22" xfId="2" applyFont="1" applyBorder="1" applyAlignment="1">
      <alignment horizontal="left"/>
    </xf>
    <xf numFmtId="3" fontId="23" fillId="0" borderId="22" xfId="2" applyNumberFormat="1" applyFont="1" applyBorder="1" applyAlignment="1">
      <alignment horizontal="left" vertical="center" wrapText="1"/>
    </xf>
    <xf numFmtId="0" fontId="36" fillId="5" borderId="34" xfId="2" applyFont="1" applyFill="1" applyBorder="1" applyAlignment="1">
      <alignment wrapText="1"/>
    </xf>
    <xf numFmtId="0" fontId="23" fillId="5" borderId="22" xfId="2" applyFont="1" applyFill="1" applyBorder="1"/>
    <xf numFmtId="3" fontId="23" fillId="4" borderId="0" xfId="4" applyNumberFormat="1" applyFont="1" applyFill="1"/>
    <xf numFmtId="169" fontId="23" fillId="4" borderId="22" xfId="3" applyNumberFormat="1" applyFont="1" applyFill="1" applyBorder="1" applyAlignment="1">
      <alignment horizontal="center"/>
    </xf>
    <xf numFmtId="0" fontId="23" fillId="0" borderId="35" xfId="2" applyFont="1" applyBorder="1"/>
    <xf numFmtId="169" fontId="23" fillId="4" borderId="35" xfId="3" applyNumberFormat="1" applyFont="1" applyFill="1" applyBorder="1"/>
    <xf numFmtId="169" fontId="23" fillId="4" borderId="35" xfId="3" applyNumberFormat="1" applyFont="1" applyFill="1" applyBorder="1" applyAlignment="1">
      <alignment horizontal="right"/>
    </xf>
    <xf numFmtId="0" fontId="23" fillId="0" borderId="35" xfId="2" applyFont="1" applyBorder="1" applyAlignment="1">
      <alignment wrapText="1"/>
    </xf>
    <xf numFmtId="169" fontId="23" fillId="5" borderId="33" xfId="3" applyNumberFormat="1" applyFont="1" applyFill="1" applyBorder="1" applyAlignment="1">
      <alignment horizontal="right"/>
    </xf>
    <xf numFmtId="0" fontId="23" fillId="5" borderId="34" xfId="2" applyFont="1" applyFill="1" applyBorder="1" applyAlignment="1">
      <alignment wrapText="1"/>
    </xf>
    <xf numFmtId="0" fontId="23" fillId="4" borderId="36" xfId="2" applyFont="1" applyFill="1" applyBorder="1" applyAlignment="1">
      <alignment wrapText="1"/>
    </xf>
    <xf numFmtId="169" fontId="23" fillId="4" borderId="36" xfId="3" applyNumberFormat="1" applyFont="1" applyFill="1" applyBorder="1"/>
    <xf numFmtId="171" fontId="23" fillId="4" borderId="36" xfId="2" applyNumberFormat="1" applyFont="1" applyFill="1" applyBorder="1" applyAlignment="1">
      <alignment horizontal="left" wrapText="1"/>
    </xf>
    <xf numFmtId="0" fontId="23" fillId="4" borderId="35" xfId="2" applyFont="1" applyFill="1" applyBorder="1" applyAlignment="1">
      <alignment wrapText="1"/>
    </xf>
    <xf numFmtId="171" fontId="23" fillId="4" borderId="42" xfId="2" applyNumberFormat="1" applyFont="1" applyFill="1" applyBorder="1" applyAlignment="1">
      <alignment horizontal="left" wrapText="1"/>
    </xf>
    <xf numFmtId="0" fontId="36" fillId="5" borderId="33" xfId="2" applyFont="1" applyFill="1" applyBorder="1"/>
    <xf numFmtId="0" fontId="23" fillId="5" borderId="33" xfId="2" applyFont="1" applyFill="1" applyBorder="1" applyAlignment="1">
      <alignment wrapText="1"/>
    </xf>
    <xf numFmtId="0" fontId="23" fillId="0" borderId="36" xfId="2" applyFont="1" applyBorder="1"/>
    <xf numFmtId="169" fontId="23" fillId="4" borderId="36" xfId="3" applyNumberFormat="1" applyFont="1" applyFill="1" applyBorder="1" applyAlignment="1">
      <alignment horizontal="right"/>
    </xf>
    <xf numFmtId="0" fontId="23" fillId="0" borderId="36" xfId="2" applyFont="1" applyBorder="1" applyAlignment="1">
      <alignment wrapText="1"/>
    </xf>
    <xf numFmtId="0" fontId="23" fillId="0" borderId="0" xfId="2" applyFont="1" applyAlignment="1">
      <alignment horizontal="center"/>
    </xf>
    <xf numFmtId="169" fontId="23" fillId="0" borderId="41" xfId="3" applyNumberFormat="1" applyFont="1" applyBorder="1" applyAlignment="1">
      <alignment horizontal="center"/>
    </xf>
    <xf numFmtId="0" fontId="23" fillId="0" borderId="22" xfId="2" applyFont="1" applyBorder="1" applyAlignment="1">
      <alignment horizontal="right"/>
    </xf>
    <xf numFmtId="0" fontId="23" fillId="0" borderId="34" xfId="2" applyFont="1" applyBorder="1" applyAlignment="1">
      <alignment wrapText="1"/>
    </xf>
    <xf numFmtId="0" fontId="43" fillId="0" borderId="22" xfId="2" applyFont="1" applyBorder="1" applyAlignment="1">
      <alignment wrapText="1"/>
    </xf>
    <xf numFmtId="0" fontId="43" fillId="0" borderId="35" xfId="2" applyFont="1" applyBorder="1" applyAlignment="1">
      <alignment wrapText="1"/>
    </xf>
    <xf numFmtId="0" fontId="43" fillId="5" borderId="22" xfId="2" applyFont="1" applyFill="1" applyBorder="1" applyAlignment="1">
      <alignment wrapText="1"/>
    </xf>
    <xf numFmtId="167" fontId="23" fillId="0" borderId="0" xfId="2" applyNumberFormat="1" applyFont="1"/>
    <xf numFmtId="0" fontId="23" fillId="0" borderId="46" xfId="2" applyFont="1" applyBorder="1"/>
    <xf numFmtId="0" fontId="36" fillId="5" borderId="32" xfId="2" applyFont="1" applyFill="1" applyBorder="1" applyAlignment="1">
      <alignment horizontal="left" vertical="center"/>
    </xf>
    <xf numFmtId="0" fontId="37" fillId="5" borderId="33" xfId="2" applyFont="1" applyFill="1" applyBorder="1" applyAlignment="1">
      <alignment horizontal="center" vertical="center"/>
    </xf>
    <xf numFmtId="0" fontId="37" fillId="5" borderId="34" xfId="2" applyFont="1" applyFill="1" applyBorder="1" applyAlignment="1">
      <alignment horizontal="center" vertical="center"/>
    </xf>
    <xf numFmtId="171" fontId="23" fillId="0" borderId="22" xfId="2" applyNumberFormat="1" applyFont="1" applyBorder="1" applyAlignment="1">
      <alignment horizontal="left" wrapText="1"/>
    </xf>
    <xf numFmtId="169" fontId="23" fillId="0" borderId="0" xfId="3" applyNumberFormat="1" applyFont="1" applyFill="1" applyBorder="1"/>
    <xf numFmtId="171" fontId="23" fillId="0" borderId="0" xfId="2" applyNumberFormat="1" applyFont="1" applyAlignment="1">
      <alignment horizontal="left" wrapText="1"/>
    </xf>
    <xf numFmtId="41" fontId="23" fillId="0" borderId="0" xfId="2" applyNumberFormat="1" applyFont="1"/>
    <xf numFmtId="169" fontId="39" fillId="4" borderId="22" xfId="3" applyNumberFormat="1" applyFont="1" applyFill="1" applyBorder="1" applyAlignment="1">
      <alignment horizontal="center"/>
    </xf>
    <xf numFmtId="171" fontId="39" fillId="0" borderId="22" xfId="2" applyNumberFormat="1" applyFont="1" applyBorder="1" applyAlignment="1">
      <alignment horizontal="left" wrapText="1"/>
    </xf>
    <xf numFmtId="172" fontId="23" fillId="4" borderId="0" xfId="2" applyNumberFormat="1" applyFont="1" applyFill="1"/>
    <xf numFmtId="0" fontId="23" fillId="4" borderId="22" xfId="2" applyFont="1" applyFill="1" applyBorder="1"/>
    <xf numFmtId="171" fontId="44" fillId="0" borderId="22" xfId="2" applyNumberFormat="1" applyFont="1" applyBorder="1" applyAlignment="1">
      <alignment horizontal="left" wrapText="1"/>
    </xf>
    <xf numFmtId="173" fontId="23" fillId="0" borderId="0" xfId="2" applyNumberFormat="1" applyFont="1"/>
    <xf numFmtId="173" fontId="42" fillId="4" borderId="0" xfId="2" applyNumberFormat="1" applyFont="1" applyFill="1"/>
    <xf numFmtId="0" fontId="23" fillId="0" borderId="32" xfId="2" applyFont="1" applyBorder="1" applyAlignment="1">
      <alignment wrapText="1"/>
    </xf>
    <xf numFmtId="0" fontId="23" fillId="0" borderId="33" xfId="2" applyFont="1" applyBorder="1" applyAlignment="1">
      <alignment wrapText="1"/>
    </xf>
    <xf numFmtId="0" fontId="23" fillId="0" borderId="35" xfId="2" applyFont="1" applyBorder="1" applyAlignment="1">
      <alignment vertical="center"/>
    </xf>
    <xf numFmtId="0" fontId="36" fillId="5" borderId="32" xfId="2" applyFont="1" applyFill="1" applyBorder="1" applyAlignment="1">
      <alignment vertical="center"/>
    </xf>
    <xf numFmtId="169" fontId="23" fillId="5" borderId="33" xfId="3" applyNumberFormat="1" applyFont="1" applyFill="1" applyBorder="1" applyAlignment="1">
      <alignment vertical="center"/>
    </xf>
    <xf numFmtId="0" fontId="23" fillId="5" borderId="34" xfId="2" applyFont="1" applyFill="1" applyBorder="1" applyAlignment="1">
      <alignment vertical="center" wrapText="1"/>
    </xf>
    <xf numFmtId="0" fontId="23" fillId="4" borderId="22" xfId="2" applyFont="1" applyFill="1" applyBorder="1" applyAlignment="1">
      <alignment wrapText="1"/>
    </xf>
    <xf numFmtId="174" fontId="23" fillId="0" borderId="0" xfId="2" applyNumberFormat="1" applyFont="1"/>
    <xf numFmtId="0" fontId="23" fillId="4" borderId="35" xfId="2" applyFont="1" applyFill="1" applyBorder="1"/>
    <xf numFmtId="169" fontId="23" fillId="4" borderId="35" xfId="3" applyNumberFormat="1" applyFont="1" applyFill="1" applyBorder="1" applyAlignment="1">
      <alignment horizontal="center" vertical="center"/>
    </xf>
    <xf numFmtId="0" fontId="23" fillId="4" borderId="35" xfId="2" applyFont="1" applyFill="1" applyBorder="1" applyAlignment="1">
      <alignment horizontal="center" vertical="center" wrapText="1"/>
    </xf>
    <xf numFmtId="169" fontId="23" fillId="4" borderId="42" xfId="3" applyNumberFormat="1" applyFont="1" applyFill="1" applyBorder="1" applyAlignment="1">
      <alignment horizontal="center" vertical="center"/>
    </xf>
    <xf numFmtId="169" fontId="23" fillId="4" borderId="42" xfId="3" applyNumberFormat="1" applyFont="1" applyFill="1" applyBorder="1"/>
    <xf numFmtId="0" fontId="23" fillId="4" borderId="42" xfId="2" applyFont="1" applyFill="1" applyBorder="1" applyAlignment="1">
      <alignment vertical="center" wrapText="1"/>
    </xf>
    <xf numFmtId="0" fontId="23" fillId="4" borderId="36" xfId="2" applyFont="1" applyFill="1" applyBorder="1" applyAlignment="1">
      <alignment vertical="center" wrapText="1"/>
    </xf>
    <xf numFmtId="0" fontId="36" fillId="5" borderId="47" xfId="2" applyFont="1" applyFill="1" applyBorder="1" applyAlignment="1">
      <alignment vertical="center"/>
    </xf>
    <xf numFmtId="169" fontId="23" fillId="5" borderId="48" xfId="3" applyNumberFormat="1" applyFont="1" applyFill="1" applyBorder="1" applyAlignment="1">
      <alignment horizontal="right" vertical="center" wrapText="1"/>
    </xf>
    <xf numFmtId="0" fontId="23" fillId="5" borderId="49" xfId="2" applyFont="1" applyFill="1" applyBorder="1" applyAlignment="1">
      <alignment vertical="center" wrapText="1"/>
    </xf>
    <xf numFmtId="171" fontId="23" fillId="4" borderId="22" xfId="2" applyNumberFormat="1" applyFont="1" applyFill="1" applyBorder="1" applyAlignment="1">
      <alignment horizontal="left" wrapText="1"/>
    </xf>
    <xf numFmtId="171" fontId="23" fillId="4" borderId="35" xfId="2" applyNumberFormat="1" applyFont="1" applyFill="1" applyBorder="1" applyAlignment="1">
      <alignment horizontal="left" wrapText="1"/>
    </xf>
    <xf numFmtId="0" fontId="36" fillId="4" borderId="32" xfId="2" applyFont="1" applyFill="1" applyBorder="1" applyAlignment="1">
      <alignment wrapText="1"/>
    </xf>
    <xf numFmtId="169" fontId="23" fillId="4" borderId="33" xfId="3" applyNumberFormat="1" applyFont="1" applyFill="1" applyBorder="1" applyAlignment="1">
      <alignment horizontal="right"/>
    </xf>
    <xf numFmtId="171" fontId="23" fillId="4" borderId="34" xfId="2" applyNumberFormat="1" applyFont="1" applyFill="1" applyBorder="1" applyAlignment="1">
      <alignment horizontal="left" wrapText="1"/>
    </xf>
    <xf numFmtId="0" fontId="23" fillId="0" borderId="41" xfId="2" applyFont="1" applyBorder="1"/>
    <xf numFmtId="0" fontId="36" fillId="0" borderId="0" xfId="2" applyFont="1" applyAlignment="1">
      <alignment vertical="center"/>
    </xf>
    <xf numFmtId="0" fontId="25" fillId="0" borderId="0" xfId="2" applyFont="1"/>
    <xf numFmtId="0" fontId="27" fillId="0" borderId="0" xfId="2" applyFont="1"/>
    <xf numFmtId="9" fontId="23" fillId="0" borderId="0" xfId="2" applyNumberFormat="1" applyFont="1" applyAlignment="1">
      <alignment horizontal="left"/>
    </xf>
    <xf numFmtId="0" fontId="0" fillId="0" borderId="33" xfId="0" applyBorder="1" applyAlignment="1">
      <alignment wrapText="1"/>
    </xf>
    <xf numFmtId="0" fontId="0" fillId="0" borderId="34" xfId="0" applyBorder="1" applyAlignment="1">
      <alignment wrapText="1"/>
    </xf>
    <xf numFmtId="41" fontId="23" fillId="0" borderId="0" xfId="1" applyFont="1"/>
    <xf numFmtId="0" fontId="10" fillId="5" borderId="40" xfId="0" applyFont="1" applyFill="1" applyBorder="1"/>
    <xf numFmtId="3" fontId="6" fillId="0" borderId="51" xfId="6" applyNumberFormat="1" applyFont="1" applyBorder="1"/>
    <xf numFmtId="0" fontId="10" fillId="5" borderId="18" xfId="0" applyFont="1" applyFill="1" applyBorder="1" applyAlignment="1">
      <alignment horizontal="center"/>
    </xf>
    <xf numFmtId="0" fontId="10" fillId="5" borderId="19" xfId="0" applyFont="1" applyFill="1" applyBorder="1" applyAlignment="1">
      <alignment horizontal="center"/>
    </xf>
    <xf numFmtId="0" fontId="10" fillId="5" borderId="19" xfId="0" applyFont="1" applyFill="1" applyBorder="1" applyAlignment="1">
      <alignment horizontal="center" wrapText="1"/>
    </xf>
    <xf numFmtId="0" fontId="10" fillId="5" borderId="52" xfId="0" applyFont="1" applyFill="1" applyBorder="1" applyAlignment="1">
      <alignment horizontal="center" wrapText="1"/>
    </xf>
    <xf numFmtId="9" fontId="23" fillId="0" borderId="22" xfId="2" applyNumberFormat="1" applyFont="1" applyBorder="1" applyAlignment="1">
      <alignment horizontal="right"/>
    </xf>
    <xf numFmtId="0" fontId="23" fillId="0" borderId="0" xfId="2" applyFont="1" applyAlignment="1">
      <alignment horizontal="right"/>
    </xf>
    <xf numFmtId="9" fontId="23" fillId="0" borderId="0" xfId="2" applyNumberFormat="1" applyFont="1" applyAlignment="1">
      <alignment horizontal="right"/>
    </xf>
    <xf numFmtId="0" fontId="10" fillId="5" borderId="0" xfId="0" applyFont="1" applyFill="1" applyAlignment="1">
      <alignment vertical="center"/>
    </xf>
    <xf numFmtId="0" fontId="10" fillId="5" borderId="0" xfId="0" applyFont="1" applyFill="1"/>
    <xf numFmtId="0" fontId="10" fillId="5" borderId="0" xfId="0" applyFont="1" applyFill="1" applyAlignment="1">
      <alignment wrapText="1"/>
    </xf>
    <xf numFmtId="0" fontId="11" fillId="5" borderId="1" xfId="0" applyFont="1" applyFill="1" applyBorder="1" applyAlignment="1" applyProtection="1">
      <alignment horizontal="centerContinuous"/>
      <protection locked="0"/>
    </xf>
    <xf numFmtId="0" fontId="10" fillId="5" borderId="40" xfId="0" applyFont="1" applyFill="1" applyBorder="1" applyAlignment="1">
      <alignment wrapText="1"/>
    </xf>
    <xf numFmtId="0" fontId="11" fillId="5" borderId="1" xfId="0" applyFont="1" applyFill="1" applyBorder="1" applyAlignment="1" applyProtection="1">
      <alignment horizontal="center"/>
      <protection locked="0"/>
    </xf>
    <xf numFmtId="3" fontId="23" fillId="0" borderId="34" xfId="2" applyNumberFormat="1" applyFont="1" applyBorder="1" applyAlignment="1">
      <alignment horizontal="left" vertical="center" wrapText="1"/>
    </xf>
    <xf numFmtId="14" fontId="13" fillId="0" borderId="0" xfId="0" applyNumberFormat="1" applyFont="1" applyAlignment="1">
      <alignment vertical="center"/>
    </xf>
    <xf numFmtId="14" fontId="11" fillId="0" borderId="0" xfId="0" applyNumberFormat="1" applyFont="1" applyAlignment="1">
      <alignment vertical="center"/>
    </xf>
    <xf numFmtId="0" fontId="47" fillId="9" borderId="22" xfId="0" applyFont="1" applyFill="1" applyBorder="1" applyAlignment="1">
      <alignment horizontal="center"/>
    </xf>
    <xf numFmtId="1" fontId="0" fillId="0" borderId="22" xfId="0" applyNumberFormat="1" applyBorder="1" applyAlignment="1">
      <alignment horizontal="left"/>
    </xf>
    <xf numFmtId="176" fontId="0" fillId="0" borderId="22" xfId="0" applyNumberFormat="1" applyBorder="1"/>
    <xf numFmtId="1" fontId="0" fillId="4" borderId="22" xfId="0" applyNumberFormat="1" applyFill="1" applyBorder="1" applyAlignment="1">
      <alignment horizontal="left"/>
    </xf>
    <xf numFmtId="1" fontId="0" fillId="0" borderId="0" xfId="0" applyNumberFormat="1" applyAlignment="1">
      <alignment horizontal="left"/>
    </xf>
    <xf numFmtId="0" fontId="48" fillId="0" borderId="22" xfId="0" applyFont="1" applyBorder="1" applyAlignment="1">
      <alignment vertical="center" wrapText="1"/>
    </xf>
    <xf numFmtId="0" fontId="48" fillId="0" borderId="22" xfId="0" applyFont="1" applyBorder="1" applyAlignment="1">
      <alignment vertical="center"/>
    </xf>
    <xf numFmtId="0" fontId="6" fillId="0" borderId="0" xfId="0" applyFont="1"/>
    <xf numFmtId="0" fontId="48" fillId="10" borderId="22" xfId="0" applyFont="1" applyFill="1" applyBorder="1" applyAlignment="1">
      <alignment horizontal="center" vertical="center"/>
    </xf>
    <xf numFmtId="0" fontId="50" fillId="0" borderId="22" xfId="0" applyFont="1" applyBorder="1" applyAlignment="1">
      <alignment vertical="center"/>
    </xf>
    <xf numFmtId="0" fontId="0" fillId="0" borderId="22" xfId="0" applyBorder="1" applyAlignment="1">
      <alignment vertical="center"/>
    </xf>
    <xf numFmtId="0" fontId="0" fillId="0" borderId="22" xfId="0" applyBorder="1" applyAlignment="1">
      <alignment horizontal="center" vertical="center"/>
    </xf>
    <xf numFmtId="0" fontId="22" fillId="4" borderId="0" xfId="0" applyFont="1" applyFill="1" applyAlignment="1">
      <alignment vertical="top" wrapText="1"/>
    </xf>
    <xf numFmtId="0" fontId="53" fillId="11" borderId="56" xfId="8" applyFont="1" applyFill="1" applyBorder="1" applyAlignment="1">
      <alignment horizontal="center" vertical="center" wrapText="1"/>
    </xf>
    <xf numFmtId="0" fontId="54" fillId="0" borderId="0" xfId="8" applyFont="1"/>
    <xf numFmtId="0" fontId="54" fillId="12" borderId="57" xfId="8" applyFont="1" applyFill="1" applyBorder="1" applyAlignment="1">
      <alignment horizontal="center" vertical="center"/>
    </xf>
    <xf numFmtId="0" fontId="54" fillId="13" borderId="58" xfId="8" applyFont="1" applyFill="1" applyBorder="1" applyAlignment="1">
      <alignment horizontal="center" vertical="center"/>
    </xf>
    <xf numFmtId="0" fontId="54" fillId="13" borderId="58" xfId="8" applyFont="1" applyFill="1" applyBorder="1" applyAlignment="1">
      <alignment vertical="center" wrapText="1"/>
    </xf>
    <xf numFmtId="0" fontId="54" fillId="13" borderId="58" xfId="8" applyFont="1" applyFill="1" applyBorder="1" applyAlignment="1">
      <alignment horizontal="center" vertical="center" wrapText="1"/>
    </xf>
    <xf numFmtId="0" fontId="26" fillId="13" borderId="58" xfId="8" applyFont="1" applyFill="1" applyBorder="1" applyAlignment="1">
      <alignment horizontal="justify" vertical="center" wrapText="1"/>
    </xf>
    <xf numFmtId="2" fontId="54" fillId="13" borderId="58" xfId="8" applyNumberFormat="1" applyFont="1" applyFill="1" applyBorder="1" applyAlignment="1">
      <alignment horizontal="center" vertical="center" wrapText="1"/>
    </xf>
    <xf numFmtId="1" fontId="54" fillId="13" borderId="58" xfId="9" applyNumberFormat="1" applyFont="1" applyFill="1" applyBorder="1" applyAlignment="1">
      <alignment horizontal="center" vertical="center" wrapText="1"/>
    </xf>
    <xf numFmtId="10" fontId="54" fillId="13" borderId="58" xfId="9" applyNumberFormat="1" applyFont="1" applyFill="1" applyBorder="1" applyAlignment="1">
      <alignment horizontal="center" vertical="center" wrapText="1"/>
    </xf>
    <xf numFmtId="0" fontId="54" fillId="13" borderId="59" xfId="8" applyFont="1" applyFill="1" applyBorder="1" applyAlignment="1">
      <alignment horizontal="center"/>
    </xf>
    <xf numFmtId="0" fontId="54" fillId="4" borderId="0" xfId="8" applyFont="1" applyFill="1"/>
    <xf numFmtId="0" fontId="54" fillId="14" borderId="58" xfId="8" applyFont="1" applyFill="1" applyBorder="1" applyAlignment="1">
      <alignment horizontal="center" vertical="center"/>
    </xf>
    <xf numFmtId="0" fontId="54" fillId="14" borderId="58" xfId="8" applyFont="1" applyFill="1" applyBorder="1" applyAlignment="1">
      <alignment vertical="center" wrapText="1"/>
    </xf>
    <xf numFmtId="0" fontId="54" fillId="14" borderId="58" xfId="8" applyFont="1" applyFill="1" applyBorder="1" applyAlignment="1">
      <alignment horizontal="center" vertical="center" wrapText="1"/>
    </xf>
    <xf numFmtId="2" fontId="54" fillId="14" borderId="58" xfId="8" applyNumberFormat="1" applyFont="1" applyFill="1" applyBorder="1" applyAlignment="1">
      <alignment horizontal="center" vertical="center" wrapText="1"/>
    </xf>
    <xf numFmtId="10" fontId="54" fillId="14" borderId="58" xfId="9" applyNumberFormat="1" applyFont="1" applyFill="1" applyBorder="1" applyAlignment="1">
      <alignment horizontal="center" vertical="center" wrapText="1"/>
    </xf>
    <xf numFmtId="0" fontId="54" fillId="14" borderId="59" xfId="8" applyFont="1" applyFill="1" applyBorder="1" applyAlignment="1">
      <alignment horizontal="center"/>
    </xf>
    <xf numFmtId="175" fontId="54" fillId="13" borderId="58" xfId="10" applyNumberFormat="1" applyFont="1" applyFill="1" applyBorder="1" applyAlignment="1">
      <alignment horizontal="center" vertical="center" wrapText="1"/>
    </xf>
    <xf numFmtId="41" fontId="54" fillId="14" borderId="58" xfId="11" applyFont="1" applyFill="1" applyBorder="1" applyAlignment="1">
      <alignment horizontal="center" vertical="center" wrapText="1"/>
    </xf>
    <xf numFmtId="9" fontId="54" fillId="13" borderId="58" xfId="9" applyFont="1" applyFill="1" applyBorder="1" applyAlignment="1">
      <alignment horizontal="center" vertical="center" wrapText="1"/>
    </xf>
    <xf numFmtId="0" fontId="26" fillId="14" borderId="58" xfId="8" applyFont="1" applyFill="1" applyBorder="1" applyAlignment="1">
      <alignment wrapText="1"/>
    </xf>
    <xf numFmtId="9" fontId="54" fillId="14" borderId="58" xfId="9" applyFont="1" applyFill="1" applyBorder="1" applyAlignment="1">
      <alignment horizontal="center" vertical="center" wrapText="1"/>
    </xf>
    <xf numFmtId="0" fontId="26" fillId="13" borderId="58" xfId="8" applyFont="1" applyFill="1" applyBorder="1" applyAlignment="1">
      <alignment vertical="center" wrapText="1"/>
    </xf>
    <xf numFmtId="0" fontId="26" fillId="14" borderId="58" xfId="8" applyFont="1" applyFill="1" applyBorder="1" applyAlignment="1">
      <alignment vertical="center" wrapText="1"/>
    </xf>
    <xf numFmtId="1" fontId="54" fillId="14" borderId="58" xfId="11" applyNumberFormat="1" applyFont="1" applyFill="1" applyBorder="1" applyAlignment="1">
      <alignment horizontal="center" vertical="center" wrapText="1"/>
    </xf>
    <xf numFmtId="1" fontId="54" fillId="14" borderId="58" xfId="8" applyNumberFormat="1" applyFont="1" applyFill="1" applyBorder="1" applyAlignment="1">
      <alignment horizontal="center" vertical="center" wrapText="1"/>
    </xf>
    <xf numFmtId="0" fontId="54" fillId="14" borderId="59" xfId="8" applyFont="1" applyFill="1" applyBorder="1" applyAlignment="1">
      <alignment horizontal="center" vertical="center" wrapText="1"/>
    </xf>
    <xf numFmtId="0" fontId="54" fillId="4" borderId="57" xfId="8" applyFont="1" applyFill="1" applyBorder="1" applyAlignment="1">
      <alignment horizontal="center" vertical="center"/>
    </xf>
    <xf numFmtId="41" fontId="54" fillId="13" borderId="58" xfId="11" applyFont="1" applyFill="1" applyBorder="1" applyAlignment="1">
      <alignment horizontal="center" vertical="center" wrapText="1"/>
    </xf>
    <xf numFmtId="9" fontId="54" fillId="14" borderId="58" xfId="8" applyNumberFormat="1" applyFont="1" applyFill="1" applyBorder="1" applyAlignment="1">
      <alignment horizontal="center" vertical="center" wrapText="1"/>
    </xf>
    <xf numFmtId="0" fontId="54" fillId="13" borderId="59" xfId="8" applyFont="1" applyFill="1" applyBorder="1" applyAlignment="1">
      <alignment horizontal="center" vertical="center" wrapText="1"/>
    </xf>
    <xf numFmtId="9" fontId="54" fillId="13" borderId="58" xfId="8" applyNumberFormat="1" applyFont="1" applyFill="1" applyBorder="1" applyAlignment="1">
      <alignment horizontal="center" vertical="center" wrapText="1"/>
    </xf>
    <xf numFmtId="0" fontId="54" fillId="0" borderId="0" xfId="8" applyFont="1" applyAlignment="1">
      <alignment horizontal="center" vertical="center"/>
    </xf>
    <xf numFmtId="0" fontId="54" fillId="0" borderId="0" xfId="8" applyFont="1" applyAlignment="1">
      <alignment horizontal="center"/>
    </xf>
    <xf numFmtId="43" fontId="54" fillId="4" borderId="0" xfId="10" applyFont="1" applyFill="1" applyBorder="1" applyAlignment="1">
      <alignment vertical="center"/>
    </xf>
    <xf numFmtId="43" fontId="54" fillId="4" borderId="60" xfId="10" applyFont="1" applyFill="1" applyBorder="1" applyAlignment="1">
      <alignment vertical="center"/>
    </xf>
    <xf numFmtId="0" fontId="22" fillId="5" borderId="25" xfId="0" applyFont="1" applyFill="1" applyBorder="1" applyAlignment="1">
      <alignment horizontal="left" vertical="center"/>
    </xf>
    <xf numFmtId="0" fontId="22" fillId="5" borderId="0" xfId="0" applyFont="1" applyFill="1" applyAlignment="1">
      <alignment horizontal="left" vertical="center"/>
    </xf>
    <xf numFmtId="0" fontId="23" fillId="5" borderId="0" xfId="0" applyFont="1" applyFill="1" applyAlignment="1">
      <alignment horizontal="center" vertical="center" wrapText="1"/>
    </xf>
    <xf numFmtId="0" fontId="11" fillId="0" borderId="38" xfId="0" applyFont="1" applyBorder="1"/>
    <xf numFmtId="0" fontId="11" fillId="0" borderId="61" xfId="0" applyFont="1" applyBorder="1"/>
    <xf numFmtId="169" fontId="36" fillId="5" borderId="33" xfId="3" applyNumberFormat="1" applyFont="1" applyFill="1" applyBorder="1" applyAlignment="1">
      <alignment horizontal="center" vertical="center"/>
    </xf>
    <xf numFmtId="0" fontId="0" fillId="0" borderId="0" xfId="0" applyAlignment="1">
      <alignment vertical="center" wrapText="1"/>
    </xf>
    <xf numFmtId="0" fontId="6" fillId="0" borderId="0" xfId="0" applyFont="1" applyAlignment="1">
      <alignment wrapText="1"/>
    </xf>
    <xf numFmtId="1" fontId="11" fillId="7" borderId="14" xfId="0" applyNumberFormat="1" applyFont="1" applyFill="1" applyBorder="1" applyAlignment="1" applyProtection="1">
      <alignment horizontal="center"/>
      <protection locked="0"/>
    </xf>
    <xf numFmtId="0" fontId="11" fillId="7" borderId="14" xfId="0" applyFont="1" applyFill="1" applyBorder="1" applyAlignment="1" applyProtection="1">
      <alignment horizontal="center"/>
      <protection locked="0"/>
    </xf>
    <xf numFmtId="0" fontId="11" fillId="7" borderId="14" xfId="0" applyFont="1" applyFill="1" applyBorder="1" applyAlignment="1" applyProtection="1">
      <alignment horizontal="left"/>
      <protection locked="0"/>
    </xf>
    <xf numFmtId="1" fontId="28" fillId="7" borderId="14" xfId="0" applyNumberFormat="1" applyFont="1" applyFill="1" applyBorder="1" applyAlignment="1" applyProtection="1">
      <alignment horizontal="center"/>
      <protection locked="0"/>
    </xf>
    <xf numFmtId="0" fontId="11" fillId="7" borderId="19" xfId="0" applyFont="1" applyFill="1" applyBorder="1" applyAlignment="1" applyProtection="1">
      <alignment horizontal="left" wrapText="1"/>
      <protection locked="0"/>
    </xf>
    <xf numFmtId="0" fontId="11" fillId="7" borderId="19" xfId="0" applyFont="1" applyFill="1" applyBorder="1" applyAlignment="1" applyProtection="1">
      <alignment horizontal="center" vertical="center"/>
      <protection locked="0"/>
    </xf>
    <xf numFmtId="166" fontId="11" fillId="7" borderId="14" xfId="0" applyNumberFormat="1" applyFont="1" applyFill="1" applyBorder="1" applyAlignment="1" applyProtection="1">
      <alignment horizontal="right" vertical="center"/>
      <protection locked="0"/>
    </xf>
    <xf numFmtId="0" fontId="11" fillId="7" borderId="14" xfId="0" applyFont="1" applyFill="1" applyBorder="1" applyAlignment="1" applyProtection="1">
      <alignment horizontal="left" wrapText="1"/>
      <protection locked="0"/>
    </xf>
    <xf numFmtId="0" fontId="13" fillId="7" borderId="14" xfId="0" applyFont="1" applyFill="1" applyBorder="1" applyAlignment="1" applyProtection="1">
      <alignment horizontal="center" wrapText="1"/>
      <protection locked="0"/>
    </xf>
    <xf numFmtId="0" fontId="11" fillId="7" borderId="16" xfId="0" applyFont="1" applyFill="1" applyBorder="1" applyAlignment="1" applyProtection="1">
      <alignment horizontal="center"/>
      <protection locked="0"/>
    </xf>
    <xf numFmtId="9" fontId="11" fillId="7" borderId="14" xfId="7" applyFont="1" applyFill="1" applyBorder="1" applyAlignment="1" applyProtection="1">
      <alignment horizontal="center"/>
      <protection locked="0"/>
    </xf>
    <xf numFmtId="166" fontId="11" fillId="7" borderId="14" xfId="0" applyNumberFormat="1" applyFont="1" applyFill="1" applyBorder="1" applyAlignment="1" applyProtection="1">
      <alignment horizontal="right"/>
      <protection locked="0"/>
    </xf>
    <xf numFmtId="0" fontId="36" fillId="0" borderId="0" xfId="2" applyFont="1" applyAlignment="1">
      <alignment horizontal="center"/>
    </xf>
    <xf numFmtId="0" fontId="37" fillId="0" borderId="0" xfId="2" applyFont="1"/>
    <xf numFmtId="10" fontId="6" fillId="0" borderId="0" xfId="4" applyNumberFormat="1" applyFont="1" applyAlignment="1">
      <alignment horizontal="left"/>
    </xf>
    <xf numFmtId="169" fontId="6" fillId="0" borderId="0" xfId="3" applyNumberFormat="1" applyFont="1"/>
    <xf numFmtId="0" fontId="37" fillId="4" borderId="0" xfId="2" applyFont="1" applyFill="1" applyAlignment="1">
      <alignment horizontal="center" wrapText="1"/>
    </xf>
    <xf numFmtId="0" fontId="23" fillId="4" borderId="0" xfId="2" applyFont="1" applyFill="1" applyAlignment="1">
      <alignment wrapText="1"/>
    </xf>
    <xf numFmtId="0" fontId="36" fillId="5" borderId="45" xfId="2" applyFont="1" applyFill="1" applyBorder="1" applyAlignment="1">
      <alignment horizontal="center" vertical="center" wrapText="1"/>
    </xf>
    <xf numFmtId="167" fontId="36" fillId="5" borderId="35" xfId="2" applyNumberFormat="1" applyFont="1" applyFill="1" applyBorder="1" applyAlignment="1">
      <alignment horizontal="center" vertical="center" wrapText="1"/>
    </xf>
    <xf numFmtId="0" fontId="36" fillId="5" borderId="39" xfId="2" applyFont="1" applyFill="1" applyBorder="1" applyAlignment="1">
      <alignment horizontal="center" vertical="center" wrapText="1"/>
    </xf>
    <xf numFmtId="0" fontId="37" fillId="4" borderId="0" xfId="2" applyFont="1" applyFill="1" applyAlignment="1">
      <alignment horizontal="center" vertical="center" wrapText="1"/>
    </xf>
    <xf numFmtId="0" fontId="6" fillId="0" borderId="22" xfId="2" applyBorder="1"/>
    <xf numFmtId="169" fontId="6" fillId="4" borderId="22" xfId="3" applyNumberFormat="1" applyFont="1" applyFill="1" applyBorder="1" applyAlignment="1">
      <alignment horizontal="right"/>
    </xf>
    <xf numFmtId="169" fontId="23" fillId="0" borderId="0" xfId="2" applyNumberFormat="1" applyFont="1" applyAlignment="1">
      <alignment wrapText="1"/>
    </xf>
    <xf numFmtId="0" fontId="6" fillId="0" borderId="22" xfId="2" applyBorder="1" applyAlignment="1">
      <alignment wrapText="1"/>
    </xf>
    <xf numFmtId="169" fontId="6" fillId="0" borderId="22" xfId="3" applyNumberFormat="1" applyFont="1" applyFill="1" applyBorder="1"/>
    <xf numFmtId="169" fontId="6" fillId="4" borderId="0" xfId="3" applyNumberFormat="1" applyFont="1" applyFill="1" applyBorder="1" applyAlignment="1">
      <alignment horizontal="right"/>
    </xf>
    <xf numFmtId="169" fontId="6" fillId="0" borderId="0" xfId="3" applyNumberFormat="1" applyFont="1" applyFill="1" applyBorder="1"/>
    <xf numFmtId="0" fontId="40" fillId="4" borderId="0" xfId="2" applyFont="1" applyFill="1" applyAlignment="1">
      <alignment horizontal="center" vertical="center" wrapText="1"/>
    </xf>
    <xf numFmtId="0" fontId="36" fillId="5" borderId="22" xfId="2" applyFont="1" applyFill="1" applyBorder="1" applyAlignment="1">
      <alignment horizontal="center" vertical="center"/>
    </xf>
    <xf numFmtId="3" fontId="36" fillId="5" borderId="22" xfId="2" applyNumberFormat="1" applyFont="1" applyFill="1" applyBorder="1" applyAlignment="1">
      <alignment horizontal="center" vertical="center" wrapText="1"/>
    </xf>
    <xf numFmtId="167" fontId="36" fillId="5" borderId="22" xfId="2" applyNumberFormat="1" applyFont="1" applyFill="1" applyBorder="1" applyAlignment="1">
      <alignment horizontal="center" vertical="center" wrapText="1"/>
    </xf>
    <xf numFmtId="0" fontId="36" fillId="5" borderId="22" xfId="2" applyFont="1" applyFill="1" applyBorder="1" applyAlignment="1">
      <alignment horizontal="center" vertical="center" wrapText="1"/>
    </xf>
    <xf numFmtId="169" fontId="23" fillId="4" borderId="0" xfId="2" applyNumberFormat="1" applyFont="1" applyFill="1" applyAlignment="1">
      <alignment wrapText="1"/>
    </xf>
    <xf numFmtId="0" fontId="36" fillId="0" borderId="0" xfId="2" applyFont="1" applyAlignment="1">
      <alignment wrapText="1"/>
    </xf>
    <xf numFmtId="0" fontId="41" fillId="4" borderId="0" xfId="2" applyFont="1" applyFill="1" applyAlignment="1">
      <alignment vertical="center" wrapText="1"/>
    </xf>
    <xf numFmtId="0" fontId="36" fillId="5" borderId="32" xfId="2" applyFont="1" applyFill="1" applyBorder="1" applyAlignment="1">
      <alignment horizontal="center" vertical="center"/>
    </xf>
    <xf numFmtId="0" fontId="40" fillId="4" borderId="0" xfId="2" applyFont="1" applyFill="1" applyAlignment="1">
      <alignment horizontal="left" vertical="center"/>
    </xf>
    <xf numFmtId="0" fontId="55" fillId="12" borderId="0" xfId="2" applyFont="1" applyFill="1" applyAlignment="1">
      <alignment wrapText="1"/>
    </xf>
    <xf numFmtId="3" fontId="42" fillId="0" borderId="0" xfId="2" applyNumberFormat="1" applyFont="1" applyAlignment="1">
      <alignment horizontal="left" vertical="center" wrapText="1"/>
    </xf>
    <xf numFmtId="169" fontId="38" fillId="4" borderId="0" xfId="2" applyNumberFormat="1" applyFont="1" applyFill="1"/>
    <xf numFmtId="0" fontId="6" fillId="0" borderId="22" xfId="2" applyBorder="1" applyAlignment="1">
      <alignment horizontal="left"/>
    </xf>
    <xf numFmtId="3" fontId="23" fillId="0" borderId="0" xfId="2" applyNumberFormat="1" applyFont="1" applyAlignment="1">
      <alignment horizontal="left" vertical="center" wrapText="1"/>
    </xf>
    <xf numFmtId="0" fontId="36" fillId="4" borderId="0" xfId="2" applyFont="1" applyFill="1" applyAlignment="1">
      <alignment wrapText="1"/>
    </xf>
    <xf numFmtId="3" fontId="6" fillId="0" borderId="22" xfId="2" applyNumberFormat="1" applyBorder="1" applyAlignment="1">
      <alignment vertical="center" wrapText="1"/>
    </xf>
    <xf numFmtId="169" fontId="6" fillId="4" borderId="33" xfId="3" applyNumberFormat="1" applyFont="1" applyFill="1" applyBorder="1" applyAlignment="1">
      <alignment horizontal="right"/>
    </xf>
    <xf numFmtId="0" fontId="36" fillId="4" borderId="0" xfId="2" applyFont="1" applyFill="1" applyAlignment="1">
      <alignment horizontal="left" vertical="top" wrapText="1"/>
    </xf>
    <xf numFmtId="169" fontId="23" fillId="0" borderId="0" xfId="3" applyNumberFormat="1" applyFont="1" applyBorder="1" applyAlignment="1">
      <alignment horizontal="center"/>
    </xf>
    <xf numFmtId="169" fontId="27" fillId="4" borderId="22" xfId="3" applyNumberFormat="1" applyFont="1" applyFill="1" applyBorder="1" applyAlignment="1">
      <alignment horizontal="right"/>
    </xf>
    <xf numFmtId="0" fontId="43" fillId="4" borderId="0" xfId="2" applyFont="1" applyFill="1" applyAlignment="1">
      <alignment wrapText="1"/>
    </xf>
    <xf numFmtId="0" fontId="6" fillId="0" borderId="35" xfId="2" applyBorder="1"/>
    <xf numFmtId="0" fontId="37" fillId="5" borderId="22" xfId="2" applyFont="1" applyFill="1" applyBorder="1"/>
    <xf numFmtId="169" fontId="23" fillId="4" borderId="0" xfId="4" applyNumberFormat="1" applyFont="1" applyFill="1" applyBorder="1" applyAlignment="1">
      <alignment wrapText="1"/>
    </xf>
    <xf numFmtId="9" fontId="23" fillId="4" borderId="0" xfId="4" applyFont="1" applyFill="1" applyBorder="1" applyAlignment="1">
      <alignment wrapText="1"/>
    </xf>
    <xf numFmtId="0" fontId="6" fillId="0" borderId="46" xfId="2" applyBorder="1"/>
    <xf numFmtId="0" fontId="37" fillId="4" borderId="0" xfId="2" applyFont="1" applyFill="1" applyAlignment="1">
      <alignment horizontal="center" vertical="center"/>
    </xf>
    <xf numFmtId="0" fontId="6" fillId="0" borderId="22" xfId="2" applyBorder="1" applyAlignment="1">
      <alignment vertical="center"/>
    </xf>
    <xf numFmtId="169" fontId="6" fillId="4" borderId="22" xfId="3" applyNumberFormat="1" applyFont="1" applyFill="1" applyBorder="1" applyAlignment="1">
      <alignment horizontal="center"/>
    </xf>
    <xf numFmtId="171" fontId="44" fillId="4" borderId="22" xfId="2" applyNumberFormat="1" applyFont="1" applyFill="1" applyBorder="1" applyAlignment="1">
      <alignment horizontal="left" wrapText="1"/>
    </xf>
    <xf numFmtId="171" fontId="23" fillId="4" borderId="0" xfId="2" applyNumberFormat="1" applyFont="1" applyFill="1" applyAlignment="1">
      <alignment horizontal="left" wrapText="1"/>
    </xf>
    <xf numFmtId="171" fontId="39" fillId="4" borderId="0" xfId="2" applyNumberFormat="1" applyFont="1" applyFill="1" applyAlignment="1">
      <alignment horizontal="left" wrapText="1"/>
    </xf>
    <xf numFmtId="0" fontId="6" fillId="4" borderId="22" xfId="2" applyFill="1" applyBorder="1" applyAlignment="1">
      <alignment vertical="center"/>
    </xf>
    <xf numFmtId="0" fontId="6" fillId="0" borderId="22" xfId="2" applyBorder="1" applyAlignment="1">
      <alignment vertical="center" wrapText="1"/>
    </xf>
    <xf numFmtId="171" fontId="44" fillId="4" borderId="0" xfId="2" applyNumberFormat="1" applyFont="1" applyFill="1" applyAlignment="1">
      <alignment horizontal="left" wrapText="1"/>
    </xf>
    <xf numFmtId="169" fontId="6" fillId="0" borderId="22" xfId="3" applyNumberFormat="1" applyFont="1" applyFill="1" applyBorder="1" applyAlignment="1">
      <alignment horizontal="right"/>
    </xf>
    <xf numFmtId="169" fontId="6" fillId="0" borderId="22" xfId="3" applyNumberFormat="1" applyFont="1" applyFill="1" applyBorder="1" applyAlignment="1">
      <alignment horizontal="center"/>
    </xf>
    <xf numFmtId="0" fontId="23" fillId="4" borderId="0" xfId="2" applyFont="1" applyFill="1" applyAlignment="1">
      <alignment horizontal="right" wrapText="1"/>
    </xf>
    <xf numFmtId="0" fontId="45" fillId="4" borderId="0" xfId="2" applyFont="1" applyFill="1" applyAlignment="1">
      <alignment horizontal="center" wrapText="1"/>
    </xf>
    <xf numFmtId="0" fontId="6" fillId="0" borderId="35" xfId="2" applyBorder="1" applyAlignment="1">
      <alignment vertical="center"/>
    </xf>
    <xf numFmtId="0" fontId="23" fillId="4" borderId="0" xfId="2" applyFont="1" applyFill="1" applyAlignment="1">
      <alignment vertical="center" wrapText="1"/>
    </xf>
    <xf numFmtId="0" fontId="6" fillId="0" borderId="0" xfId="2" applyAlignment="1">
      <alignment vertical="center"/>
    </xf>
    <xf numFmtId="0" fontId="6" fillId="4" borderId="22" xfId="2" applyFill="1" applyBorder="1"/>
    <xf numFmtId="0" fontId="6" fillId="4" borderId="0" xfId="2" applyFill="1"/>
    <xf numFmtId="0" fontId="6" fillId="4" borderId="36" xfId="2" applyFill="1" applyBorder="1" applyAlignment="1">
      <alignment wrapText="1"/>
    </xf>
    <xf numFmtId="169" fontId="6" fillId="4" borderId="36" xfId="3" applyNumberFormat="1" applyFont="1" applyFill="1" applyBorder="1" applyAlignment="1">
      <alignment horizontal="right"/>
    </xf>
    <xf numFmtId="0" fontId="6" fillId="4" borderId="22" xfId="2" applyFill="1" applyBorder="1" applyAlignment="1">
      <alignment wrapText="1"/>
    </xf>
    <xf numFmtId="0" fontId="45" fillId="4" borderId="0" xfId="2" applyFont="1" applyFill="1" applyAlignment="1">
      <alignment horizontal="left" wrapText="1"/>
    </xf>
    <xf numFmtId="3" fontId="45" fillId="0" borderId="22" xfId="2" applyNumberFormat="1" applyFont="1" applyBorder="1" applyAlignment="1">
      <alignment vertical="center" wrapText="1"/>
    </xf>
    <xf numFmtId="0" fontId="45" fillId="0" borderId="22" xfId="2" applyFont="1" applyBorder="1" applyAlignment="1">
      <alignment wrapText="1"/>
    </xf>
    <xf numFmtId="0" fontId="23" fillId="4" borderId="0" xfId="2" applyFont="1" applyFill="1" applyAlignment="1">
      <alignment horizontal="left"/>
    </xf>
    <xf numFmtId="0" fontId="45" fillId="0" borderId="22" xfId="2" applyFont="1" applyBorder="1" applyAlignment="1">
      <alignment vertical="center" wrapText="1"/>
    </xf>
    <xf numFmtId="0" fontId="37" fillId="4" borderId="0" xfId="2" applyFont="1" applyFill="1"/>
    <xf numFmtId="1" fontId="6" fillId="0" borderId="22" xfId="0" applyNumberFormat="1" applyFont="1" applyBorder="1" applyAlignment="1">
      <alignment horizontal="left"/>
    </xf>
    <xf numFmtId="0" fontId="4" fillId="0" borderId="0" xfId="12" applyAlignment="1">
      <alignment vertical="top"/>
    </xf>
    <xf numFmtId="0" fontId="57" fillId="0" borderId="0" xfId="13" applyFont="1" applyAlignment="1">
      <alignment vertical="top"/>
    </xf>
    <xf numFmtId="0" fontId="58" fillId="0" borderId="0" xfId="12" applyFont="1" applyAlignment="1">
      <alignment vertical="top"/>
    </xf>
    <xf numFmtId="0" fontId="62" fillId="0" borderId="0" xfId="12" applyFont="1" applyAlignment="1">
      <alignment vertical="top"/>
    </xf>
    <xf numFmtId="0" fontId="63" fillId="0" borderId="0" xfId="13" applyFont="1" applyAlignment="1">
      <alignment vertical="top"/>
    </xf>
    <xf numFmtId="0" fontId="64" fillId="16" borderId="0" xfId="12" applyFont="1" applyFill="1" applyAlignment="1">
      <alignment horizontal="center" vertical="top"/>
    </xf>
    <xf numFmtId="0" fontId="64" fillId="17" borderId="0" xfId="12" applyFont="1" applyFill="1" applyAlignment="1">
      <alignment horizontal="center" vertical="top"/>
    </xf>
    <xf numFmtId="0" fontId="48" fillId="0" borderId="0" xfId="12" applyFont="1" applyAlignment="1">
      <alignment horizontal="center" vertical="top"/>
    </xf>
    <xf numFmtId="0" fontId="50" fillId="0" borderId="22" xfId="12" applyFont="1" applyBorder="1" applyAlignment="1" applyProtection="1">
      <alignment horizontal="left" vertical="top" wrapText="1"/>
      <protection locked="0"/>
    </xf>
    <xf numFmtId="0" fontId="50" fillId="4" borderId="22" xfId="12" applyFont="1" applyFill="1" applyBorder="1" applyAlignment="1" applyProtection="1">
      <alignment horizontal="left" vertical="top" wrapText="1"/>
      <protection locked="0"/>
    </xf>
    <xf numFmtId="14" fontId="50" fillId="0" borderId="22" xfId="12" applyNumberFormat="1" applyFont="1" applyBorder="1" applyAlignment="1" applyProtection="1">
      <alignment horizontal="left" vertical="top" wrapText="1"/>
      <protection locked="0"/>
    </xf>
    <xf numFmtId="0" fontId="10" fillId="5" borderId="62" xfId="0" applyFont="1" applyFill="1" applyBorder="1" applyAlignment="1">
      <alignment horizontal="center" wrapText="1"/>
    </xf>
    <xf numFmtId="0" fontId="25" fillId="9" borderId="0" xfId="2" applyFont="1" applyFill="1" applyAlignment="1">
      <alignment horizontal="center"/>
    </xf>
    <xf numFmtId="14" fontId="10" fillId="5" borderId="0" xfId="0" applyNumberFormat="1" applyFont="1" applyFill="1" applyAlignment="1">
      <alignment vertical="center"/>
    </xf>
    <xf numFmtId="14" fontId="10" fillId="0" borderId="0" xfId="0" applyNumberFormat="1" applyFont="1" applyAlignment="1">
      <alignment vertical="center" wrapText="1"/>
    </xf>
    <xf numFmtId="0" fontId="11" fillId="7" borderId="14" xfId="0" applyFont="1" applyFill="1" applyBorder="1" applyAlignment="1" applyProtection="1">
      <alignment horizontal="center" wrapText="1"/>
      <protection locked="0"/>
    </xf>
    <xf numFmtId="0" fontId="11" fillId="7" borderId="14" xfId="0" applyFont="1" applyFill="1" applyBorder="1" applyAlignment="1" applyProtection="1">
      <alignment horizontal="center" vertical="center"/>
      <protection locked="0"/>
    </xf>
    <xf numFmtId="0" fontId="11" fillId="7" borderId="14" xfId="0" applyFont="1" applyFill="1" applyBorder="1" applyAlignment="1" applyProtection="1">
      <alignment horizontal="center" vertical="center" wrapText="1"/>
      <protection locked="0"/>
    </xf>
    <xf numFmtId="0" fontId="10" fillId="7" borderId="18" xfId="0" applyFont="1" applyFill="1" applyBorder="1" applyAlignment="1" applyProtection="1">
      <alignment horizontal="center" vertical="center"/>
      <protection locked="0"/>
    </xf>
    <xf numFmtId="166" fontId="11" fillId="7" borderId="15" xfId="0" applyNumberFormat="1" applyFont="1" applyFill="1" applyBorder="1" applyAlignment="1" applyProtection="1">
      <alignment horizontal="right" vertical="center"/>
      <protection locked="0"/>
    </xf>
    <xf numFmtId="0" fontId="23" fillId="0" borderId="63" xfId="0" applyFont="1" applyBorder="1" applyAlignment="1" applyProtection="1">
      <alignment wrapText="1"/>
      <protection locked="0"/>
    </xf>
    <xf numFmtId="0" fontId="10" fillId="6" borderId="11" xfId="0" applyFont="1" applyFill="1" applyBorder="1" applyProtection="1">
      <protection locked="0"/>
    </xf>
    <xf numFmtId="0" fontId="10" fillId="6" borderId="12" xfId="0" applyFont="1" applyFill="1" applyBorder="1" applyProtection="1">
      <protection locked="0"/>
    </xf>
    <xf numFmtId="0" fontId="11" fillId="6" borderId="12" xfId="0" applyFont="1" applyFill="1" applyBorder="1" applyProtection="1">
      <protection locked="0"/>
    </xf>
    <xf numFmtId="166" fontId="11" fillId="6" borderId="12" xfId="0" applyNumberFormat="1" applyFont="1" applyFill="1" applyBorder="1" applyProtection="1">
      <protection locked="0"/>
    </xf>
    <xf numFmtId="166" fontId="10" fillId="6" borderId="13" xfId="0" applyNumberFormat="1" applyFont="1" applyFill="1" applyBorder="1" applyProtection="1">
      <protection locked="0"/>
    </xf>
    <xf numFmtId="0" fontId="0" fillId="6" borderId="64" xfId="0" applyFill="1" applyBorder="1" applyProtection="1">
      <protection locked="0"/>
    </xf>
    <xf numFmtId="0" fontId="0" fillId="0" borderId="25" xfId="0" applyBorder="1" applyProtection="1">
      <protection locked="0"/>
    </xf>
    <xf numFmtId="0" fontId="0" fillId="0" borderId="0" xfId="0" applyProtection="1">
      <protection locked="0"/>
    </xf>
    <xf numFmtId="0" fontId="0" fillId="0" borderId="26" xfId="0" applyBorder="1" applyProtection="1">
      <protection locked="0"/>
    </xf>
    <xf numFmtId="0" fontId="10" fillId="5" borderId="8" xfId="0" applyFont="1" applyFill="1" applyBorder="1" applyAlignment="1" applyProtection="1">
      <alignment horizontal="center"/>
      <protection locked="0"/>
    </xf>
    <xf numFmtId="0" fontId="10" fillId="5" borderId="9" xfId="0" applyFont="1" applyFill="1" applyBorder="1" applyAlignment="1" applyProtection="1">
      <alignment horizontal="center"/>
      <protection locked="0"/>
    </xf>
    <xf numFmtId="0" fontId="10" fillId="5" borderId="9" xfId="0" applyFont="1" applyFill="1" applyBorder="1" applyAlignment="1" applyProtection="1">
      <alignment horizontal="center" wrapText="1"/>
      <protection locked="0"/>
    </xf>
    <xf numFmtId="0" fontId="10" fillId="5" borderId="10" xfId="0" applyFont="1" applyFill="1" applyBorder="1" applyAlignment="1" applyProtection="1">
      <alignment horizontal="center" wrapText="1"/>
      <protection locked="0"/>
    </xf>
    <xf numFmtId="0" fontId="10" fillId="5" borderId="62" xfId="0" applyFont="1" applyFill="1" applyBorder="1" applyAlignment="1" applyProtection="1">
      <alignment horizontal="center" wrapText="1"/>
      <protection locked="0"/>
    </xf>
    <xf numFmtId="0" fontId="6" fillId="0" borderId="0" xfId="0" applyFont="1" applyAlignment="1" applyProtection="1">
      <alignment vertical="center" wrapText="1"/>
      <protection locked="0"/>
    </xf>
    <xf numFmtId="0" fontId="6" fillId="0" borderId="0" xfId="0" applyFont="1" applyAlignment="1" applyProtection="1">
      <alignment horizontal="center" vertical="center" wrapText="1"/>
      <protection locked="0"/>
    </xf>
    <xf numFmtId="0" fontId="12" fillId="5" borderId="29" xfId="0" applyFont="1" applyFill="1" applyBorder="1" applyAlignment="1" applyProtection="1">
      <alignment horizontal="center"/>
      <protection locked="0"/>
    </xf>
    <xf numFmtId="0" fontId="12" fillId="5" borderId="30" xfId="0" applyFont="1" applyFill="1" applyBorder="1" applyAlignment="1" applyProtection="1">
      <alignment horizontal="center"/>
      <protection locked="0"/>
    </xf>
    <xf numFmtId="0" fontId="12" fillId="5" borderId="31" xfId="0" applyFont="1" applyFill="1" applyBorder="1" applyAlignment="1" applyProtection="1">
      <alignment horizontal="center"/>
      <protection locked="0"/>
    </xf>
    <xf numFmtId="0" fontId="66" fillId="0" borderId="27" xfId="0" applyFont="1" applyBorder="1" applyProtection="1">
      <protection locked="0"/>
    </xf>
    <xf numFmtId="0" fontId="0" fillId="0" borderId="64" xfId="0" applyBorder="1" applyProtection="1">
      <protection locked="0"/>
    </xf>
    <xf numFmtId="0" fontId="10" fillId="7" borderId="17" xfId="0" applyFont="1" applyFill="1" applyBorder="1" applyAlignment="1" applyProtection="1">
      <alignment horizontal="center"/>
      <protection locked="0"/>
    </xf>
    <xf numFmtId="166" fontId="11" fillId="7" borderId="15" xfId="0" applyNumberFormat="1" applyFont="1" applyFill="1" applyBorder="1" applyAlignment="1" applyProtection="1">
      <alignment horizontal="right"/>
      <protection locked="0"/>
    </xf>
    <xf numFmtId="0" fontId="0" fillId="0" borderId="63" xfId="0" applyBorder="1" applyProtection="1">
      <protection locked="0"/>
    </xf>
    <xf numFmtId="0" fontId="23" fillId="0" borderId="0" xfId="2" applyFont="1" applyProtection="1">
      <protection locked="0"/>
    </xf>
    <xf numFmtId="9" fontId="23" fillId="0" borderId="0" xfId="2" applyNumberFormat="1" applyFont="1" applyAlignment="1" applyProtection="1">
      <alignment horizontal="right"/>
      <protection locked="0"/>
    </xf>
    <xf numFmtId="0" fontId="10" fillId="5" borderId="18" xfId="0" applyFont="1" applyFill="1" applyBorder="1" applyAlignment="1" applyProtection="1">
      <alignment horizontal="center"/>
      <protection locked="0"/>
    </xf>
    <xf numFmtId="0" fontId="10" fillId="5" borderId="19" xfId="0" applyFont="1" applyFill="1" applyBorder="1" applyAlignment="1" applyProtection="1">
      <alignment horizontal="center"/>
      <protection locked="0"/>
    </xf>
    <xf numFmtId="0" fontId="10" fillId="5" borderId="19" xfId="0" applyFont="1" applyFill="1" applyBorder="1" applyAlignment="1" applyProtection="1">
      <alignment horizontal="center" wrapText="1"/>
      <protection locked="0"/>
    </xf>
    <xf numFmtId="0" fontId="10" fillId="5" borderId="52" xfId="0" applyFont="1" applyFill="1" applyBorder="1" applyAlignment="1" applyProtection="1">
      <alignment horizontal="center" wrapText="1"/>
      <protection locked="0"/>
    </xf>
    <xf numFmtId="0" fontId="10" fillId="6" borderId="25" xfId="0" applyFont="1" applyFill="1" applyBorder="1" applyProtection="1">
      <protection locked="0"/>
    </xf>
    <xf numFmtId="0" fontId="11" fillId="6" borderId="0" xfId="0" applyFont="1" applyFill="1" applyProtection="1">
      <protection locked="0"/>
    </xf>
    <xf numFmtId="166" fontId="11" fillId="6" borderId="0" xfId="0" applyNumberFormat="1" applyFont="1" applyFill="1" applyProtection="1">
      <protection locked="0"/>
    </xf>
    <xf numFmtId="166" fontId="10" fillId="6" borderId="26" xfId="0" applyNumberFormat="1" applyFont="1" applyFill="1" applyBorder="1" applyProtection="1">
      <protection locked="0"/>
    </xf>
    <xf numFmtId="0" fontId="10" fillId="6" borderId="0" xfId="0" applyFont="1" applyFill="1" applyProtection="1">
      <protection locked="0"/>
    </xf>
    <xf numFmtId="41" fontId="0" fillId="0" borderId="0" xfId="1" applyFont="1" applyProtection="1">
      <protection locked="0"/>
    </xf>
    <xf numFmtId="41" fontId="0" fillId="0" borderId="0" xfId="0" applyNumberFormat="1" applyProtection="1">
      <protection locked="0"/>
    </xf>
    <xf numFmtId="0" fontId="50" fillId="0" borderId="22" xfId="12" applyFont="1" applyBorder="1" applyAlignment="1" applyProtection="1">
      <alignment horizontal="center" vertical="center" wrapText="1"/>
      <protection locked="0"/>
    </xf>
    <xf numFmtId="0" fontId="10" fillId="4" borderId="0" xfId="0" applyFont="1" applyFill="1" applyAlignment="1" applyProtection="1">
      <alignment vertical="center" wrapText="1"/>
      <protection locked="0"/>
    </xf>
    <xf numFmtId="178" fontId="50" fillId="0" borderId="22" xfId="14" applyNumberFormat="1" applyFont="1" applyBorder="1" applyAlignment="1" applyProtection="1">
      <alignment horizontal="left" vertical="top" wrapText="1"/>
    </xf>
    <xf numFmtId="0" fontId="0" fillId="0" borderId="0" xfId="0" applyAlignment="1" applyProtection="1">
      <alignment vertical="center" wrapText="1"/>
      <protection locked="0"/>
    </xf>
    <xf numFmtId="0" fontId="50" fillId="0" borderId="0" xfId="12" applyFont="1" applyAlignment="1" applyProtection="1">
      <alignment horizontal="justify" vertical="top"/>
      <protection locked="0"/>
    </xf>
    <xf numFmtId="0" fontId="65" fillId="0" borderId="22" xfId="12" applyFont="1" applyBorder="1" applyAlignment="1" applyProtection="1">
      <alignment vertical="top" wrapText="1"/>
      <protection locked="0"/>
    </xf>
    <xf numFmtId="0" fontId="4" fillId="0" borderId="0" xfId="12" applyAlignment="1" applyProtection="1">
      <alignment vertical="top"/>
      <protection locked="0"/>
    </xf>
    <xf numFmtId="0" fontId="3" fillId="0" borderId="0" xfId="15" applyAlignment="1">
      <alignment vertical="top"/>
    </xf>
    <xf numFmtId="0" fontId="3" fillId="0" borderId="0" xfId="15"/>
    <xf numFmtId="0" fontId="68" fillId="0" borderId="51" xfId="15" applyFont="1" applyBorder="1" applyAlignment="1">
      <alignment vertical="top" wrapText="1"/>
    </xf>
    <xf numFmtId="0" fontId="68" fillId="0" borderId="51" xfId="15" applyFont="1" applyBorder="1" applyAlignment="1">
      <alignment horizontal="left" vertical="top" wrapText="1"/>
    </xf>
    <xf numFmtId="0" fontId="69" fillId="0" borderId="51" xfId="15" applyFont="1" applyBorder="1" applyAlignment="1">
      <alignment vertical="top" wrapText="1"/>
    </xf>
    <xf numFmtId="0" fontId="70" fillId="0" borderId="51" xfId="15" applyFont="1" applyBorder="1" applyAlignment="1">
      <alignment horizontal="left" vertical="top" wrapText="1"/>
    </xf>
    <xf numFmtId="43" fontId="6" fillId="0" borderId="0" xfId="16" applyFont="1" applyAlignment="1">
      <alignment horizontal="left"/>
    </xf>
    <xf numFmtId="0" fontId="6" fillId="0" borderId="22" xfId="0" applyFont="1" applyBorder="1" applyAlignment="1">
      <alignment vertical="center" wrapText="1"/>
    </xf>
    <xf numFmtId="169" fontId="6" fillId="4" borderId="22" xfId="3" applyNumberFormat="1" applyFont="1" applyFill="1" applyBorder="1" applyAlignment="1">
      <alignment horizontal="center" vertical="center" wrapText="1"/>
    </xf>
    <xf numFmtId="0" fontId="6" fillId="0" borderId="22" xfId="0" applyFont="1" applyBorder="1" applyAlignment="1">
      <alignment vertical="center"/>
    </xf>
    <xf numFmtId="0" fontId="37" fillId="5" borderId="32" xfId="0" applyFont="1" applyFill="1" applyBorder="1"/>
    <xf numFmtId="3" fontId="6" fillId="0" borderId="22" xfId="0" applyNumberFormat="1" applyFont="1" applyBorder="1" applyAlignment="1">
      <alignment vertical="center"/>
    </xf>
    <xf numFmtId="169" fontId="72" fillId="4" borderId="33" xfId="16" applyNumberFormat="1" applyFont="1" applyFill="1" applyBorder="1" applyAlignment="1">
      <alignment horizontal="right" vertical="center"/>
    </xf>
    <xf numFmtId="0" fontId="36" fillId="5" borderId="32" xfId="0" applyFont="1" applyFill="1" applyBorder="1"/>
    <xf numFmtId="0" fontId="6" fillId="0" borderId="33" xfId="0" applyFont="1" applyBorder="1" applyAlignment="1">
      <alignment wrapText="1"/>
    </xf>
    <xf numFmtId="0" fontId="6" fillId="0" borderId="33" xfId="0" applyFont="1" applyBorder="1"/>
    <xf numFmtId="169" fontId="72" fillId="4" borderId="22" xfId="3" applyNumberFormat="1" applyFont="1" applyFill="1" applyBorder="1" applyAlignment="1">
      <alignment horizontal="right" vertical="center"/>
    </xf>
    <xf numFmtId="0" fontId="37" fillId="0" borderId="32" xfId="2" applyFont="1" applyBorder="1"/>
    <xf numFmtId="169" fontId="6" fillId="4" borderId="32" xfId="3" applyNumberFormat="1" applyFont="1" applyFill="1" applyBorder="1" applyAlignment="1">
      <alignment horizontal="right"/>
    </xf>
    <xf numFmtId="0" fontId="72" fillId="0" borderId="22" xfId="0" applyFont="1" applyBorder="1" applyAlignment="1">
      <alignment horizontal="left"/>
    </xf>
    <xf numFmtId="169" fontId="27" fillId="4" borderId="38" xfId="3" applyNumberFormat="1" applyFont="1" applyFill="1" applyBorder="1" applyAlignment="1">
      <alignment horizontal="center" wrapText="1"/>
    </xf>
    <xf numFmtId="0" fontId="54" fillId="0" borderId="22" xfId="0" applyFont="1" applyBorder="1" applyAlignment="1">
      <alignment horizontal="justify" vertical="center"/>
    </xf>
    <xf numFmtId="0" fontId="37" fillId="5" borderId="22" xfId="2" applyFont="1" applyFill="1" applyBorder="1" applyAlignment="1">
      <alignment vertical="center" wrapText="1"/>
    </xf>
    <xf numFmtId="0" fontId="74" fillId="5" borderId="65" xfId="0" applyFont="1" applyFill="1" applyBorder="1" applyAlignment="1">
      <alignment horizontal="center"/>
    </xf>
    <xf numFmtId="0" fontId="74" fillId="5" borderId="19" xfId="0" applyFont="1" applyFill="1" applyBorder="1" applyAlignment="1">
      <alignment horizontal="center"/>
    </xf>
    <xf numFmtId="0" fontId="74" fillId="5" borderId="19" xfId="0" applyFont="1" applyFill="1" applyBorder="1" applyAlignment="1">
      <alignment horizontal="center" wrapText="1"/>
    </xf>
    <xf numFmtId="0" fontId="74" fillId="5" borderId="66" xfId="0" applyFont="1" applyFill="1" applyBorder="1" applyAlignment="1">
      <alignment horizontal="center" wrapText="1"/>
    </xf>
    <xf numFmtId="0" fontId="74" fillId="7" borderId="67" xfId="0" applyFont="1" applyFill="1" applyBorder="1" applyAlignment="1">
      <alignment horizontal="center"/>
    </xf>
    <xf numFmtId="0" fontId="75" fillId="7" borderId="14" xfId="0" applyFont="1" applyFill="1" applyBorder="1" applyAlignment="1" applyProtection="1">
      <alignment horizontal="left" wrapText="1"/>
      <protection locked="0"/>
    </xf>
    <xf numFmtId="0" fontId="75" fillId="7" borderId="14" xfId="0" applyFont="1" applyFill="1" applyBorder="1" applyAlignment="1" applyProtection="1">
      <alignment horizontal="center"/>
      <protection locked="0"/>
    </xf>
    <xf numFmtId="9" fontId="75" fillId="7" borderId="14" xfId="4" applyFont="1" applyFill="1" applyBorder="1" applyAlignment="1">
      <alignment horizontal="center"/>
    </xf>
    <xf numFmtId="166" fontId="75" fillId="7" borderId="68" xfId="0" applyNumberFormat="1" applyFont="1" applyFill="1" applyBorder="1" applyAlignment="1">
      <alignment horizontal="right"/>
    </xf>
    <xf numFmtId="0" fontId="74" fillId="6" borderId="69" xfId="0" applyFont="1" applyFill="1" applyBorder="1"/>
    <xf numFmtId="0" fontId="74" fillId="6" borderId="16" xfId="0" applyFont="1" applyFill="1" applyBorder="1"/>
    <xf numFmtId="0" fontId="75" fillId="6" borderId="16" xfId="0" applyFont="1" applyFill="1" applyBorder="1"/>
    <xf numFmtId="166" fontId="75" fillId="6" borderId="16" xfId="0" applyNumberFormat="1" applyFont="1" applyFill="1" applyBorder="1"/>
    <xf numFmtId="166" fontId="74" fillId="6" borderId="70" xfId="0" applyNumberFormat="1" applyFont="1" applyFill="1" applyBorder="1"/>
    <xf numFmtId="0" fontId="75" fillId="7" borderId="14" xfId="0" applyFont="1" applyFill="1" applyBorder="1" applyAlignment="1">
      <alignment horizontal="left"/>
    </xf>
    <xf numFmtId="0" fontId="75" fillId="7" borderId="14" xfId="0" applyFont="1" applyFill="1" applyBorder="1" applyAlignment="1">
      <alignment horizontal="center"/>
    </xf>
    <xf numFmtId="1" fontId="75" fillId="7" borderId="14" xfId="0" applyNumberFormat="1" applyFont="1" applyFill="1" applyBorder="1" applyAlignment="1" applyProtection="1">
      <alignment horizontal="center"/>
      <protection locked="0"/>
    </xf>
    <xf numFmtId="9" fontId="75" fillId="7" borderId="14" xfId="4" applyFont="1" applyFill="1" applyBorder="1" applyAlignment="1" applyProtection="1">
      <alignment horizontal="center"/>
      <protection locked="0"/>
    </xf>
    <xf numFmtId="166" fontId="75" fillId="7" borderId="14" xfId="0" applyNumberFormat="1" applyFont="1" applyFill="1" applyBorder="1" applyAlignment="1">
      <alignment horizontal="right"/>
    </xf>
    <xf numFmtId="0" fontId="75" fillId="7" borderId="14" xfId="0" applyFont="1" applyFill="1" applyBorder="1" applyAlignment="1" applyProtection="1">
      <alignment horizontal="left"/>
      <protection locked="0"/>
    </xf>
    <xf numFmtId="166" fontId="75" fillId="7" borderId="14" xfId="0" applyNumberFormat="1" applyFont="1" applyFill="1" applyBorder="1" applyAlignment="1" applyProtection="1">
      <alignment horizontal="right"/>
      <protection locked="0"/>
    </xf>
    <xf numFmtId="1" fontId="76" fillId="7" borderId="14" xfId="0" applyNumberFormat="1" applyFont="1" applyFill="1" applyBorder="1" applyAlignment="1" applyProtection="1">
      <alignment horizontal="center"/>
      <protection locked="0"/>
    </xf>
    <xf numFmtId="0" fontId="6" fillId="4" borderId="22" xfId="0" applyFont="1" applyFill="1" applyBorder="1" applyAlignment="1">
      <alignment vertical="center" wrapText="1"/>
    </xf>
    <xf numFmtId="0" fontId="6" fillId="0" borderId="22" xfId="0" applyFont="1" applyBorder="1" applyAlignment="1">
      <alignment wrapText="1"/>
    </xf>
    <xf numFmtId="0" fontId="50" fillId="0" borderId="0" xfId="12" applyFont="1" applyAlignment="1" applyProtection="1">
      <alignment horizontal="center" vertical="top" wrapText="1"/>
      <protection locked="0"/>
    </xf>
    <xf numFmtId="0" fontId="50" fillId="0" borderId="0" xfId="12" applyFont="1" applyAlignment="1" applyProtection="1">
      <alignment vertical="top" wrapText="1"/>
      <protection locked="0"/>
    </xf>
    <xf numFmtId="0" fontId="50" fillId="0" borderId="0" xfId="12" applyFont="1" applyAlignment="1" applyProtection="1">
      <alignment vertical="top"/>
      <protection locked="0"/>
    </xf>
    <xf numFmtId="0" fontId="2" fillId="0" borderId="0" xfId="15" applyFont="1"/>
    <xf numFmtId="0" fontId="78" fillId="0" borderId="0" xfId="0" applyFont="1"/>
    <xf numFmtId="0" fontId="78" fillId="0" borderId="0" xfId="0" applyFont="1" applyAlignment="1">
      <alignment horizontal="left" vertical="center" readingOrder="1"/>
    </xf>
    <xf numFmtId="0" fontId="48" fillId="0" borderId="0" xfId="15" applyFont="1"/>
    <xf numFmtId="0" fontId="37" fillId="0" borderId="0" xfId="0" applyFont="1"/>
    <xf numFmtId="0" fontId="68" fillId="0" borderId="0" xfId="15" applyFont="1" applyAlignment="1">
      <alignment vertical="top" wrapText="1"/>
    </xf>
    <xf numFmtId="0" fontId="59" fillId="15" borderId="0" xfId="12" applyFont="1" applyFill="1" applyAlignment="1">
      <alignment horizontal="left" vertical="top" wrapText="1"/>
    </xf>
    <xf numFmtId="0" fontId="12" fillId="5" borderId="29" xfId="0" applyFont="1" applyFill="1" applyBorder="1" applyAlignment="1" applyProtection="1">
      <alignment horizontal="center"/>
      <protection locked="0"/>
    </xf>
    <xf numFmtId="0" fontId="12" fillId="5" borderId="30" xfId="0" applyFont="1" applyFill="1" applyBorder="1" applyAlignment="1" applyProtection="1">
      <alignment horizontal="center"/>
      <protection locked="0"/>
    </xf>
    <xf numFmtId="0" fontId="12" fillId="5" borderId="31" xfId="0" applyFont="1" applyFill="1" applyBorder="1" applyAlignment="1" applyProtection="1">
      <alignment horizontal="center"/>
      <protection locked="0"/>
    </xf>
    <xf numFmtId="166" fontId="66" fillId="0" borderId="28" xfId="0" applyNumberFormat="1" applyFont="1" applyBorder="1" applyAlignment="1" applyProtection="1">
      <alignment horizontal="center"/>
      <protection locked="0"/>
    </xf>
    <xf numFmtId="166" fontId="66" fillId="0" borderId="20" xfId="0" applyNumberFormat="1" applyFont="1" applyBorder="1" applyAlignment="1" applyProtection="1">
      <alignment horizontal="center"/>
      <protection locked="0"/>
    </xf>
    <xf numFmtId="0" fontId="6" fillId="0" borderId="30"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54" xfId="0" applyFont="1" applyBorder="1" applyAlignment="1" applyProtection="1">
      <alignment horizontal="center" vertical="center" wrapText="1"/>
      <protection locked="0"/>
    </xf>
    <xf numFmtId="0" fontId="12" fillId="5" borderId="25" xfId="0" applyFont="1" applyFill="1" applyBorder="1" applyAlignment="1">
      <alignment horizontal="center"/>
    </xf>
    <xf numFmtId="0" fontId="12" fillId="5" borderId="0" xfId="0" applyFont="1" applyFill="1" applyAlignment="1">
      <alignment horizontal="center"/>
    </xf>
    <xf numFmtId="0" fontId="12" fillId="5" borderId="26" xfId="0" applyFont="1" applyFill="1" applyBorder="1" applyAlignment="1">
      <alignment horizontal="center"/>
    </xf>
    <xf numFmtId="0" fontId="12" fillId="5" borderId="29" xfId="0" applyFont="1" applyFill="1" applyBorder="1" applyAlignment="1">
      <alignment horizontal="center"/>
    </xf>
    <xf numFmtId="0" fontId="12" fillId="5" borderId="30" xfId="0" applyFont="1" applyFill="1" applyBorder="1" applyAlignment="1">
      <alignment horizontal="center"/>
    </xf>
    <xf numFmtId="0" fontId="12" fillId="5" borderId="31" xfId="0" applyFont="1" applyFill="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31" xfId="0" applyFont="1" applyBorder="1" applyAlignment="1">
      <alignment horizontal="center"/>
    </xf>
    <xf numFmtId="0" fontId="12" fillId="0" borderId="25" xfId="0" applyFont="1" applyBorder="1" applyAlignment="1">
      <alignment horizontal="center"/>
    </xf>
    <xf numFmtId="0" fontId="12" fillId="0" borderId="0" xfId="0" applyFont="1" applyAlignment="1">
      <alignment horizontal="center"/>
    </xf>
    <xf numFmtId="0" fontId="12" fillId="0" borderId="26" xfId="0" applyFont="1" applyBorder="1" applyAlignment="1">
      <alignment horizontal="center"/>
    </xf>
    <xf numFmtId="0" fontId="12" fillId="4" borderId="27" xfId="0" applyFont="1" applyFill="1" applyBorder="1" applyAlignment="1">
      <alignment horizontal="center" wrapText="1"/>
    </xf>
    <xf numFmtId="0" fontId="12" fillId="4" borderId="28" xfId="0" applyFont="1" applyFill="1" applyBorder="1" applyAlignment="1">
      <alignment horizontal="center" wrapText="1"/>
    </xf>
    <xf numFmtId="0" fontId="12" fillId="4" borderId="20" xfId="0" applyFont="1" applyFill="1" applyBorder="1" applyAlignment="1">
      <alignment horizontal="center" wrapText="1"/>
    </xf>
    <xf numFmtId="0" fontId="10" fillId="0" borderId="25" xfId="0" applyFont="1" applyBorder="1" applyAlignment="1">
      <alignment horizontal="center" wrapText="1"/>
    </xf>
    <xf numFmtId="0" fontId="10" fillId="0" borderId="0" xfId="0" applyFont="1" applyAlignment="1">
      <alignment horizontal="center" wrapText="1"/>
    </xf>
    <xf numFmtId="0" fontId="10" fillId="0" borderId="26" xfId="0" applyFont="1" applyBorder="1" applyAlignment="1">
      <alignment horizontal="center" wrapText="1"/>
    </xf>
    <xf numFmtId="0" fontId="10" fillId="0" borderId="25" xfId="0" applyFont="1" applyBorder="1" applyAlignment="1">
      <alignment horizontal="left" vertical="top" wrapText="1"/>
    </xf>
    <xf numFmtId="0" fontId="10" fillId="0" borderId="0" xfId="0" applyFont="1" applyAlignment="1">
      <alignment horizontal="left" vertical="top" wrapText="1"/>
    </xf>
    <xf numFmtId="0" fontId="22" fillId="4" borderId="0" xfId="0" applyFont="1" applyFill="1" applyAlignment="1">
      <alignment horizontal="center" vertical="center" wrapText="1"/>
    </xf>
    <xf numFmtId="0" fontId="22" fillId="4" borderId="0" xfId="0" applyFont="1" applyFill="1" applyAlignment="1">
      <alignment horizontal="left" vertical="top" wrapText="1"/>
    </xf>
    <xf numFmtId="0" fontId="22" fillId="4" borderId="26" xfId="0" applyFont="1" applyFill="1" applyBorder="1" applyAlignment="1">
      <alignment horizontal="left" vertical="top" wrapText="1"/>
    </xf>
    <xf numFmtId="0" fontId="19" fillId="0" borderId="0" xfId="0" applyFont="1" applyAlignment="1">
      <alignment horizontal="center" wrapText="1"/>
    </xf>
    <xf numFmtId="0" fontId="19" fillId="0" borderId="54" xfId="0" applyFont="1" applyBorder="1" applyAlignment="1">
      <alignment horizontal="center" wrapText="1"/>
    </xf>
    <xf numFmtId="0" fontId="0" fillId="0" borderId="32"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67" fillId="0" borderId="37" xfId="0" applyFont="1" applyBorder="1" applyAlignment="1">
      <alignment horizontal="center" vertical="center" wrapText="1"/>
    </xf>
    <xf numFmtId="0" fontId="67" fillId="0" borderId="38" xfId="0" applyFont="1" applyBorder="1" applyAlignment="1">
      <alignment horizontal="center" vertical="center" wrapText="1"/>
    </xf>
    <xf numFmtId="0" fontId="67" fillId="0" borderId="39" xfId="0" applyFont="1" applyBorder="1" applyAlignment="1">
      <alignment horizontal="center" vertical="center" wrapText="1"/>
    </xf>
    <xf numFmtId="0" fontId="67" fillId="0" borderId="41" xfId="0" applyFont="1" applyBorder="1" applyAlignment="1">
      <alignment horizontal="center" vertical="center" wrapText="1"/>
    </xf>
    <xf numFmtId="0" fontId="67" fillId="0" borderId="0" xfId="0" applyFont="1" applyAlignment="1">
      <alignment horizontal="center" vertical="center" wrapText="1"/>
    </xf>
    <xf numFmtId="0" fontId="67" fillId="0" borderId="55" xfId="0" applyFont="1" applyBorder="1" applyAlignment="1">
      <alignment horizontal="center" vertical="center" wrapText="1"/>
    </xf>
    <xf numFmtId="0" fontId="67" fillId="0" borderId="47" xfId="0" applyFont="1" applyBorder="1" applyAlignment="1">
      <alignment horizontal="center" vertical="center" wrapText="1"/>
    </xf>
    <xf numFmtId="0" fontId="67" fillId="0" borderId="48" xfId="0" applyFont="1" applyBorder="1" applyAlignment="1">
      <alignment horizontal="center" vertical="center" wrapText="1"/>
    </xf>
    <xf numFmtId="0" fontId="67" fillId="0" borderId="49"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21" xfId="0" applyBorder="1" applyAlignment="1">
      <alignment horizontal="center" vertical="center" wrapText="1"/>
    </xf>
    <xf numFmtId="0" fontId="56" fillId="5" borderId="25" xfId="0" applyFont="1" applyFill="1" applyBorder="1" applyAlignment="1">
      <alignment horizontal="center"/>
    </xf>
    <xf numFmtId="0" fontId="56" fillId="5" borderId="0" xfId="0" applyFont="1" applyFill="1" applyAlignment="1">
      <alignment horizontal="center"/>
    </xf>
    <xf numFmtId="0" fontId="56" fillId="5" borderId="26" xfId="0" applyFont="1" applyFill="1" applyBorder="1" applyAlignment="1">
      <alignment horizontal="center"/>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0" xfId="0" applyFont="1" applyAlignment="1">
      <alignment horizontal="center" vertical="center" wrapText="1"/>
    </xf>
    <xf numFmtId="0" fontId="17" fillId="0" borderId="55" xfId="0" applyFont="1" applyBorder="1" applyAlignment="1">
      <alignment horizontal="center" vertical="center" wrapText="1"/>
    </xf>
    <xf numFmtId="0" fontId="17" fillId="0" borderId="47"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49" xfId="0" applyFont="1" applyBorder="1" applyAlignment="1">
      <alignment horizontal="center" vertical="center" wrapText="1"/>
    </xf>
    <xf numFmtId="0" fontId="22" fillId="4" borderId="26" xfId="0" applyFont="1" applyFill="1" applyBorder="1" applyAlignment="1">
      <alignment horizontal="center" vertical="center" wrapText="1"/>
    </xf>
    <xf numFmtId="0" fontId="11"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26" xfId="0" applyFont="1" applyBorder="1" applyAlignment="1">
      <alignment horizontal="center" vertical="center" wrapText="1"/>
    </xf>
    <xf numFmtId="0" fontId="10" fillId="0" borderId="25" xfId="0" applyFont="1" applyBorder="1" applyAlignment="1">
      <alignment horizontal="center" vertical="center" wrapText="1"/>
    </xf>
    <xf numFmtId="0" fontId="73" fillId="5" borderId="32" xfId="0" applyFont="1" applyFill="1" applyBorder="1" applyAlignment="1">
      <alignment horizontal="center"/>
    </xf>
    <xf numFmtId="0" fontId="73" fillId="5" borderId="33" xfId="0" applyFont="1" applyFill="1" applyBorder="1" applyAlignment="1">
      <alignment horizontal="center"/>
    </xf>
    <xf numFmtId="0" fontId="73" fillId="5" borderId="34" xfId="0" applyFont="1" applyFill="1" applyBorder="1" applyAlignment="1">
      <alignment horizontal="center"/>
    </xf>
    <xf numFmtId="0" fontId="10" fillId="5" borderId="53" xfId="0" applyFont="1" applyFill="1" applyBorder="1" applyAlignment="1">
      <alignment horizontal="center"/>
    </xf>
    <xf numFmtId="0" fontId="10" fillId="5" borderId="54" xfId="0" applyFont="1" applyFill="1" applyBorder="1" applyAlignment="1">
      <alignment horizontal="center"/>
    </xf>
    <xf numFmtId="0" fontId="10" fillId="5" borderId="21" xfId="0" applyFont="1" applyFill="1" applyBorder="1" applyAlignment="1">
      <alignment horizontal="center"/>
    </xf>
    <xf numFmtId="0" fontId="10" fillId="5" borderId="29" xfId="0" applyFont="1" applyFill="1" applyBorder="1" applyAlignment="1">
      <alignment horizontal="center"/>
    </xf>
    <xf numFmtId="0" fontId="10" fillId="5" borderId="30" xfId="0" applyFont="1" applyFill="1" applyBorder="1" applyAlignment="1">
      <alignment horizontal="center"/>
    </xf>
    <xf numFmtId="0" fontId="10" fillId="5" borderId="31" xfId="0" applyFont="1" applyFill="1" applyBorder="1" applyAlignment="1">
      <alignment horizontal="center"/>
    </xf>
    <xf numFmtId="0" fontId="12" fillId="5" borderId="25" xfId="0" applyFont="1" applyFill="1" applyBorder="1" applyAlignment="1" applyProtection="1">
      <alignment horizontal="center"/>
      <protection locked="0"/>
    </xf>
    <xf numFmtId="0" fontId="12" fillId="5" borderId="0" xfId="0" applyFont="1" applyFill="1" applyAlignment="1" applyProtection="1">
      <alignment horizontal="center"/>
      <protection locked="0"/>
    </xf>
    <xf numFmtId="0" fontId="12" fillId="5" borderId="26" xfId="0" applyFont="1" applyFill="1" applyBorder="1" applyAlignment="1" applyProtection="1">
      <alignment horizontal="center"/>
      <protection locked="0"/>
    </xf>
    <xf numFmtId="0" fontId="10" fillId="5" borderId="53" xfId="0" applyFont="1" applyFill="1" applyBorder="1" applyAlignment="1" applyProtection="1">
      <alignment horizontal="center"/>
      <protection locked="0"/>
    </xf>
    <xf numFmtId="0" fontId="10" fillId="5" borderId="54" xfId="0" applyFont="1" applyFill="1" applyBorder="1" applyAlignment="1" applyProtection="1">
      <alignment horizontal="center"/>
      <protection locked="0"/>
    </xf>
    <xf numFmtId="0" fontId="10" fillId="5" borderId="21" xfId="0" applyFont="1" applyFill="1" applyBorder="1" applyAlignment="1" applyProtection="1">
      <alignment horizontal="center"/>
      <protection locked="0"/>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22" fillId="7" borderId="0" xfId="0" applyFont="1" applyFill="1" applyAlignment="1">
      <alignment horizontal="center" vertical="center" wrapText="1"/>
    </xf>
    <xf numFmtId="0" fontId="10" fillId="4" borderId="0" xfId="0" applyFont="1" applyFill="1" applyAlignment="1" applyProtection="1">
      <alignment horizontal="center" vertical="center" wrapText="1"/>
      <protection locked="0"/>
    </xf>
    <xf numFmtId="0" fontId="10" fillId="0" borderId="14" xfId="0" applyFont="1" applyBorder="1" applyAlignment="1">
      <alignment horizontal="center"/>
    </xf>
    <xf numFmtId="0" fontId="10" fillId="0" borderId="14" xfId="0" applyFont="1" applyBorder="1" applyAlignment="1">
      <alignment horizontal="center" wrapText="1"/>
    </xf>
    <xf numFmtId="0" fontId="10" fillId="0" borderId="0" xfId="0" applyFont="1" applyAlignment="1">
      <alignment horizontal="center"/>
    </xf>
    <xf numFmtId="0" fontId="22" fillId="5" borderId="0" xfId="0" applyFont="1" applyFill="1" applyAlignment="1">
      <alignment horizontal="center" vertical="center" wrapText="1"/>
    </xf>
    <xf numFmtId="0" fontId="46" fillId="0" borderId="29" xfId="0" applyFont="1" applyBorder="1" applyAlignment="1">
      <alignment horizontal="center" wrapText="1"/>
    </xf>
    <xf numFmtId="0" fontId="46" fillId="0" borderId="30" xfId="0" applyFont="1" applyBorder="1" applyAlignment="1">
      <alignment horizontal="center" wrapText="1"/>
    </xf>
    <xf numFmtId="0" fontId="46" fillId="0" borderId="31" xfId="0" applyFont="1" applyBorder="1" applyAlignment="1">
      <alignment horizontal="center" wrapText="1"/>
    </xf>
    <xf numFmtId="0" fontId="11" fillId="0" borderId="14" xfId="0" applyFont="1" applyBorder="1" applyAlignment="1" applyProtection="1">
      <alignment horizontal="center"/>
      <protection locked="0"/>
    </xf>
    <xf numFmtId="3" fontId="11" fillId="0" borderId="14" xfId="0" applyNumberFormat="1" applyFont="1" applyBorder="1" applyAlignment="1">
      <alignment horizontal="right"/>
    </xf>
    <xf numFmtId="0" fontId="13" fillId="0" borderId="14" xfId="0" applyFont="1" applyBorder="1" applyAlignment="1" applyProtection="1">
      <alignment horizontal="center"/>
      <protection locked="0"/>
    </xf>
    <xf numFmtId="0" fontId="11" fillId="5" borderId="14" xfId="0" applyFont="1" applyFill="1" applyBorder="1" applyAlignment="1" applyProtection="1">
      <alignment horizontal="center"/>
      <protection locked="0"/>
    </xf>
    <xf numFmtId="3" fontId="10" fillId="5" borderId="14" xfId="0" applyNumberFormat="1" applyFont="1" applyFill="1" applyBorder="1" applyAlignment="1">
      <alignment horizontal="right"/>
    </xf>
    <xf numFmtId="3" fontId="19" fillId="0" borderId="14" xfId="0" applyNumberFormat="1" applyFont="1" applyBorder="1" applyAlignment="1">
      <alignment horizontal="right"/>
    </xf>
    <xf numFmtId="3" fontId="11" fillId="0" borderId="43" xfId="0" applyNumberFormat="1" applyFont="1" applyBorder="1" applyAlignment="1">
      <alignment horizontal="right"/>
    </xf>
    <xf numFmtId="3" fontId="11" fillId="0" borderId="44" xfId="0" applyNumberFormat="1" applyFont="1" applyBorder="1" applyAlignment="1">
      <alignment horizontal="right"/>
    </xf>
    <xf numFmtId="0" fontId="11" fillId="0" borderId="23" xfId="0" applyFont="1" applyBorder="1" applyAlignment="1">
      <alignment horizontal="left"/>
    </xf>
    <xf numFmtId="0" fontId="11" fillId="0" borderId="24" xfId="0" applyFont="1" applyBorder="1" applyAlignment="1">
      <alignment horizontal="left"/>
    </xf>
    <xf numFmtId="0" fontId="15" fillId="0" borderId="0" xfId="0" applyFont="1" applyAlignment="1">
      <alignment horizontal="center"/>
    </xf>
    <xf numFmtId="0" fontId="37" fillId="5" borderId="32" xfId="2" applyFont="1" applyFill="1" applyBorder="1" applyAlignment="1">
      <alignment horizontal="center" wrapText="1"/>
    </xf>
    <xf numFmtId="0" fontId="37" fillId="5" borderId="33" xfId="2" applyFont="1" applyFill="1" applyBorder="1" applyAlignment="1">
      <alignment horizontal="center" wrapText="1"/>
    </xf>
    <xf numFmtId="0" fontId="37" fillId="5" borderId="34" xfId="2" applyFont="1" applyFill="1" applyBorder="1" applyAlignment="1">
      <alignment horizontal="center" wrapText="1"/>
    </xf>
    <xf numFmtId="0" fontId="41" fillId="0" borderId="0" xfId="2" applyFont="1" applyAlignment="1">
      <alignment horizontal="center"/>
    </xf>
    <xf numFmtId="0" fontId="37" fillId="0" borderId="0" xfId="2" applyFont="1" applyAlignment="1">
      <alignment horizontal="center"/>
    </xf>
    <xf numFmtId="169" fontId="37" fillId="5" borderId="0" xfId="3" applyNumberFormat="1" applyFont="1" applyFill="1" applyAlignment="1">
      <alignment horizontal="right"/>
    </xf>
    <xf numFmtId="169" fontId="36" fillId="5" borderId="0" xfId="3" applyNumberFormat="1" applyFont="1" applyFill="1" applyAlignment="1">
      <alignment horizontal="right"/>
    </xf>
    <xf numFmtId="0" fontId="37" fillId="5" borderId="22" xfId="2" applyFont="1" applyFill="1" applyBorder="1" applyAlignment="1">
      <alignment horizontal="center" vertical="center"/>
    </xf>
    <xf numFmtId="0" fontId="36" fillId="5" borderId="36" xfId="2" applyFont="1" applyFill="1" applyBorder="1" applyAlignment="1">
      <alignment horizontal="left" vertical="top" wrapText="1"/>
    </xf>
    <xf numFmtId="0" fontId="41" fillId="5" borderId="22" xfId="2" applyFont="1" applyFill="1" applyBorder="1" applyAlignment="1">
      <alignment horizontal="center" vertical="center"/>
    </xf>
    <xf numFmtId="0" fontId="37" fillId="5" borderId="36" xfId="2" applyFont="1" applyFill="1" applyBorder="1" applyAlignment="1">
      <alignment horizontal="center" vertical="center" wrapText="1"/>
    </xf>
    <xf numFmtId="0" fontId="37" fillId="0" borderId="22" xfId="2" applyFont="1" applyBorder="1" applyAlignment="1">
      <alignment horizontal="center" vertical="center"/>
    </xf>
    <xf numFmtId="0" fontId="37" fillId="0" borderId="35" xfId="2" applyFont="1" applyBorder="1" applyAlignment="1">
      <alignment horizontal="center" vertical="center"/>
    </xf>
    <xf numFmtId="169" fontId="72" fillId="4" borderId="36" xfId="3" applyNumberFormat="1" applyFont="1" applyFill="1" applyBorder="1" applyAlignment="1">
      <alignment horizontal="left" vertical="center" wrapText="1"/>
    </xf>
    <xf numFmtId="169" fontId="72" fillId="4" borderId="22" xfId="3" applyNumberFormat="1" applyFont="1" applyFill="1" applyBorder="1" applyAlignment="1">
      <alignment horizontal="left" vertical="center" wrapText="1"/>
    </xf>
    <xf numFmtId="169" fontId="27" fillId="4" borderId="38" xfId="3" applyNumberFormat="1" applyFont="1" applyFill="1" applyBorder="1" applyAlignment="1">
      <alignment horizontal="center" wrapText="1"/>
    </xf>
    <xf numFmtId="0" fontId="36" fillId="0" borderId="32" xfId="2" applyFont="1" applyBorder="1" applyAlignment="1">
      <alignment horizontal="center" vertical="center"/>
    </xf>
    <xf numFmtId="0" fontId="36" fillId="0" borderId="33" xfId="2" applyFont="1" applyBorder="1" applyAlignment="1">
      <alignment horizontal="center" vertical="center"/>
    </xf>
    <xf numFmtId="0" fontId="36" fillId="0" borderId="34" xfId="2" applyFont="1" applyBorder="1" applyAlignment="1">
      <alignment horizontal="center" vertical="center"/>
    </xf>
    <xf numFmtId="0" fontId="37" fillId="5" borderId="22" xfId="2" applyFont="1" applyFill="1" applyBorder="1" applyAlignment="1">
      <alignment horizontal="center" vertical="center" wrapText="1"/>
    </xf>
    <xf numFmtId="0" fontId="6" fillId="5" borderId="22" xfId="2" applyFill="1" applyBorder="1" applyAlignment="1">
      <alignment horizontal="center" vertical="center"/>
    </xf>
    <xf numFmtId="3" fontId="37" fillId="5" borderId="22" xfId="2" applyNumberFormat="1" applyFont="1" applyFill="1" applyBorder="1" applyAlignment="1">
      <alignment horizontal="center" vertical="center" wrapText="1"/>
    </xf>
    <xf numFmtId="0" fontId="6" fillId="0" borderId="22" xfId="2" applyBorder="1" applyAlignment="1">
      <alignment vertical="center" wrapText="1"/>
    </xf>
    <xf numFmtId="169" fontId="6" fillId="0" borderId="32" xfId="3" applyNumberFormat="1" applyFont="1" applyFill="1" applyBorder="1" applyAlignment="1">
      <alignment horizontal="center" vertical="center"/>
    </xf>
    <xf numFmtId="169" fontId="6" fillId="0" borderId="33" xfId="3" applyNumberFormat="1" applyFont="1" applyFill="1" applyBorder="1" applyAlignment="1">
      <alignment horizontal="center" vertical="center"/>
    </xf>
    <xf numFmtId="169" fontId="6" fillId="0" borderId="34" xfId="3" applyNumberFormat="1" applyFont="1" applyFill="1" applyBorder="1" applyAlignment="1">
      <alignment horizontal="center" vertical="center"/>
    </xf>
    <xf numFmtId="169" fontId="6" fillId="4" borderId="32" xfId="3" applyNumberFormat="1" applyFont="1" applyFill="1" applyBorder="1" applyAlignment="1">
      <alignment horizontal="center" vertical="center" wrapText="1"/>
    </xf>
    <xf numFmtId="169" fontId="6" fillId="4" borderId="33" xfId="3" applyNumberFormat="1" applyFont="1" applyFill="1" applyBorder="1" applyAlignment="1">
      <alignment horizontal="center" vertical="center" wrapText="1"/>
    </xf>
    <xf numFmtId="169" fontId="6" fillId="4" borderId="34" xfId="3" applyNumberFormat="1" applyFont="1" applyFill="1" applyBorder="1" applyAlignment="1">
      <alignment horizontal="center" vertical="center" wrapText="1"/>
    </xf>
    <xf numFmtId="0" fontId="6" fillId="0" borderId="32" xfId="2" applyBorder="1" applyAlignment="1">
      <alignment horizontal="center" vertical="center" wrapText="1"/>
    </xf>
    <xf numFmtId="0" fontId="6" fillId="0" borderId="33" xfId="2" applyBorder="1" applyAlignment="1">
      <alignment horizontal="center" vertical="center" wrapText="1"/>
    </xf>
    <xf numFmtId="0" fontId="6" fillId="0" borderId="34" xfId="2" applyBorder="1" applyAlignment="1">
      <alignment horizontal="center" vertical="center" wrapText="1"/>
    </xf>
    <xf numFmtId="0" fontId="6" fillId="4" borderId="32" xfId="2" applyFill="1" applyBorder="1" applyAlignment="1">
      <alignment horizontal="center" vertical="center" wrapText="1"/>
    </xf>
    <xf numFmtId="0" fontId="6" fillId="4" borderId="33" xfId="2" applyFill="1" applyBorder="1" applyAlignment="1">
      <alignment horizontal="center" vertical="center" wrapText="1"/>
    </xf>
    <xf numFmtId="0" fontId="6" fillId="4" borderId="34" xfId="2" applyFill="1" applyBorder="1" applyAlignment="1">
      <alignment horizontal="center" vertical="center" wrapText="1"/>
    </xf>
    <xf numFmtId="0" fontId="29" fillId="8" borderId="22" xfId="0" applyFont="1" applyFill="1" applyBorder="1" applyAlignment="1">
      <alignment horizontal="center" vertical="center" wrapText="1"/>
    </xf>
    <xf numFmtId="0" fontId="30" fillId="8" borderId="32" xfId="0" applyFont="1" applyFill="1" applyBorder="1" applyAlignment="1">
      <alignment horizontal="center" vertical="center" wrapText="1"/>
    </xf>
    <xf numFmtId="0" fontId="30" fillId="8" borderId="33" xfId="0" applyFont="1" applyFill="1" applyBorder="1" applyAlignment="1">
      <alignment horizontal="center" vertical="center" wrapText="1"/>
    </xf>
    <xf numFmtId="0" fontId="30" fillId="8" borderId="34" xfId="0" applyFont="1" applyFill="1" applyBorder="1" applyAlignment="1">
      <alignment horizontal="center" vertical="center" wrapText="1"/>
    </xf>
    <xf numFmtId="0" fontId="30" fillId="8" borderId="22" xfId="0" applyFont="1" applyFill="1" applyBorder="1" applyAlignment="1">
      <alignment horizontal="center" vertical="center" wrapText="1"/>
    </xf>
    <xf numFmtId="0" fontId="36" fillId="5" borderId="32" xfId="2" applyFont="1" applyFill="1" applyBorder="1" applyAlignment="1">
      <alignment horizontal="left" vertical="top" wrapText="1"/>
    </xf>
    <xf numFmtId="0" fontId="36" fillId="5" borderId="33" xfId="2" applyFont="1" applyFill="1" applyBorder="1" applyAlignment="1">
      <alignment horizontal="left" vertical="top" wrapText="1"/>
    </xf>
    <xf numFmtId="0" fontId="36" fillId="5" borderId="34" xfId="2" applyFont="1" applyFill="1" applyBorder="1" applyAlignment="1">
      <alignment horizontal="left" vertical="top" wrapText="1"/>
    </xf>
    <xf numFmtId="0" fontId="36" fillId="0" borderId="0" xfId="2" applyFont="1" applyAlignment="1">
      <alignment horizontal="center"/>
    </xf>
    <xf numFmtId="0" fontId="41" fillId="5" borderId="32" xfId="2" applyFont="1" applyFill="1" applyBorder="1" applyAlignment="1">
      <alignment horizontal="left" vertical="center" wrapText="1"/>
    </xf>
    <xf numFmtId="0" fontId="40" fillId="5" borderId="33" xfId="2" applyFont="1" applyFill="1" applyBorder="1" applyAlignment="1">
      <alignment horizontal="left" vertical="center"/>
    </xf>
    <xf numFmtId="0" fontId="40" fillId="5" borderId="34" xfId="2" applyFont="1" applyFill="1" applyBorder="1" applyAlignment="1">
      <alignment horizontal="left" vertical="center"/>
    </xf>
    <xf numFmtId="0" fontId="23" fillId="0" borderId="33" xfId="2" applyFont="1" applyBorder="1" applyAlignment="1">
      <alignment horizontal="left" wrapText="1"/>
    </xf>
    <xf numFmtId="0" fontId="23" fillId="0" borderId="34" xfId="2" applyFont="1" applyBorder="1" applyAlignment="1">
      <alignment horizontal="left" wrapText="1"/>
    </xf>
    <xf numFmtId="0" fontId="45" fillId="4" borderId="33" xfId="2" applyFont="1" applyFill="1" applyBorder="1" applyAlignment="1">
      <alignment horizontal="center" wrapText="1"/>
    </xf>
    <xf numFmtId="0" fontId="45" fillId="4" borderId="34" xfId="2" applyFont="1" applyFill="1" applyBorder="1" applyAlignment="1">
      <alignment horizontal="center" wrapText="1"/>
    </xf>
    <xf numFmtId="0" fontId="23" fillId="0" borderId="35" xfId="2" applyFont="1" applyBorder="1" applyAlignment="1">
      <alignment horizontal="left" vertical="center"/>
    </xf>
    <xf numFmtId="0" fontId="23" fillId="0" borderId="42" xfId="2" applyFont="1" applyBorder="1" applyAlignment="1">
      <alignment horizontal="left" vertical="center"/>
    </xf>
    <xf numFmtId="0" fontId="23" fillId="0" borderId="36" xfId="2" applyFont="1" applyBorder="1" applyAlignment="1">
      <alignment horizontal="left" vertical="center"/>
    </xf>
    <xf numFmtId="0" fontId="23" fillId="0" borderId="45" xfId="2" applyFont="1" applyBorder="1" applyAlignment="1">
      <alignment vertical="center" wrapText="1"/>
    </xf>
    <xf numFmtId="0" fontId="23" fillId="0" borderId="50" xfId="2" applyFont="1" applyBorder="1" applyAlignment="1">
      <alignment vertical="center" wrapText="1"/>
    </xf>
    <xf numFmtId="3" fontId="45" fillId="0" borderId="38" xfId="2" applyNumberFormat="1" applyFont="1" applyBorder="1" applyAlignment="1">
      <alignment horizontal="center" vertical="center" wrapText="1"/>
    </xf>
    <xf numFmtId="3" fontId="45" fillId="0" borderId="39" xfId="2" applyNumberFormat="1" applyFont="1" applyBorder="1" applyAlignment="1">
      <alignment horizontal="center" vertical="center" wrapText="1"/>
    </xf>
    <xf numFmtId="3" fontId="45" fillId="0" borderId="48" xfId="2" applyNumberFormat="1" applyFont="1" applyBorder="1" applyAlignment="1">
      <alignment horizontal="center" vertical="center" wrapText="1"/>
    </xf>
    <xf numFmtId="3" fontId="45" fillId="0" borderId="49" xfId="2" applyNumberFormat="1" applyFont="1" applyBorder="1" applyAlignment="1">
      <alignment horizontal="center" vertical="center" wrapText="1"/>
    </xf>
    <xf numFmtId="0" fontId="23" fillId="0" borderId="33" xfId="2" applyFont="1" applyBorder="1"/>
    <xf numFmtId="0" fontId="23" fillId="0" borderId="34" xfId="2" applyFont="1" applyBorder="1"/>
    <xf numFmtId="0" fontId="45" fillId="0" borderId="33" xfId="2" applyFont="1" applyBorder="1" applyAlignment="1">
      <alignment horizontal="center" wrapText="1"/>
    </xf>
    <xf numFmtId="0" fontId="45" fillId="0" borderId="34" xfId="2" applyFont="1" applyBorder="1" applyAlignment="1">
      <alignment horizontal="center" wrapText="1"/>
    </xf>
    <xf numFmtId="0" fontId="79" fillId="0" borderId="0" xfId="17" applyFont="1"/>
    <xf numFmtId="0" fontId="1" fillId="0" borderId="0" xfId="17"/>
    <xf numFmtId="0" fontId="80" fillId="18" borderId="0" xfId="17" applyFont="1" applyFill="1"/>
    <xf numFmtId="0" fontId="80" fillId="19" borderId="0" xfId="17" applyFont="1" applyFill="1"/>
    <xf numFmtId="0" fontId="0" fillId="0" borderId="0" xfId="0" applyFill="1"/>
    <xf numFmtId="0" fontId="4" fillId="0" borderId="0" xfId="12" applyFill="1" applyAlignment="1">
      <alignment vertical="top"/>
    </xf>
    <xf numFmtId="0" fontId="0" fillId="0" borderId="22" xfId="0" applyFill="1" applyBorder="1"/>
    <xf numFmtId="0" fontId="81" fillId="0" borderId="0" xfId="12" applyFont="1" applyAlignment="1">
      <alignment vertical="top"/>
    </xf>
    <xf numFmtId="0" fontId="26" fillId="0" borderId="71" xfId="0" applyFont="1" applyBorder="1" applyProtection="1">
      <protection locked="0"/>
    </xf>
    <xf numFmtId="0" fontId="26" fillId="0" borderId="72" xfId="0" applyFont="1" applyBorder="1" applyProtection="1">
      <protection locked="0"/>
    </xf>
    <xf numFmtId="0" fontId="26" fillId="0" borderId="71" xfId="0" applyFont="1" applyBorder="1" applyAlignment="1" applyProtection="1">
      <alignment horizontal="center" vertical="center" wrapText="1"/>
      <protection locked="0"/>
    </xf>
    <xf numFmtId="0" fontId="26" fillId="0" borderId="72" xfId="0" applyFont="1" applyBorder="1" applyAlignment="1" applyProtection="1">
      <alignment horizontal="center" vertical="center" wrapText="1"/>
      <protection locked="0"/>
    </xf>
    <xf numFmtId="0" fontId="26" fillId="0" borderId="0" xfId="0" applyFont="1" applyProtection="1">
      <protection locked="0"/>
    </xf>
    <xf numFmtId="0" fontId="83" fillId="0" borderId="0" xfId="0" applyFont="1"/>
    <xf numFmtId="0" fontId="84" fillId="0" borderId="0" xfId="0" applyFont="1"/>
    <xf numFmtId="0" fontId="83" fillId="0" borderId="0" xfId="0" applyFont="1" applyAlignment="1">
      <alignment horizontal="center"/>
    </xf>
    <xf numFmtId="0" fontId="85" fillId="5" borderId="71" xfId="0" applyFont="1" applyFill="1" applyBorder="1" applyAlignment="1">
      <alignment horizontal="center" wrapText="1"/>
    </xf>
    <xf numFmtId="0" fontId="85" fillId="5" borderId="72" xfId="0" applyFont="1" applyFill="1" applyBorder="1" applyAlignment="1">
      <alignment horizontal="center" wrapText="1"/>
    </xf>
    <xf numFmtId="0" fontId="83" fillId="20" borderId="71" xfId="0" applyFont="1" applyFill="1" applyBorder="1" applyAlignment="1" applyProtection="1">
      <alignment horizontal="center" vertical="center"/>
      <protection locked="0"/>
    </xf>
    <xf numFmtId="0" fontId="83" fillId="20" borderId="72" xfId="0" applyFont="1" applyFill="1" applyBorder="1" applyAlignment="1" applyProtection="1">
      <alignment horizontal="center" vertical="center"/>
      <protection locked="0"/>
    </xf>
    <xf numFmtId="0" fontId="83" fillId="0" borderId="72" xfId="0" applyFont="1" applyBorder="1" applyAlignment="1" applyProtection="1">
      <alignment horizontal="center" vertical="center"/>
      <protection locked="0"/>
    </xf>
    <xf numFmtId="0" fontId="84" fillId="0" borderId="0" xfId="0" applyFont="1" applyProtection="1">
      <protection locked="0"/>
    </xf>
    <xf numFmtId="174" fontId="83" fillId="20" borderId="71" xfId="0" applyNumberFormat="1" applyFont="1" applyFill="1" applyBorder="1" applyAlignment="1" applyProtection="1">
      <alignment horizontal="center" vertical="center"/>
      <protection locked="0"/>
    </xf>
    <xf numFmtId="174" fontId="83" fillId="20" borderId="72" xfId="0" applyNumberFormat="1" applyFont="1" applyFill="1" applyBorder="1" applyAlignment="1" applyProtection="1">
      <alignment horizontal="center" vertical="center"/>
      <protection locked="0"/>
    </xf>
    <xf numFmtId="1" fontId="83" fillId="20" borderId="71" xfId="0" applyNumberFormat="1" applyFont="1" applyFill="1" applyBorder="1" applyAlignment="1" applyProtection="1">
      <alignment horizontal="center" vertical="center"/>
      <protection locked="0"/>
    </xf>
    <xf numFmtId="1" fontId="83" fillId="20" borderId="72" xfId="0" applyNumberFormat="1" applyFont="1" applyFill="1" applyBorder="1" applyAlignment="1" applyProtection="1">
      <alignment horizontal="center" vertical="center"/>
      <protection locked="0"/>
    </xf>
    <xf numFmtId="0" fontId="83" fillId="0" borderId="71" xfId="0" applyFont="1" applyBorder="1" applyProtection="1">
      <protection locked="0"/>
    </xf>
    <xf numFmtId="0" fontId="83" fillId="0" borderId="72" xfId="0" applyFont="1" applyBorder="1" applyProtection="1">
      <protection locked="0"/>
    </xf>
    <xf numFmtId="0" fontId="86" fillId="0" borderId="72" xfId="0" applyFont="1" applyBorder="1" applyAlignment="1" applyProtection="1">
      <alignment horizontal="center" vertical="center"/>
      <protection locked="0"/>
    </xf>
    <xf numFmtId="0" fontId="83" fillId="0" borderId="0" xfId="0" applyFont="1" applyAlignment="1" applyProtection="1">
      <alignment wrapText="1"/>
      <protection locked="0"/>
    </xf>
  </cellXfs>
  <cellStyles count="18">
    <cellStyle name="Millares" xfId="16" builtinId="3"/>
    <cellStyle name="Millares [0]" xfId="1" builtinId="6"/>
    <cellStyle name="Millares [0] 2" xfId="5" xr:uid="{00000000-0005-0000-0000-000002000000}"/>
    <cellStyle name="Millares [0] 3" xfId="11" xr:uid="{00000000-0005-0000-0000-000003000000}"/>
    <cellStyle name="Millares 2" xfId="3" xr:uid="{00000000-0005-0000-0000-000004000000}"/>
    <cellStyle name="Millares 3" xfId="10" xr:uid="{00000000-0005-0000-0000-000005000000}"/>
    <cellStyle name="Moneda 2" xfId="14" xr:uid="{00000000-0005-0000-0000-000006000000}"/>
    <cellStyle name="Normal" xfId="0" builtinId="0"/>
    <cellStyle name="Normal 2" xfId="2" xr:uid="{00000000-0005-0000-0000-000008000000}"/>
    <cellStyle name="Normal 2 4" xfId="6" xr:uid="{00000000-0005-0000-0000-000009000000}"/>
    <cellStyle name="Normal 3" xfId="8" xr:uid="{00000000-0005-0000-0000-00000A000000}"/>
    <cellStyle name="Normal 3 2" xfId="13" xr:uid="{00000000-0005-0000-0000-00000B000000}"/>
    <cellStyle name="Normal 4" xfId="12" xr:uid="{00000000-0005-0000-0000-00000C000000}"/>
    <cellStyle name="Normal 5" xfId="15" xr:uid="{00000000-0005-0000-0000-00000D000000}"/>
    <cellStyle name="Normal 6" xfId="17" xr:uid="{5A8C870A-7257-406E-A46A-FD8BD625E38C}"/>
    <cellStyle name="Porcentaje" xfId="7" builtinId="5"/>
    <cellStyle name="Porcentaje 2" xfId="4" xr:uid="{00000000-0005-0000-0000-00000F000000}"/>
    <cellStyle name="Porcentaje 3" xfId="9" xr:uid="{00000000-0005-0000-0000-000010000000}"/>
  </cellStyles>
  <dxfs count="5">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rgb="FFFFFFFF"/>
        <name val="Calibri"/>
        <family val="2"/>
        <scheme val="minor"/>
      </font>
      <fill>
        <patternFill patternType="solid">
          <fgColor indexed="64"/>
          <bgColor rgb="FF2E7D32"/>
        </patternFill>
      </fill>
    </dxf>
    <dxf>
      <font>
        <b val="0"/>
        <i val="0"/>
        <strike val="0"/>
        <condense val="0"/>
        <extend val="0"/>
        <outline val="0"/>
        <shadow val="0"/>
        <u val="none"/>
        <vertAlign val="baseline"/>
        <sz val="12"/>
        <color rgb="FF000000"/>
        <name val="Arial Narrow"/>
        <family val="2"/>
        <scheme val="none"/>
      </font>
      <alignment horizontal="left" vertical="center" textRotation="0" wrapText="0" indent="0" justifyLastLine="0" shrinkToFit="0" readingOrder="1"/>
    </dxf>
    <dxf>
      <font>
        <b val="0"/>
        <i val="0"/>
        <strike val="0"/>
        <condense val="0"/>
        <extend val="0"/>
        <outline val="0"/>
        <shadow val="0"/>
        <u val="none"/>
        <vertAlign val="baseline"/>
        <sz val="12"/>
        <color rgb="FF000000"/>
        <name val="Arial Narrow"/>
        <family val="2"/>
        <scheme val="none"/>
      </font>
      <alignment horizontal="left" vertical="center" textRotation="0" wrapText="0" indent="0" justifyLastLine="0" shrinkToFit="0" readingOrder="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FFF"/>
      <rgbColor rgb="0069FFFF"/>
      <rgbColor rgb="00E0FFE0"/>
      <rgbColor rgb="00FFFF80"/>
      <rgbColor rgb="00A6CAF0"/>
      <rgbColor rgb="00DD9CB3"/>
      <rgbColor rgb="00B38FEE"/>
      <rgbColor rgb="00E3E3E3"/>
      <rgbColor rgb="002A6FF9"/>
      <rgbColor rgb="003FB8CD"/>
      <rgbColor rgb="00488436"/>
      <rgbColor rgb="00958C41"/>
      <rgbColor rgb="008E5E42"/>
      <rgbColor rgb="00A0627A"/>
      <rgbColor rgb="00624FAC"/>
      <rgbColor rgb="00969696"/>
      <rgbColor rgb="001D2FBE"/>
      <rgbColor rgb="00286676"/>
      <rgbColor rgb="00004500"/>
      <rgbColor rgb="00453E01"/>
      <rgbColor rgb="006A2813"/>
      <rgbColor rgb="0085396A"/>
      <rgbColor rgb="004A3285"/>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797869</xdr:colOff>
      <xdr:row>0</xdr:row>
      <xdr:rowOff>44823</xdr:rowOff>
    </xdr:from>
    <xdr:to>
      <xdr:col>2</xdr:col>
      <xdr:colOff>2498226</xdr:colOff>
      <xdr:row>7</xdr:row>
      <xdr:rowOff>79001</xdr:rowOff>
    </xdr:to>
    <xdr:pic>
      <xdr:nvPicPr>
        <xdr:cNvPr id="2" name="Imagen 1">
          <a:extLst>
            <a:ext uri="{FF2B5EF4-FFF2-40B4-BE49-F238E27FC236}">
              <a16:creationId xmlns:a16="http://schemas.microsoft.com/office/drawing/2014/main" id="{4B16A69B-B7C5-4DEF-80CE-C9D3C2DAF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7869" y="44823"/>
          <a:ext cx="1700357" cy="1653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31</xdr:row>
      <xdr:rowOff>104775</xdr:rowOff>
    </xdr:from>
    <xdr:to>
      <xdr:col>3</xdr:col>
      <xdr:colOff>1790700</xdr:colOff>
      <xdr:row>31</xdr:row>
      <xdr:rowOff>104775</xdr:rowOff>
    </xdr:to>
    <xdr:sp macro="" textlink="">
      <xdr:nvSpPr>
        <xdr:cNvPr id="2" name="Line 1">
          <a:extLst>
            <a:ext uri="{FF2B5EF4-FFF2-40B4-BE49-F238E27FC236}">
              <a16:creationId xmlns:a16="http://schemas.microsoft.com/office/drawing/2014/main" id="{00000000-0008-0000-0D00-000002000000}"/>
            </a:ext>
          </a:extLst>
        </xdr:cNvPr>
        <xdr:cNvSpPr>
          <a:spLocks noChangeShapeType="1"/>
        </xdr:cNvSpPr>
      </xdr:nvSpPr>
      <xdr:spPr bwMode="auto">
        <a:xfrm flipV="1">
          <a:off x="422275" y="5330825"/>
          <a:ext cx="24161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31</xdr:row>
      <xdr:rowOff>133350</xdr:rowOff>
    </xdr:from>
    <xdr:to>
      <xdr:col>7</xdr:col>
      <xdr:colOff>885825</xdr:colOff>
      <xdr:row>31</xdr:row>
      <xdr:rowOff>133350</xdr:rowOff>
    </xdr:to>
    <xdr:sp macro="" textlink="">
      <xdr:nvSpPr>
        <xdr:cNvPr id="3" name="Line 3">
          <a:extLst>
            <a:ext uri="{FF2B5EF4-FFF2-40B4-BE49-F238E27FC236}">
              <a16:creationId xmlns:a16="http://schemas.microsoft.com/office/drawing/2014/main" id="{00000000-0008-0000-0D00-000003000000}"/>
            </a:ext>
          </a:extLst>
        </xdr:cNvPr>
        <xdr:cNvSpPr>
          <a:spLocks noChangeShapeType="1"/>
        </xdr:cNvSpPr>
      </xdr:nvSpPr>
      <xdr:spPr bwMode="auto">
        <a:xfrm flipV="1">
          <a:off x="5092700" y="5359400"/>
          <a:ext cx="18510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39</xdr:row>
      <xdr:rowOff>0</xdr:rowOff>
    </xdr:from>
    <xdr:to>
      <xdr:col>7</xdr:col>
      <xdr:colOff>885825</xdr:colOff>
      <xdr:row>39</xdr:row>
      <xdr:rowOff>0</xdr:rowOff>
    </xdr:to>
    <xdr:sp macro="" textlink="">
      <xdr:nvSpPr>
        <xdr:cNvPr id="4" name="Line 4">
          <a:extLst>
            <a:ext uri="{FF2B5EF4-FFF2-40B4-BE49-F238E27FC236}">
              <a16:creationId xmlns:a16="http://schemas.microsoft.com/office/drawing/2014/main" id="{00000000-0008-0000-0D00-000004000000}"/>
            </a:ext>
          </a:extLst>
        </xdr:cNvPr>
        <xdr:cNvSpPr>
          <a:spLocks noChangeShapeType="1"/>
        </xdr:cNvSpPr>
      </xdr:nvSpPr>
      <xdr:spPr bwMode="auto">
        <a:xfrm flipV="1">
          <a:off x="5092700" y="6381750"/>
          <a:ext cx="18510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30</xdr:row>
      <xdr:rowOff>104775</xdr:rowOff>
    </xdr:from>
    <xdr:to>
      <xdr:col>3</xdr:col>
      <xdr:colOff>1790700</xdr:colOff>
      <xdr:row>30</xdr:row>
      <xdr:rowOff>104775</xdr:rowOff>
    </xdr:to>
    <xdr:sp macro="" textlink="">
      <xdr:nvSpPr>
        <xdr:cNvPr id="17823" name="Line 1">
          <a:extLst>
            <a:ext uri="{FF2B5EF4-FFF2-40B4-BE49-F238E27FC236}">
              <a16:creationId xmlns:a16="http://schemas.microsoft.com/office/drawing/2014/main" id="{00000000-0008-0000-0E00-00009F450000}"/>
            </a:ext>
          </a:extLst>
        </xdr:cNvPr>
        <xdr:cNvSpPr>
          <a:spLocks noChangeShapeType="1"/>
        </xdr:cNvSpPr>
      </xdr:nvSpPr>
      <xdr:spPr bwMode="auto">
        <a:xfrm flipV="1">
          <a:off x="47625" y="9515475"/>
          <a:ext cx="22479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30</xdr:row>
      <xdr:rowOff>133350</xdr:rowOff>
    </xdr:from>
    <xdr:to>
      <xdr:col>7</xdr:col>
      <xdr:colOff>885825</xdr:colOff>
      <xdr:row>30</xdr:row>
      <xdr:rowOff>133350</xdr:rowOff>
    </xdr:to>
    <xdr:sp macro="" textlink="">
      <xdr:nvSpPr>
        <xdr:cNvPr id="17824" name="Line 3">
          <a:extLst>
            <a:ext uri="{FF2B5EF4-FFF2-40B4-BE49-F238E27FC236}">
              <a16:creationId xmlns:a16="http://schemas.microsoft.com/office/drawing/2014/main" id="{00000000-0008-0000-0E00-0000A0450000}"/>
            </a:ext>
          </a:extLst>
        </xdr:cNvPr>
        <xdr:cNvSpPr>
          <a:spLocks noChangeShapeType="1"/>
        </xdr:cNvSpPr>
      </xdr:nvSpPr>
      <xdr:spPr bwMode="auto">
        <a:xfrm flipV="1">
          <a:off x="4143375" y="9544050"/>
          <a:ext cx="1990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38</xdr:row>
      <xdr:rowOff>0</xdr:rowOff>
    </xdr:from>
    <xdr:to>
      <xdr:col>7</xdr:col>
      <xdr:colOff>885825</xdr:colOff>
      <xdr:row>38</xdr:row>
      <xdr:rowOff>0</xdr:rowOff>
    </xdr:to>
    <xdr:sp macro="" textlink="">
      <xdr:nvSpPr>
        <xdr:cNvPr id="17825" name="Line 4">
          <a:extLst>
            <a:ext uri="{FF2B5EF4-FFF2-40B4-BE49-F238E27FC236}">
              <a16:creationId xmlns:a16="http://schemas.microsoft.com/office/drawing/2014/main" id="{00000000-0008-0000-0E00-0000A1450000}"/>
            </a:ext>
          </a:extLst>
        </xdr:cNvPr>
        <xdr:cNvSpPr>
          <a:spLocks noChangeShapeType="1"/>
        </xdr:cNvSpPr>
      </xdr:nvSpPr>
      <xdr:spPr bwMode="auto">
        <a:xfrm flipV="1">
          <a:off x="4143375" y="10153650"/>
          <a:ext cx="19907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Downloads\2PLAN%20DE%20MEJORAMIENTO%20PSICOLOGIA%20versi&#243;n%205%2023%20de%20junio%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
      <sheetName val="Hoja3"/>
      <sheetName val="Hoja1"/>
      <sheetName val="BD"/>
      <sheetName val="Hoja2"/>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0EE62-2193-4254-BB05-8D643E1C66CD}" name="Tabla1" displayName="Tabla1" ref="BO3:BR9" totalsRowShown="0" headerRowDxfId="2" headerRowCellStyle="Normal 6">
  <autoFilter ref="BO3:BR9" xr:uid="{DD30EE62-2193-4254-BB05-8D643E1C66CD}"/>
  <tableColumns count="4">
    <tableColumn id="1" xr3:uid="{8D0F4E69-25B1-4811-BD82-18261E96FB1E}" name="OBJETIVOS" dataCellStyle="Normal 5"/>
    <tableColumn id="2" xr3:uid="{7A1FDEEC-36D2-48D8-AFC5-023E3186FBBB}" name="OE1_Diseñar e implementar estrategias integrales e innovadoras para arraigar la identidad de UNICESMAG" dataDxfId="4"/>
    <tableColumn id="3" xr3:uid="{5A8BE2C2-0859-4816-9239-7D28434F8812}" name="OE2_Articular las labores institucionales desde una óptica transformadora de la persona para impactar la sociedad desde el reconocimiento de las culturas y las comunidades" dataDxfId="3"/>
    <tableColumn id="4" xr3:uid="{A5C9FDC2-1E18-4543-92DC-58B47D2E0CCE}" name="OE3_Desarrollar una arquitectura institucional bajo los principios de ética y buen gobierno" dataCellStyle="Normal 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C591-8B09-4072-A416-B8E13B2022F3}">
  <dimension ref="A1:BS16"/>
  <sheetViews>
    <sheetView topLeftCell="AU1" workbookViewId="0">
      <selection activeCell="BI17" sqref="BI17"/>
    </sheetView>
  </sheetViews>
  <sheetFormatPr baseColWidth="10" defaultColWidth="9.140625" defaultRowHeight="15" x14ac:dyDescent="0.25"/>
  <cols>
    <col min="1" max="1" width="72.7109375" style="677" customWidth="1"/>
    <col min="2" max="66" width="9.140625" style="677"/>
    <col min="67" max="67" width="12.7109375" style="677" customWidth="1"/>
    <col min="68" max="70" width="73.42578125" style="677" customWidth="1"/>
    <col min="71" max="16384" width="9.140625" style="677"/>
  </cols>
  <sheetData>
    <row r="1" spans="1:71" ht="18.75" x14ac:dyDescent="0.3">
      <c r="A1" s="676" t="s">
        <v>1414</v>
      </c>
    </row>
    <row r="3" spans="1:71" x14ac:dyDescent="0.25">
      <c r="A3" s="678" t="s">
        <v>1081</v>
      </c>
      <c r="C3" s="678" t="s">
        <v>1415</v>
      </c>
      <c r="D3" s="678" t="s">
        <v>1416</v>
      </c>
      <c r="E3" s="678" t="s">
        <v>1417</v>
      </c>
      <c r="F3" s="678" t="s">
        <v>1418</v>
      </c>
      <c r="G3" s="678" t="s">
        <v>1419</v>
      </c>
      <c r="H3" s="678" t="s">
        <v>1420</v>
      </c>
      <c r="I3" s="678" t="s">
        <v>1421</v>
      </c>
      <c r="J3" s="678" t="s">
        <v>1422</v>
      </c>
      <c r="K3" s="678" t="s">
        <v>1423</v>
      </c>
      <c r="L3" s="678" t="s">
        <v>1424</v>
      </c>
      <c r="M3" s="678" t="s">
        <v>1425</v>
      </c>
      <c r="N3" s="678" t="s">
        <v>1426</v>
      </c>
      <c r="O3" s="679" t="s">
        <v>1427</v>
      </c>
      <c r="P3" s="679" t="s">
        <v>1428</v>
      </c>
      <c r="Q3" s="679" t="s">
        <v>1429</v>
      </c>
      <c r="R3" s="679" t="s">
        <v>1430</v>
      </c>
      <c r="S3" s="679" t="s">
        <v>1431</v>
      </c>
      <c r="T3" s="679" t="s">
        <v>1432</v>
      </c>
      <c r="U3" s="679" t="s">
        <v>1433</v>
      </c>
      <c r="V3" s="679" t="s">
        <v>1434</v>
      </c>
      <c r="W3" s="679" t="s">
        <v>1435</v>
      </c>
      <c r="X3" s="679" t="s">
        <v>1436</v>
      </c>
      <c r="Y3" s="679" t="s">
        <v>1437</v>
      </c>
      <c r="Z3" s="679" t="s">
        <v>1438</v>
      </c>
      <c r="AA3" s="679" t="s">
        <v>1439</v>
      </c>
      <c r="AB3" s="679" t="s">
        <v>1440</v>
      </c>
      <c r="AC3" s="679" t="s">
        <v>1441</v>
      </c>
      <c r="AD3" s="679" t="s">
        <v>1442</v>
      </c>
      <c r="AE3" s="679" t="s">
        <v>1443</v>
      </c>
      <c r="AF3" s="679" t="s">
        <v>1444</v>
      </c>
      <c r="AG3" s="679" t="s">
        <v>1445</v>
      </c>
      <c r="AH3" s="679" t="s">
        <v>1446</v>
      </c>
      <c r="AI3" s="679" t="s">
        <v>1447</v>
      </c>
      <c r="AJ3" s="679" t="s">
        <v>1448</v>
      </c>
      <c r="AK3" s="679" t="s">
        <v>1449</v>
      </c>
      <c r="AL3" s="679" t="s">
        <v>1450</v>
      </c>
      <c r="AM3" s="679" t="s">
        <v>1451</v>
      </c>
      <c r="AN3" s="679" t="s">
        <v>1452</v>
      </c>
      <c r="AO3" s="679" t="s">
        <v>1453</v>
      </c>
      <c r="AP3" s="679" t="s">
        <v>1454</v>
      </c>
      <c r="AQ3" s="679" t="s">
        <v>1455</v>
      </c>
      <c r="AR3" s="679" t="s">
        <v>1456</v>
      </c>
      <c r="AS3" s="679" t="s">
        <v>1457</v>
      </c>
      <c r="AT3" s="679" t="s">
        <v>1458</v>
      </c>
      <c r="AU3" s="679" t="s">
        <v>1459</v>
      </c>
      <c r="AV3" s="679" t="s">
        <v>1460</v>
      </c>
      <c r="AW3" s="679" t="s">
        <v>1461</v>
      </c>
      <c r="AX3" s="679" t="s">
        <v>1462</v>
      </c>
      <c r="AY3" s="679" t="s">
        <v>1463</v>
      </c>
      <c r="AZ3" s="679" t="s">
        <v>1464</v>
      </c>
      <c r="BA3" s="679" t="s">
        <v>1465</v>
      </c>
      <c r="BB3" s="679" t="s">
        <v>1466</v>
      </c>
      <c r="BC3" s="679" t="s">
        <v>1467</v>
      </c>
      <c r="BD3" s="679" t="s">
        <v>1468</v>
      </c>
      <c r="BE3" s="679" t="s">
        <v>1469</v>
      </c>
      <c r="BF3" s="679" t="s">
        <v>1470</v>
      </c>
      <c r="BG3" s="679" t="s">
        <v>1471</v>
      </c>
      <c r="BH3" s="679" t="s">
        <v>1472</v>
      </c>
      <c r="BI3" s="679" t="s">
        <v>1473</v>
      </c>
      <c r="BJ3" s="679" t="s">
        <v>1474</v>
      </c>
      <c r="BL3" s="679" t="s">
        <v>1411</v>
      </c>
      <c r="BM3" s="679" t="s">
        <v>763</v>
      </c>
      <c r="BO3" s="679" t="s">
        <v>1475</v>
      </c>
      <c r="BP3" s="679" t="s">
        <v>1290</v>
      </c>
      <c r="BQ3" s="679" t="s">
        <v>1291</v>
      </c>
      <c r="BR3" s="679" t="s">
        <v>1292</v>
      </c>
      <c r="BS3" s="493"/>
    </row>
    <row r="4" spans="1:71" ht="15.75" x14ac:dyDescent="0.25">
      <c r="A4" s="677" t="s">
        <v>1235</v>
      </c>
      <c r="C4" s="677" t="s">
        <v>1247</v>
      </c>
      <c r="D4" s="677" t="s">
        <v>1249</v>
      </c>
      <c r="E4" s="677" t="s">
        <v>1254</v>
      </c>
      <c r="F4" s="677" t="s">
        <v>1257</v>
      </c>
      <c r="G4" s="677" t="s">
        <v>1259</v>
      </c>
      <c r="H4" s="677" t="s">
        <v>1268</v>
      </c>
      <c r="I4" s="677" t="s">
        <v>1272</v>
      </c>
      <c r="J4" s="677" t="s">
        <v>1275</v>
      </c>
      <c r="K4" s="677" t="s">
        <v>1277</v>
      </c>
      <c r="L4" s="677" t="s">
        <v>1279</v>
      </c>
      <c r="M4" s="677" t="s">
        <v>1282</v>
      </c>
      <c r="N4" s="677" t="s">
        <v>1288</v>
      </c>
      <c r="O4" s="677" t="s">
        <v>1307</v>
      </c>
      <c r="P4" s="677" t="s">
        <v>1308</v>
      </c>
      <c r="Q4" s="677" t="s">
        <v>1311</v>
      </c>
      <c r="R4" s="677" t="s">
        <v>1315</v>
      </c>
      <c r="S4" s="677" t="s">
        <v>1316</v>
      </c>
      <c r="T4" s="677" t="s">
        <v>1317</v>
      </c>
      <c r="U4" s="677" t="s">
        <v>1319</v>
      </c>
      <c r="V4" s="677" t="s">
        <v>1321</v>
      </c>
      <c r="W4" s="677" t="s">
        <v>1323</v>
      </c>
      <c r="X4" s="677" t="s">
        <v>1326</v>
      </c>
      <c r="Y4" s="677" t="s">
        <v>1333</v>
      </c>
      <c r="Z4" s="677" t="s">
        <v>1336</v>
      </c>
      <c r="AA4" s="677" t="s">
        <v>1338</v>
      </c>
      <c r="AB4" s="677" t="s">
        <v>1341</v>
      </c>
      <c r="AC4" s="677" t="s">
        <v>1342</v>
      </c>
      <c r="AD4" s="677" t="s">
        <v>1344</v>
      </c>
      <c r="AE4" s="677" t="s">
        <v>1346</v>
      </c>
      <c r="AF4" s="677" t="s">
        <v>1348</v>
      </c>
      <c r="AG4" s="677" t="s">
        <v>1350</v>
      </c>
      <c r="AH4" s="677" t="s">
        <v>1352</v>
      </c>
      <c r="AI4" s="677" t="s">
        <v>1354</v>
      </c>
      <c r="AJ4" s="677" t="s">
        <v>1357</v>
      </c>
      <c r="AK4" s="677" t="s">
        <v>1360</v>
      </c>
      <c r="AL4" s="677" t="s">
        <v>1362</v>
      </c>
      <c r="AM4" s="677" t="s">
        <v>1363</v>
      </c>
      <c r="AN4" s="677" t="s">
        <v>1365</v>
      </c>
      <c r="AO4" s="677" t="s">
        <v>1367</v>
      </c>
      <c r="AP4" s="677" t="s">
        <v>1368</v>
      </c>
      <c r="AQ4" s="677" t="s">
        <v>1371</v>
      </c>
      <c r="AR4" s="677" t="s">
        <v>1372</v>
      </c>
      <c r="AS4" s="677" t="s">
        <v>1374</v>
      </c>
      <c r="AT4" s="677" t="s">
        <v>1375</v>
      </c>
      <c r="AU4" s="677" t="s">
        <v>1377</v>
      </c>
      <c r="AV4" s="677" t="s">
        <v>1378</v>
      </c>
      <c r="AW4" s="677" t="s">
        <v>1380</v>
      </c>
      <c r="AX4" s="677" t="s">
        <v>1382</v>
      </c>
      <c r="AY4" s="677" t="s">
        <v>1384</v>
      </c>
      <c r="AZ4" s="677" t="s">
        <v>1386</v>
      </c>
      <c r="BA4" s="677" t="s">
        <v>1389</v>
      </c>
      <c r="BB4" s="677" t="s">
        <v>1392</v>
      </c>
      <c r="BC4" s="677" t="s">
        <v>1394</v>
      </c>
      <c r="BD4" s="677" t="s">
        <v>1396</v>
      </c>
      <c r="BE4" s="677" t="s">
        <v>1398</v>
      </c>
      <c r="BF4" s="677" t="s">
        <v>1401</v>
      </c>
      <c r="BG4" s="677" t="s">
        <v>1403</v>
      </c>
      <c r="BH4" s="677" t="s">
        <v>1405</v>
      </c>
      <c r="BI4" s="677" t="s">
        <v>1407</v>
      </c>
      <c r="BJ4" s="677" t="s">
        <v>1409</v>
      </c>
      <c r="BL4" s="677" t="s">
        <v>1412</v>
      </c>
      <c r="BM4" s="444" t="s">
        <v>388</v>
      </c>
      <c r="BO4" s="493" t="s">
        <v>1290</v>
      </c>
      <c r="BP4" s="495" t="s">
        <v>1293</v>
      </c>
      <c r="BQ4" s="494" t="s">
        <v>1294</v>
      </c>
      <c r="BR4" s="495" t="s">
        <v>1303</v>
      </c>
      <c r="BS4" s="444"/>
    </row>
    <row r="5" spans="1:71" ht="15.75" x14ac:dyDescent="0.25">
      <c r="A5" s="677" t="s">
        <v>1236</v>
      </c>
      <c r="C5" s="677" t="s">
        <v>1248</v>
      </c>
      <c r="D5" s="677" t="s">
        <v>1250</v>
      </c>
      <c r="E5" s="677" t="s">
        <v>793</v>
      </c>
      <c r="F5" s="677" t="s">
        <v>1258</v>
      </c>
      <c r="G5" s="677" t="s">
        <v>1260</v>
      </c>
      <c r="H5" s="677" t="s">
        <v>1269</v>
      </c>
      <c r="I5" s="677" t="s">
        <v>1273</v>
      </c>
      <c r="J5" s="677" t="s">
        <v>1276</v>
      </c>
      <c r="K5" s="677" t="s">
        <v>1278</v>
      </c>
      <c r="L5" s="677" t="s">
        <v>1280</v>
      </c>
      <c r="M5" s="677" t="s">
        <v>1283</v>
      </c>
      <c r="N5" s="677" t="s">
        <v>1289</v>
      </c>
      <c r="P5" s="677" t="s">
        <v>1309</v>
      </c>
      <c r="Q5" s="677" t="s">
        <v>1312</v>
      </c>
      <c r="T5" s="677" t="s">
        <v>1318</v>
      </c>
      <c r="U5" s="677" t="s">
        <v>1320</v>
      </c>
      <c r="V5" s="677" t="s">
        <v>1322</v>
      </c>
      <c r="W5" s="677" t="s">
        <v>1324</v>
      </c>
      <c r="X5" s="677" t="s">
        <v>1327</v>
      </c>
      <c r="Y5" s="677" t="s">
        <v>1334</v>
      </c>
      <c r="Z5" s="677" t="s">
        <v>1337</v>
      </c>
      <c r="AA5" s="677" t="s">
        <v>1339</v>
      </c>
      <c r="AC5" s="677" t="s">
        <v>1343</v>
      </c>
      <c r="AD5" s="677" t="s">
        <v>1345</v>
      </c>
      <c r="AE5" s="677" t="s">
        <v>1347</v>
      </c>
      <c r="AF5" s="677" t="s">
        <v>1349</v>
      </c>
      <c r="AG5" s="677" t="s">
        <v>1351</v>
      </c>
      <c r="AH5" s="677" t="s">
        <v>1353</v>
      </c>
      <c r="AI5" s="677" t="s">
        <v>1355</v>
      </c>
      <c r="AJ5" s="677" t="s">
        <v>1358</v>
      </c>
      <c r="AK5" s="677" t="s">
        <v>1361</v>
      </c>
      <c r="AM5" s="677" t="s">
        <v>1364</v>
      </c>
      <c r="AN5" s="677" t="s">
        <v>1366</v>
      </c>
      <c r="AP5" s="677" t="s">
        <v>1369</v>
      </c>
      <c r="AR5" s="677" t="s">
        <v>1373</v>
      </c>
      <c r="AT5" s="677" t="s">
        <v>1376</v>
      </c>
      <c r="AV5" s="677" t="s">
        <v>1379</v>
      </c>
      <c r="AW5" s="677" t="s">
        <v>1381</v>
      </c>
      <c r="AX5" s="677" t="s">
        <v>1383</v>
      </c>
      <c r="AY5" s="677" t="s">
        <v>1385</v>
      </c>
      <c r="AZ5" s="677" t="s">
        <v>1387</v>
      </c>
      <c r="BA5" s="677" t="s">
        <v>1390</v>
      </c>
      <c r="BB5" s="677" t="s">
        <v>1393</v>
      </c>
      <c r="BC5" s="677" t="s">
        <v>1395</v>
      </c>
      <c r="BD5" s="677" t="s">
        <v>1397</v>
      </c>
      <c r="BE5" s="677" t="s">
        <v>1399</v>
      </c>
      <c r="BF5" s="677" t="s">
        <v>1402</v>
      </c>
      <c r="BG5" s="677" t="s">
        <v>1404</v>
      </c>
      <c r="BH5" s="677" t="s">
        <v>1406</v>
      </c>
      <c r="BI5" s="677" t="s">
        <v>1408</v>
      </c>
      <c r="BJ5" s="677" t="s">
        <v>1410</v>
      </c>
      <c r="BL5" s="677" t="s">
        <v>1413</v>
      </c>
      <c r="BM5" s="493" t="s">
        <v>1306</v>
      </c>
      <c r="BO5" s="493" t="s">
        <v>1291</v>
      </c>
      <c r="BP5" s="495" t="s">
        <v>1296</v>
      </c>
      <c r="BQ5" s="494" t="s">
        <v>1295</v>
      </c>
      <c r="BR5" s="495" t="s">
        <v>1304</v>
      </c>
      <c r="BS5" s="444"/>
    </row>
    <row r="6" spans="1:71" ht="15.75" x14ac:dyDescent="0.25">
      <c r="A6" s="677" t="s">
        <v>1237</v>
      </c>
      <c r="D6" s="677" t="s">
        <v>1251</v>
      </c>
      <c r="E6" s="677" t="s">
        <v>1255</v>
      </c>
      <c r="G6" s="677" t="s">
        <v>1261</v>
      </c>
      <c r="H6" s="677" t="s">
        <v>1270</v>
      </c>
      <c r="I6" s="677" t="s">
        <v>1274</v>
      </c>
      <c r="L6" s="677" t="s">
        <v>1281</v>
      </c>
      <c r="M6" s="677" t="s">
        <v>1284</v>
      </c>
      <c r="P6" s="677" t="s">
        <v>1310</v>
      </c>
      <c r="Q6" s="677" t="s">
        <v>1313</v>
      </c>
      <c r="W6" s="677" t="s">
        <v>1325</v>
      </c>
      <c r="X6" s="677" t="s">
        <v>1328</v>
      </c>
      <c r="Y6" s="677" t="s">
        <v>1335</v>
      </c>
      <c r="AA6" s="677" t="s">
        <v>1340</v>
      </c>
      <c r="AI6" s="677" t="s">
        <v>1356</v>
      </c>
      <c r="AJ6" s="677" t="s">
        <v>1359</v>
      </c>
      <c r="AP6" s="677" t="s">
        <v>1370</v>
      </c>
      <c r="AZ6" s="677" t="s">
        <v>1388</v>
      </c>
      <c r="BA6" s="677" t="s">
        <v>1391</v>
      </c>
      <c r="BE6" s="677" t="s">
        <v>1400</v>
      </c>
      <c r="BM6" s="444" t="s">
        <v>840</v>
      </c>
      <c r="BO6" s="493" t="s">
        <v>1292</v>
      </c>
      <c r="BP6" s="495" t="s">
        <v>1297</v>
      </c>
      <c r="BQ6" s="495" t="s">
        <v>1299</v>
      </c>
      <c r="BR6" s="495" t="s">
        <v>1305</v>
      </c>
      <c r="BS6" s="444"/>
    </row>
    <row r="7" spans="1:71" ht="15.75" x14ac:dyDescent="0.25">
      <c r="A7" s="677" t="s">
        <v>1238</v>
      </c>
      <c r="D7" s="677" t="s">
        <v>1252</v>
      </c>
      <c r="E7" s="677" t="s">
        <v>797</v>
      </c>
      <c r="G7" s="677" t="s">
        <v>1262</v>
      </c>
      <c r="H7" s="677" t="s">
        <v>1271</v>
      </c>
      <c r="M7" s="677" t="s">
        <v>1285</v>
      </c>
      <c r="Q7" s="677" t="s">
        <v>1314</v>
      </c>
      <c r="X7" s="677" t="s">
        <v>1329</v>
      </c>
      <c r="BM7" s="444" t="s">
        <v>817</v>
      </c>
      <c r="BO7" s="444"/>
      <c r="BP7" s="495" t="s">
        <v>1298</v>
      </c>
      <c r="BQ7" s="495" t="s">
        <v>1300</v>
      </c>
      <c r="BR7" s="444"/>
      <c r="BS7" s="444"/>
    </row>
    <row r="8" spans="1:71" ht="15.75" x14ac:dyDescent="0.25">
      <c r="A8" s="677" t="s">
        <v>1239</v>
      </c>
      <c r="D8" s="677" t="s">
        <v>1253</v>
      </c>
      <c r="E8" s="677" t="s">
        <v>1256</v>
      </c>
      <c r="G8" s="677" t="s">
        <v>1263</v>
      </c>
      <c r="M8" s="677" t="s">
        <v>1286</v>
      </c>
      <c r="X8" s="677" t="s">
        <v>1330</v>
      </c>
      <c r="BM8" s="444" t="s">
        <v>1082</v>
      </c>
      <c r="BO8" s="444"/>
      <c r="BP8" s="444"/>
      <c r="BQ8" s="495" t="s">
        <v>1301</v>
      </c>
      <c r="BR8" s="444"/>
      <c r="BS8" s="444"/>
    </row>
    <row r="9" spans="1:71" ht="15.75" x14ac:dyDescent="0.25">
      <c r="A9" s="677" t="s">
        <v>1240</v>
      </c>
      <c r="E9" s="677" t="s">
        <v>801</v>
      </c>
      <c r="G9" s="677" t="s">
        <v>1264</v>
      </c>
      <c r="M9" s="677" t="s">
        <v>1287</v>
      </c>
      <c r="X9" s="677" t="s">
        <v>1331</v>
      </c>
      <c r="BM9" s="444" t="s">
        <v>843</v>
      </c>
      <c r="BO9" s="444"/>
      <c r="BP9" s="444"/>
      <c r="BQ9" s="495" t="s">
        <v>1302</v>
      </c>
      <c r="BR9" s="444"/>
      <c r="BS9" s="444"/>
    </row>
    <row r="10" spans="1:71" x14ac:dyDescent="0.25">
      <c r="A10" s="677" t="s">
        <v>1241</v>
      </c>
      <c r="E10" s="677" t="s">
        <v>1054</v>
      </c>
      <c r="G10" s="677" t="s">
        <v>1265</v>
      </c>
      <c r="X10" s="677" t="s">
        <v>1332</v>
      </c>
      <c r="BM10" s="444" t="s">
        <v>1083</v>
      </c>
    </row>
    <row r="11" spans="1:71" x14ac:dyDescent="0.25">
      <c r="A11" s="677" t="s">
        <v>1242</v>
      </c>
      <c r="E11" s="677" t="s">
        <v>803</v>
      </c>
      <c r="G11" s="677" t="s">
        <v>1266</v>
      </c>
      <c r="BM11" s="444" t="s">
        <v>1084</v>
      </c>
    </row>
    <row r="12" spans="1:71" x14ac:dyDescent="0.25">
      <c r="A12" s="677" t="s">
        <v>1243</v>
      </c>
      <c r="G12" s="677" t="s">
        <v>1267</v>
      </c>
      <c r="BM12" s="444" t="s">
        <v>1085</v>
      </c>
    </row>
    <row r="13" spans="1:71" x14ac:dyDescent="0.25">
      <c r="A13" s="677" t="s">
        <v>1244</v>
      </c>
      <c r="BM13" s="444" t="s">
        <v>1086</v>
      </c>
    </row>
    <row r="14" spans="1:71" x14ac:dyDescent="0.25">
      <c r="A14" s="677" t="s">
        <v>1245</v>
      </c>
      <c r="BM14" s="444" t="s">
        <v>849</v>
      </c>
    </row>
    <row r="15" spans="1:71" x14ac:dyDescent="0.25">
      <c r="A15" s="677" t="s">
        <v>1246</v>
      </c>
      <c r="BM15" s="444" t="s">
        <v>851</v>
      </c>
    </row>
    <row r="16" spans="1:71" x14ac:dyDescent="0.25">
      <c r="BM16" s="444" t="s">
        <v>845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A141"/>
  <sheetViews>
    <sheetView topLeftCell="P5" workbookViewId="0">
      <selection activeCell="U11" sqref="U11"/>
    </sheetView>
  </sheetViews>
  <sheetFormatPr baseColWidth="10" defaultColWidth="0" defaultRowHeight="15" customHeight="1" zeroHeight="1" x14ac:dyDescent="0.2"/>
  <cols>
    <col min="1" max="1" width="11.42578125" style="378" hidden="1" customWidth="1"/>
    <col min="2" max="2" width="18.7109375" style="378" bestFit="1" customWidth="1"/>
    <col min="3" max="3" width="41.85546875" style="378" customWidth="1"/>
    <col min="4" max="4" width="27.28515625" style="378" customWidth="1"/>
    <col min="5" max="5" width="35" style="378" customWidth="1"/>
    <col min="6" max="6" width="14.140625" style="378" bestFit="1" customWidth="1"/>
    <col min="7" max="7" width="24" style="378" bestFit="1" customWidth="1"/>
    <col min="8" max="11" width="40.7109375" style="378" customWidth="1"/>
    <col min="12" max="12" width="6.7109375" style="378" bestFit="1" customWidth="1"/>
    <col min="13" max="14" width="14.5703125" style="378" customWidth="1"/>
    <col min="15" max="15" width="40.7109375" style="378" customWidth="1"/>
    <col min="16" max="16" width="19.7109375" style="378" customWidth="1"/>
    <col min="17" max="17" width="27.5703125" style="378" customWidth="1"/>
    <col min="18" max="18" width="30.7109375" style="378" customWidth="1"/>
    <col min="19" max="19" width="21" style="378" customWidth="1"/>
    <col min="20" max="20" width="18.42578125" style="378" customWidth="1"/>
    <col min="21" max="21" width="25.140625" style="378" customWidth="1"/>
    <col min="22" max="22" width="38.85546875" style="378" customWidth="1"/>
    <col min="23" max="23" width="4.42578125" style="378" customWidth="1"/>
    <col min="24" max="27" width="0" style="378" hidden="1" customWidth="1"/>
    <col min="28" max="16384" width="11.42578125" style="378" hidden="1"/>
  </cols>
  <sheetData>
    <row r="1" spans="2:23" x14ac:dyDescent="0.2"/>
    <row r="2" spans="2:23" ht="26.25" customHeight="1" x14ac:dyDescent="0.2">
      <c r="D2" s="379" t="s">
        <v>288</v>
      </c>
      <c r="E2" s="379"/>
    </row>
    <row r="3" spans="2:23" x14ac:dyDescent="0.2"/>
    <row r="4" spans="2:23" ht="20.25" x14ac:dyDescent="0.2">
      <c r="D4" s="380" t="s">
        <v>746</v>
      </c>
      <c r="E4" s="380"/>
      <c r="I4" s="499" t="s">
        <v>747</v>
      </c>
      <c r="J4" s="499"/>
      <c r="K4" s="499"/>
    </row>
    <row r="5" spans="2:23" ht="15" customHeight="1" x14ac:dyDescent="0.2">
      <c r="D5" s="381" t="s">
        <v>1476</v>
      </c>
      <c r="E5" s="381" t="s">
        <v>1477</v>
      </c>
      <c r="I5" s="499"/>
      <c r="J5" s="499"/>
      <c r="K5" s="499"/>
    </row>
    <row r="6" spans="2:23" x14ac:dyDescent="0.2">
      <c r="I6" s="499"/>
      <c r="J6" s="499"/>
      <c r="K6" s="499"/>
    </row>
    <row r="7" spans="2:23" ht="21" x14ac:dyDescent="0.2">
      <c r="D7" s="382" t="s">
        <v>748</v>
      </c>
      <c r="E7" s="683"/>
      <c r="I7" s="499"/>
      <c r="J7" s="499"/>
      <c r="K7" s="499"/>
    </row>
    <row r="8" spans="2:23" ht="29.25" customHeight="1" x14ac:dyDescent="0.2">
      <c r="I8" s="499"/>
      <c r="J8" s="499"/>
      <c r="K8" s="499"/>
    </row>
    <row r="9" spans="2:23" x14ac:dyDescent="0.2"/>
    <row r="10" spans="2:23" s="385" customFormat="1" ht="15.75" x14ac:dyDescent="0.2">
      <c r="B10" s="383" t="s">
        <v>882</v>
      </c>
      <c r="C10" s="383" t="s">
        <v>750</v>
      </c>
      <c r="D10" s="383" t="s">
        <v>751</v>
      </c>
      <c r="E10" s="384" t="s">
        <v>752</v>
      </c>
      <c r="F10" s="384" t="s">
        <v>753</v>
      </c>
      <c r="G10" s="383" t="s">
        <v>754</v>
      </c>
      <c r="H10" s="384" t="s">
        <v>745</v>
      </c>
      <c r="I10" s="384" t="s">
        <v>755</v>
      </c>
      <c r="J10" s="384" t="s">
        <v>756</v>
      </c>
      <c r="K10" s="384" t="s">
        <v>757</v>
      </c>
      <c r="L10" s="384" t="s">
        <v>758</v>
      </c>
      <c r="M10" s="384" t="s">
        <v>759</v>
      </c>
      <c r="N10" s="384" t="s">
        <v>760</v>
      </c>
      <c r="O10" s="384" t="s">
        <v>761</v>
      </c>
      <c r="P10" s="384" t="s">
        <v>762</v>
      </c>
      <c r="Q10" s="383" t="s">
        <v>763</v>
      </c>
      <c r="R10" s="384" t="s">
        <v>764</v>
      </c>
      <c r="S10" s="383" t="s">
        <v>765</v>
      </c>
      <c r="T10" s="383" t="s">
        <v>766</v>
      </c>
      <c r="U10" s="383" t="s">
        <v>767</v>
      </c>
      <c r="V10" s="383" t="s">
        <v>768</v>
      </c>
    </row>
    <row r="11" spans="2:23" ht="90" x14ac:dyDescent="0.2">
      <c r="B11" s="436" t="s">
        <v>1224</v>
      </c>
      <c r="C11" s="682" t="s">
        <v>1238</v>
      </c>
      <c r="D11" s="682" t="s">
        <v>1258</v>
      </c>
      <c r="E11" s="682"/>
      <c r="F11" s="386"/>
      <c r="G11" s="386"/>
      <c r="H11" s="387" t="s">
        <v>771</v>
      </c>
      <c r="I11" s="386" t="s">
        <v>772</v>
      </c>
      <c r="J11" s="386" t="s">
        <v>773</v>
      </c>
      <c r="K11" s="386" t="s">
        <v>774</v>
      </c>
      <c r="L11" s="386">
        <v>1</v>
      </c>
      <c r="M11" s="388"/>
      <c r="N11" s="388"/>
      <c r="O11" s="386" t="s">
        <v>775</v>
      </c>
      <c r="P11" s="438">
        <f>SUMIF(PERSONAL!H:H,PM!B11,PERSONAL!G:G)+SUMIF('ADQUISICIÓN DE ACTIVOS'!H:H,PM!B11,'ADQUISICIÓN DE ACTIVOS'!G:G)+SUMIF(PUBLICIDAD!H:H,PM!B11,PUBLICIDAD!G:G)+SUMIF('ÚTILES Y PAPELERÍA'!H:H,PM!B11,'ÚTILES Y PAPELERÍA'!G:G)+SUMIF('ESPACIOS FÍSICOS y EQUIP'!I:I,PM!B11,'ESPACIOS FÍSICOS y EQUIP'!H:H)+SUMIF(DIVERSOS!H:H,PM!B11,DIVERSOS!G:G)</f>
        <v>18731249.964000002</v>
      </c>
      <c r="Q11" s="386" t="s">
        <v>388</v>
      </c>
      <c r="R11" s="386" t="s">
        <v>776</v>
      </c>
      <c r="S11" s="386" t="s">
        <v>777</v>
      </c>
      <c r="T11" s="386"/>
      <c r="U11" s="386" t="s">
        <v>778</v>
      </c>
      <c r="V11" s="386" t="s">
        <v>456</v>
      </c>
      <c r="W11" s="442"/>
    </row>
    <row r="12" spans="2:23" ht="75" x14ac:dyDescent="0.2">
      <c r="B12" s="436" t="s">
        <v>1225</v>
      </c>
      <c r="C12" s="682"/>
      <c r="D12" s="682"/>
      <c r="E12" s="682"/>
      <c r="F12" s="386"/>
      <c r="G12" s="386"/>
      <c r="H12" s="387" t="s">
        <v>779</v>
      </c>
      <c r="I12" s="386" t="s">
        <v>780</v>
      </c>
      <c r="J12" s="386" t="s">
        <v>781</v>
      </c>
      <c r="K12" s="386" t="s">
        <v>782</v>
      </c>
      <c r="L12" s="386">
        <v>1</v>
      </c>
      <c r="M12" s="388"/>
      <c r="N12" s="388"/>
      <c r="O12" s="386" t="s">
        <v>775</v>
      </c>
      <c r="P12" s="438">
        <f>SUMIF(PERSONAL!H:H,PM!B12,PERSONAL!G:G)+SUMIF('ADQUISICIÓN DE ACTIVOS'!H:H,PM!B12,'ADQUISICIÓN DE ACTIVOS'!G:G)+SUMIF(PUBLICIDAD!H:H,PM!B12,PUBLICIDAD!G:G)+SUMIF('ÚTILES Y PAPELERÍA'!H:H,PM!B12,'ÚTILES Y PAPELERÍA'!G:G)+SUMIF('ESPACIOS FÍSICOS y EQUIP'!I:I,PM!B12,'ESPACIOS FÍSICOS y EQUIP'!H:H)+SUMIF(DIVERSOS!H:H,PM!B12,DIVERSOS!G:G)</f>
        <v>4052170.62</v>
      </c>
      <c r="Q12" s="386" t="s">
        <v>388</v>
      </c>
      <c r="R12" s="386" t="s">
        <v>776</v>
      </c>
      <c r="S12" s="386" t="s">
        <v>777</v>
      </c>
      <c r="T12" s="386"/>
      <c r="U12" s="386"/>
      <c r="V12" s="386"/>
      <c r="W12" s="442"/>
    </row>
    <row r="13" spans="2:23" ht="75" x14ac:dyDescent="0.2">
      <c r="B13" s="436" t="s">
        <v>1226</v>
      </c>
      <c r="C13" s="682"/>
      <c r="D13" s="682"/>
      <c r="E13" s="682"/>
      <c r="F13" s="386"/>
      <c r="G13" s="386"/>
      <c r="H13" s="387" t="s">
        <v>784</v>
      </c>
      <c r="I13" s="386" t="s">
        <v>785</v>
      </c>
      <c r="J13" s="386" t="s">
        <v>1234</v>
      </c>
      <c r="K13" s="386" t="s">
        <v>786</v>
      </c>
      <c r="L13" s="386">
        <v>1</v>
      </c>
      <c r="M13" s="388"/>
      <c r="N13" s="388"/>
      <c r="O13" s="386" t="s">
        <v>775</v>
      </c>
      <c r="P13" s="438">
        <f>SUMIF(PERSONAL!H:H,PM!B13,PERSONAL!G:G)+SUMIF('ADQUISICIÓN DE ACTIVOS'!H:H,PM!B13,'ADQUISICIÓN DE ACTIVOS'!G:G)+SUMIF(PUBLICIDAD!H:H,PM!B13,PUBLICIDAD!G:G)+SUMIF('ÚTILES Y PAPELERÍA'!H:H,PM!B13,'ÚTILES Y PAPELERÍA'!G:G)+SUMIF('ESPACIOS FÍSICOS y EQUIP'!I:I,PM!B13,'ESPACIOS FÍSICOS y EQUIP'!H:H)+SUMIF(DIVERSOS!H:H,PM!B13,DIVERSOS!G:G)</f>
        <v>0</v>
      </c>
      <c r="Q13" s="386" t="s">
        <v>388</v>
      </c>
      <c r="R13" s="386" t="s">
        <v>776</v>
      </c>
      <c r="S13" s="386" t="s">
        <v>777</v>
      </c>
      <c r="T13" s="386"/>
      <c r="U13" s="386"/>
      <c r="V13" s="386"/>
      <c r="W13" s="442"/>
    </row>
    <row r="14" spans="2:23" x14ac:dyDescent="0.2">
      <c r="B14" s="436" t="s">
        <v>1227</v>
      </c>
      <c r="C14" s="682"/>
      <c r="D14" s="682"/>
      <c r="E14" s="682"/>
      <c r="F14" s="386"/>
      <c r="G14" s="386"/>
      <c r="H14" s="386"/>
      <c r="I14" s="386"/>
      <c r="J14" s="386"/>
      <c r="K14" s="386"/>
      <c r="L14" s="386"/>
      <c r="M14" s="388"/>
      <c r="N14" s="388"/>
      <c r="O14" s="386"/>
      <c r="P14" s="438">
        <f>SUMIF(PERSONAL!H:H,PM!B14,PERSONAL!G:G)+SUMIF('ADQUISICIÓN DE ACTIVOS'!H:H,PM!B14,'ADQUISICIÓN DE ACTIVOS'!G:G)+SUMIF(PUBLICIDAD!H:H,PM!B14,PUBLICIDAD!G:G)+SUMIF('ÚTILES Y PAPELERÍA'!H:H,PM!B14,'ÚTILES Y PAPELERÍA'!G:G)+SUMIF('ESPACIOS FÍSICOS y EQUIP'!I:I,PM!B14,'ESPACIOS FÍSICOS y EQUIP'!H:H)+SUMIF(DIVERSOS!H:H,PM!B14,DIVERSOS!G:G)</f>
        <v>0</v>
      </c>
      <c r="Q14" s="386"/>
      <c r="R14" s="386"/>
      <c r="S14" s="386"/>
      <c r="T14" s="386"/>
      <c r="U14" s="386"/>
      <c r="V14" s="386"/>
      <c r="W14" s="442"/>
    </row>
    <row r="15" spans="2:23" x14ac:dyDescent="0.2">
      <c r="B15" s="436" t="s">
        <v>1228</v>
      </c>
      <c r="C15" s="682"/>
      <c r="D15" s="682"/>
      <c r="E15" s="682"/>
      <c r="F15" s="386"/>
      <c r="G15" s="386"/>
      <c r="H15" s="386"/>
      <c r="I15" s="490"/>
      <c r="J15" s="386"/>
      <c r="K15" s="386"/>
      <c r="L15" s="386"/>
      <c r="M15" s="388"/>
      <c r="N15" s="388"/>
      <c r="O15" s="386"/>
      <c r="P15" s="438">
        <f>SUMIF(PERSONAL!H:H,PM!B15,PERSONAL!G:G)+SUMIF('ADQUISICIÓN DE ACTIVOS'!H:H,PM!B15,'ADQUISICIÓN DE ACTIVOS'!G:G)+SUMIF(PUBLICIDAD!H:H,PM!B15,PUBLICIDAD!G:G)+SUMIF('ÚTILES Y PAPELERÍA'!H:H,PM!B15,'ÚTILES Y PAPELERÍA'!G:G)+SUMIF('ESPACIOS FÍSICOS y EQUIP'!I:I,PM!B15,'ESPACIOS FÍSICOS y EQUIP'!H:H)+SUMIF(DIVERSOS!H:H,PM!B15,DIVERSOS!G:G)</f>
        <v>0</v>
      </c>
      <c r="Q15" s="386"/>
      <c r="R15" s="386"/>
      <c r="S15" s="386"/>
      <c r="T15" s="386"/>
      <c r="U15" s="386"/>
      <c r="V15" s="386"/>
      <c r="W15" s="442"/>
    </row>
    <row r="16" spans="2:23" x14ac:dyDescent="0.2">
      <c r="B16" s="436" t="s">
        <v>1229</v>
      </c>
      <c r="C16" s="682"/>
      <c r="D16" s="682"/>
      <c r="E16" s="682"/>
      <c r="F16" s="386"/>
      <c r="G16" s="386"/>
      <c r="H16" s="386"/>
      <c r="I16" s="386"/>
      <c r="J16" s="386"/>
      <c r="K16" s="386"/>
      <c r="L16" s="386"/>
      <c r="M16" s="388"/>
      <c r="N16" s="388"/>
      <c r="O16" s="386"/>
      <c r="P16" s="438">
        <f>SUMIF(PERSONAL!H:H,PM!B16,PERSONAL!G:G)+SUMIF('ADQUISICIÓN DE ACTIVOS'!H:H,PM!B16,'ADQUISICIÓN DE ACTIVOS'!G:G)+SUMIF(PUBLICIDAD!H:H,PM!B16,PUBLICIDAD!G:G)+SUMIF('ÚTILES Y PAPELERÍA'!H:H,PM!B16,'ÚTILES Y PAPELERÍA'!G:G)+SUMIF('ESPACIOS FÍSICOS y EQUIP'!I:I,PM!B16,'ESPACIOS FÍSICOS y EQUIP'!H:H)+SUMIF(DIVERSOS!H:H,PM!B16,DIVERSOS!G:G)</f>
        <v>0</v>
      </c>
      <c r="Q16" s="386"/>
      <c r="R16" s="386"/>
      <c r="S16" s="386"/>
      <c r="T16" s="386"/>
      <c r="U16" s="386"/>
      <c r="V16" s="386"/>
      <c r="W16" s="442"/>
    </row>
    <row r="17" spans="2:23" x14ac:dyDescent="0.2">
      <c r="B17" s="436" t="s">
        <v>1230</v>
      </c>
      <c r="C17" s="682"/>
      <c r="D17" s="682"/>
      <c r="E17" s="682"/>
      <c r="F17" s="386"/>
      <c r="G17" s="386"/>
      <c r="H17" s="491"/>
      <c r="I17" s="386"/>
      <c r="J17" s="386"/>
      <c r="K17" s="386"/>
      <c r="L17" s="386"/>
      <c r="M17" s="388"/>
      <c r="N17" s="388"/>
      <c r="O17" s="386"/>
      <c r="P17" s="438">
        <f>SUMIF(PERSONAL!H:H,PM!B17,PERSONAL!G:G)+SUMIF('ADQUISICIÓN DE ACTIVOS'!H:H,PM!B17,'ADQUISICIÓN DE ACTIVOS'!G:G)+SUMIF(PUBLICIDAD!H:H,PM!B17,PUBLICIDAD!G:G)+SUMIF('ÚTILES Y PAPELERÍA'!H:H,PM!B17,'ÚTILES Y PAPELERÍA'!G:G)+SUMIF('ESPACIOS FÍSICOS y EQUIP'!I:I,PM!B17,'ESPACIOS FÍSICOS y EQUIP'!H:H)+SUMIF(DIVERSOS!H:H,PM!B17,DIVERSOS!G:G)</f>
        <v>0</v>
      </c>
      <c r="Q17" s="386"/>
      <c r="R17" s="386"/>
      <c r="S17" s="386"/>
      <c r="T17" s="386"/>
      <c r="U17" s="386"/>
      <c r="V17" s="386"/>
      <c r="W17" s="442"/>
    </row>
    <row r="18" spans="2:23" x14ac:dyDescent="0.2">
      <c r="B18" s="436" t="s">
        <v>1231</v>
      </c>
      <c r="C18" s="682"/>
      <c r="D18" s="682"/>
      <c r="E18" s="682"/>
      <c r="F18" s="386"/>
      <c r="G18" s="386"/>
      <c r="H18" s="386"/>
      <c r="I18" s="386"/>
      <c r="J18" s="386"/>
      <c r="K18" s="386"/>
      <c r="L18" s="386"/>
      <c r="M18" s="388"/>
      <c r="N18" s="388"/>
      <c r="O18" s="386"/>
      <c r="P18" s="438">
        <f>SUMIF(PERSONAL!H:H,PM!B18,PERSONAL!G:G)+SUMIF('ADQUISICIÓN DE ACTIVOS'!H:H,PM!B18,'ADQUISICIÓN DE ACTIVOS'!G:G)+SUMIF(PUBLICIDAD!H:H,PM!B18,PUBLICIDAD!G:G)+SUMIF('ÚTILES Y PAPELERÍA'!H:H,PM!B18,'ÚTILES Y PAPELERÍA'!G:G)+SUMIF('ESPACIOS FÍSICOS y EQUIP'!I:I,PM!B18,'ESPACIOS FÍSICOS y EQUIP'!H:H)+SUMIF(DIVERSOS!H:H,PM!B18,DIVERSOS!G:G)</f>
        <v>0</v>
      </c>
      <c r="Q18" s="386"/>
      <c r="R18" s="386"/>
      <c r="S18" s="386"/>
      <c r="T18" s="386"/>
      <c r="U18" s="386"/>
      <c r="V18" s="386"/>
      <c r="W18" s="442"/>
    </row>
    <row r="19" spans="2:23" x14ac:dyDescent="0.2">
      <c r="B19" s="436" t="s">
        <v>1232</v>
      </c>
      <c r="C19" s="682"/>
      <c r="D19" s="682"/>
      <c r="E19" s="682"/>
      <c r="F19" s="386"/>
      <c r="G19" s="386"/>
      <c r="H19" s="386"/>
      <c r="I19" s="386"/>
      <c r="J19" s="386"/>
      <c r="K19" s="386"/>
      <c r="L19" s="386"/>
      <c r="M19" s="388"/>
      <c r="N19" s="388"/>
      <c r="O19" s="386"/>
      <c r="P19" s="438">
        <f>SUMIF(PERSONAL!H:H,PM!B19,PERSONAL!G:G)+SUMIF('ADQUISICIÓN DE ACTIVOS'!H:H,PM!B19,'ADQUISICIÓN DE ACTIVOS'!G:G)+SUMIF(PUBLICIDAD!H:H,PM!B19,PUBLICIDAD!G:G)+SUMIF('ÚTILES Y PAPELERÍA'!H:H,PM!B19,'ÚTILES Y PAPELERÍA'!G:G)+SUMIF('ESPACIOS FÍSICOS y EQUIP'!I:I,PM!B19,'ESPACIOS FÍSICOS y EQUIP'!H:H)+SUMIF(DIVERSOS!H:H,PM!B19,DIVERSOS!G:G)</f>
        <v>0</v>
      </c>
      <c r="Q19" s="386"/>
      <c r="R19" s="386"/>
      <c r="S19" s="386"/>
      <c r="T19" s="386"/>
      <c r="U19" s="386"/>
      <c r="V19" s="386"/>
      <c r="W19" s="442"/>
    </row>
    <row r="20" spans="2:23" x14ac:dyDescent="0.2">
      <c r="B20" s="436" t="s">
        <v>1233</v>
      </c>
      <c r="C20" s="682"/>
      <c r="D20" s="682"/>
      <c r="E20" s="682"/>
      <c r="F20" s="386"/>
      <c r="G20" s="386"/>
      <c r="H20" s="386"/>
      <c r="I20" s="492"/>
      <c r="J20" s="386"/>
      <c r="K20" s="386"/>
      <c r="L20" s="386"/>
      <c r="M20" s="388"/>
      <c r="N20" s="388"/>
      <c r="O20" s="386"/>
      <c r="P20" s="438">
        <f>SUMIF(PERSONAL!H:H,PM!B20,PERSONAL!G:G)+SUMIF('ADQUISICIÓN DE ACTIVOS'!H:H,PM!B20,'ADQUISICIÓN DE ACTIVOS'!G:G)+SUMIF(PUBLICIDAD!H:H,PM!B20,PUBLICIDAD!G:G)+SUMIF('ÚTILES Y PAPELERÍA'!H:H,PM!B20,'ÚTILES Y PAPELERÍA'!G:G)+SUMIF('ESPACIOS FÍSICOS y EQUIP'!I:I,PM!B20,'ESPACIOS FÍSICOS y EQUIP'!H:H)+SUMIF(DIVERSOS!H:H,PM!B20,DIVERSOS!G:G)</f>
        <v>0</v>
      </c>
      <c r="Q20" s="386"/>
      <c r="R20" s="386"/>
      <c r="S20" s="386"/>
      <c r="T20" s="386"/>
      <c r="U20" s="386"/>
      <c r="V20" s="386"/>
      <c r="W20" s="442"/>
    </row>
    <row r="21" spans="2:23" x14ac:dyDescent="0.2">
      <c r="B21" s="436"/>
      <c r="C21" s="682"/>
      <c r="D21" s="682"/>
      <c r="E21" s="682"/>
      <c r="F21" s="386"/>
      <c r="G21" s="386"/>
      <c r="H21" s="386"/>
      <c r="I21" s="386"/>
      <c r="J21" s="386"/>
      <c r="K21" s="386"/>
      <c r="L21" s="386"/>
      <c r="M21" s="388"/>
      <c r="N21" s="388"/>
      <c r="O21" s="386"/>
      <c r="P21" s="438">
        <f>SUMIF(PERSONAL!H:H,PM!B21,PERSONAL!G:G)+SUMIF('ADQUISICIÓN DE ACTIVOS'!H:H,PM!B21,'ADQUISICIÓN DE ACTIVOS'!G:G)+SUMIF(PUBLICIDAD!H:H,PM!B21,PUBLICIDAD!G:G)+SUMIF('ÚTILES Y PAPELERÍA'!H:H,PM!B21,'ÚTILES Y PAPELERÍA'!G:G)+SUMIF('ESPACIOS FÍSICOS y EQUIP'!I:I,PM!B21,'ESPACIOS FÍSICOS y EQUIP'!H:H)+SUMIF(DIVERSOS!H:H,PM!B21,DIVERSOS!G:G)</f>
        <v>0</v>
      </c>
      <c r="Q21" s="386"/>
      <c r="R21" s="386"/>
      <c r="S21" s="386"/>
      <c r="T21" s="386"/>
      <c r="U21" s="386"/>
      <c r="V21" s="386"/>
      <c r="W21" s="442"/>
    </row>
    <row r="22" spans="2:23" x14ac:dyDescent="0.2">
      <c r="B22" s="436"/>
      <c r="C22" s="682"/>
      <c r="D22" s="682"/>
      <c r="E22" s="682"/>
      <c r="F22" s="386"/>
      <c r="G22" s="386"/>
      <c r="H22" s="386"/>
      <c r="I22" s="386"/>
      <c r="J22" s="386"/>
      <c r="K22" s="386"/>
      <c r="L22" s="386"/>
      <c r="M22" s="388"/>
      <c r="N22" s="388"/>
      <c r="O22" s="386"/>
      <c r="P22" s="438">
        <f>SUMIF(PERSONAL!H:H,PM!B22,PERSONAL!G:G)+SUMIF('ADQUISICIÓN DE ACTIVOS'!H:H,PM!B22,'ADQUISICIÓN DE ACTIVOS'!G:G)+SUMIF(PUBLICIDAD!H:H,PM!B22,PUBLICIDAD!G:G)+SUMIF('ÚTILES Y PAPELERÍA'!H:H,PM!B22,'ÚTILES Y PAPELERÍA'!G:G)+SUMIF('ESPACIOS FÍSICOS y EQUIP'!I:I,PM!B22,'ESPACIOS FÍSICOS y EQUIP'!H:H)+SUMIF(DIVERSOS!H:H,PM!B22,DIVERSOS!G:G)</f>
        <v>0</v>
      </c>
      <c r="Q22" s="386"/>
      <c r="R22" s="386"/>
      <c r="S22" s="386"/>
      <c r="T22" s="386"/>
      <c r="U22" s="386"/>
      <c r="V22" s="386"/>
      <c r="W22" s="442"/>
    </row>
    <row r="23" spans="2:23" x14ac:dyDescent="0.2">
      <c r="B23" s="436"/>
      <c r="C23" s="682"/>
      <c r="D23" s="682"/>
      <c r="E23" s="682"/>
      <c r="F23" s="386"/>
      <c r="G23" s="386"/>
      <c r="H23" s="386"/>
      <c r="I23" s="386"/>
      <c r="J23" s="386"/>
      <c r="K23" s="386"/>
      <c r="L23" s="386"/>
      <c r="M23" s="388"/>
      <c r="N23" s="388"/>
      <c r="O23" s="386"/>
      <c r="P23" s="438">
        <f>SUMIF(PERSONAL!H:H,PM!B23,PERSONAL!G:G)+SUMIF('ADQUISICIÓN DE ACTIVOS'!H:H,PM!B23,'ADQUISICIÓN DE ACTIVOS'!G:G)+SUMIF(PUBLICIDAD!H:H,PM!B23,PUBLICIDAD!G:G)+SUMIF('ÚTILES Y PAPELERÍA'!H:H,PM!B23,'ÚTILES Y PAPELERÍA'!G:G)+SUMIF('ESPACIOS FÍSICOS y EQUIP'!I:I,PM!B23,'ESPACIOS FÍSICOS y EQUIP'!H:H)+SUMIF(DIVERSOS!H:H,PM!B23,DIVERSOS!G:G)</f>
        <v>0</v>
      </c>
      <c r="Q23" s="386"/>
      <c r="R23" s="386"/>
      <c r="S23" s="386"/>
      <c r="T23" s="386"/>
      <c r="U23" s="386"/>
      <c r="V23" s="386"/>
      <c r="W23" s="442"/>
    </row>
    <row r="24" spans="2:23" x14ac:dyDescent="0.2">
      <c r="B24" s="436"/>
      <c r="C24" s="682"/>
      <c r="D24" s="682"/>
      <c r="E24" s="682"/>
      <c r="F24" s="386"/>
      <c r="G24" s="386"/>
      <c r="H24" s="386"/>
      <c r="I24" s="386"/>
      <c r="J24" s="386"/>
      <c r="K24" s="386"/>
      <c r="L24" s="386"/>
      <c r="M24" s="388"/>
      <c r="N24" s="388"/>
      <c r="O24" s="386"/>
      <c r="P24" s="438">
        <f>SUMIF(PERSONAL!H:H,PM!B24,PERSONAL!G:G)+SUMIF('ADQUISICIÓN DE ACTIVOS'!H:H,PM!B24,'ADQUISICIÓN DE ACTIVOS'!G:G)+SUMIF(PUBLICIDAD!H:H,PM!B24,PUBLICIDAD!G:G)+SUMIF('ÚTILES Y PAPELERÍA'!H:H,PM!B24,'ÚTILES Y PAPELERÍA'!G:G)+SUMIF('ESPACIOS FÍSICOS y EQUIP'!I:I,PM!B24,'ESPACIOS FÍSICOS y EQUIP'!H:H)+SUMIF(DIVERSOS!H:H,PM!B24,DIVERSOS!G:G)</f>
        <v>0</v>
      </c>
      <c r="Q24" s="386"/>
      <c r="R24" s="386"/>
      <c r="S24" s="386"/>
      <c r="T24" s="386"/>
      <c r="U24" s="386"/>
      <c r="V24" s="386"/>
      <c r="W24" s="442"/>
    </row>
    <row r="25" spans="2:23" x14ac:dyDescent="0.2">
      <c r="B25" s="436"/>
      <c r="C25" s="682"/>
      <c r="D25" s="682"/>
      <c r="E25" s="682"/>
      <c r="F25" s="386"/>
      <c r="G25" s="386"/>
      <c r="H25" s="386"/>
      <c r="I25" s="386"/>
      <c r="J25" s="386"/>
      <c r="K25" s="386"/>
      <c r="L25" s="386"/>
      <c r="M25" s="388"/>
      <c r="N25" s="388"/>
      <c r="O25" s="386"/>
      <c r="P25" s="438">
        <f>SUMIF(PERSONAL!H:H,PM!B25,PERSONAL!G:G)+SUMIF('ADQUISICIÓN DE ACTIVOS'!H:H,PM!B25,'ADQUISICIÓN DE ACTIVOS'!G:G)+SUMIF(PUBLICIDAD!H:H,PM!B25,PUBLICIDAD!G:G)+SUMIF('ÚTILES Y PAPELERÍA'!H:H,PM!B25,'ÚTILES Y PAPELERÍA'!G:G)+SUMIF('ESPACIOS FÍSICOS y EQUIP'!I:I,PM!B25,'ESPACIOS FÍSICOS y EQUIP'!H:H)+SUMIF(DIVERSOS!H:H,PM!B25,DIVERSOS!G:G)</f>
        <v>0</v>
      </c>
      <c r="Q25" s="386"/>
      <c r="R25" s="386"/>
      <c r="S25" s="386"/>
      <c r="T25" s="386"/>
      <c r="U25" s="386"/>
      <c r="V25" s="386"/>
      <c r="W25" s="442"/>
    </row>
    <row r="26" spans="2:23" x14ac:dyDescent="0.2">
      <c r="B26" s="436"/>
      <c r="C26" s="682"/>
      <c r="D26" s="682"/>
      <c r="E26" s="682"/>
      <c r="F26" s="386"/>
      <c r="G26" s="386"/>
      <c r="H26" s="386"/>
      <c r="I26" s="386"/>
      <c r="J26" s="386"/>
      <c r="K26" s="386"/>
      <c r="L26" s="386"/>
      <c r="M26" s="388"/>
      <c r="N26" s="388"/>
      <c r="O26" s="386"/>
      <c r="P26" s="438">
        <f>SUMIF(PERSONAL!H:H,PM!B26,PERSONAL!G:G)+SUMIF('ADQUISICIÓN DE ACTIVOS'!H:H,PM!B26,'ADQUISICIÓN DE ACTIVOS'!G:G)+SUMIF(PUBLICIDAD!H:H,PM!B26,PUBLICIDAD!G:G)+SUMIF('ÚTILES Y PAPELERÍA'!H:H,PM!B26,'ÚTILES Y PAPELERÍA'!G:G)+SUMIF('ESPACIOS FÍSICOS y EQUIP'!I:I,PM!B26,'ESPACIOS FÍSICOS y EQUIP'!H:H)+SUMIF(DIVERSOS!H:H,PM!B26,DIVERSOS!G:G)</f>
        <v>0</v>
      </c>
      <c r="Q26" s="386"/>
      <c r="R26" s="386"/>
      <c r="S26" s="386"/>
      <c r="T26" s="386"/>
      <c r="U26" s="386"/>
      <c r="V26" s="386"/>
      <c r="W26" s="442"/>
    </row>
    <row r="27" spans="2:23" x14ac:dyDescent="0.2">
      <c r="B27" s="436"/>
      <c r="C27" s="682"/>
      <c r="D27" s="682"/>
      <c r="E27" s="682"/>
      <c r="F27" s="386"/>
      <c r="G27" s="386"/>
      <c r="H27" s="386"/>
      <c r="I27" s="386"/>
      <c r="J27" s="386"/>
      <c r="K27" s="386"/>
      <c r="L27" s="386"/>
      <c r="M27" s="388"/>
      <c r="N27" s="388"/>
      <c r="O27" s="386"/>
      <c r="P27" s="438">
        <f>SUMIF(PERSONAL!H:H,PM!B27,PERSONAL!G:G)+SUMIF('ADQUISICIÓN DE ACTIVOS'!H:H,PM!B27,'ADQUISICIÓN DE ACTIVOS'!G:G)+SUMIF(PUBLICIDAD!H:H,PM!B27,PUBLICIDAD!G:G)+SUMIF('ÚTILES Y PAPELERÍA'!H:H,PM!B27,'ÚTILES Y PAPELERÍA'!G:G)+SUMIF('ESPACIOS FÍSICOS y EQUIP'!I:I,PM!B27,'ESPACIOS FÍSICOS y EQUIP'!H:H)+SUMIF(DIVERSOS!H:H,PM!B27,DIVERSOS!G:G)</f>
        <v>0</v>
      </c>
      <c r="Q27" s="386"/>
      <c r="R27" s="386"/>
      <c r="S27" s="386"/>
      <c r="T27" s="386"/>
      <c r="U27" s="386"/>
      <c r="V27" s="386"/>
      <c r="W27" s="442"/>
    </row>
    <row r="28" spans="2:23" x14ac:dyDescent="0.2">
      <c r="B28" s="436"/>
      <c r="C28" s="682"/>
      <c r="D28" s="682"/>
      <c r="E28" s="682"/>
      <c r="F28" s="386"/>
      <c r="G28" s="386"/>
      <c r="H28" s="386"/>
      <c r="I28" s="386"/>
      <c r="J28" s="386"/>
      <c r="K28" s="386"/>
      <c r="L28" s="386"/>
      <c r="M28" s="388"/>
      <c r="N28" s="388"/>
      <c r="O28" s="386"/>
      <c r="P28" s="438">
        <f>SUMIF(PERSONAL!H:H,PM!B28,PERSONAL!G:G)+SUMIF('ADQUISICIÓN DE ACTIVOS'!H:H,PM!B28,'ADQUISICIÓN DE ACTIVOS'!G:G)+SUMIF(PUBLICIDAD!H:H,PM!B28,PUBLICIDAD!G:G)+SUMIF('ÚTILES Y PAPELERÍA'!H:H,PM!B28,'ÚTILES Y PAPELERÍA'!G:G)+SUMIF('ESPACIOS FÍSICOS y EQUIP'!I:I,PM!B28,'ESPACIOS FÍSICOS y EQUIP'!H:H)+SUMIF(DIVERSOS!H:H,PM!B28,DIVERSOS!G:G)</f>
        <v>0</v>
      </c>
      <c r="Q28" s="386"/>
      <c r="R28" s="386"/>
      <c r="S28" s="386"/>
      <c r="T28" s="386"/>
      <c r="U28" s="386"/>
      <c r="V28" s="386"/>
      <c r="W28" s="442"/>
    </row>
    <row r="29" spans="2:23" x14ac:dyDescent="0.2">
      <c r="B29" s="436"/>
      <c r="C29" s="682"/>
      <c r="D29" s="682"/>
      <c r="E29" s="682"/>
      <c r="F29" s="386"/>
      <c r="G29" s="386"/>
      <c r="H29" s="440"/>
      <c r="I29" s="441"/>
      <c r="J29" s="387"/>
      <c r="K29" s="441"/>
      <c r="L29" s="387"/>
      <c r="M29" s="388"/>
      <c r="N29" s="388"/>
      <c r="O29" s="386"/>
      <c r="P29" s="438">
        <f>SUMIF(PERSONAL!H:H,PM!B29,PERSONAL!G:G)+SUMIF('ADQUISICIÓN DE ACTIVOS'!H:H,PM!B29,'ADQUISICIÓN DE ACTIVOS'!G:G)+SUMIF(PUBLICIDAD!H:H,PM!B29,PUBLICIDAD!G:G)+SUMIF('ÚTILES Y PAPELERÍA'!H:H,PM!B29,'ÚTILES Y PAPELERÍA'!G:G)+SUMIF('ESPACIOS FÍSICOS y EQUIP'!I:I,PM!B29,'ESPACIOS FÍSICOS y EQUIP'!H:H)+SUMIF(DIVERSOS!H:H,PM!B29,DIVERSOS!G:G)</f>
        <v>0</v>
      </c>
      <c r="Q29" s="386"/>
      <c r="R29" s="386"/>
      <c r="S29" s="386"/>
      <c r="T29" s="386"/>
      <c r="U29" s="386"/>
      <c r="V29" s="386"/>
      <c r="W29" s="442"/>
    </row>
    <row r="30" spans="2:23" x14ac:dyDescent="0.2">
      <c r="C30" s="680"/>
      <c r="D30" s="680"/>
      <c r="E30" s="680"/>
      <c r="G30" s="386"/>
    </row>
    <row r="31" spans="2:23" x14ac:dyDescent="0.2">
      <c r="C31" s="680"/>
      <c r="D31" s="680"/>
      <c r="E31" s="680"/>
      <c r="G31" s="386"/>
    </row>
    <row r="32" spans="2:23" x14ac:dyDescent="0.2">
      <c r="C32" s="680"/>
      <c r="D32" s="680"/>
      <c r="E32" s="680"/>
      <c r="G32" s="386"/>
    </row>
    <row r="33" spans="3:7" x14ac:dyDescent="0.2">
      <c r="C33" s="680"/>
      <c r="D33" s="680"/>
      <c r="E33" s="680"/>
      <c r="G33" s="386"/>
    </row>
    <row r="34" spans="3:7" x14ac:dyDescent="0.2">
      <c r="C34" s="680"/>
      <c r="D34" s="680"/>
      <c r="E34" s="680"/>
      <c r="G34" s="386"/>
    </row>
    <row r="35" spans="3:7" x14ac:dyDescent="0.2">
      <c r="C35" s="680"/>
      <c r="D35" s="680"/>
      <c r="E35" s="680"/>
      <c r="G35" s="386"/>
    </row>
    <row r="36" spans="3:7" x14ac:dyDescent="0.2">
      <c r="C36" s="680"/>
      <c r="D36" s="680"/>
      <c r="E36" s="680"/>
      <c r="G36" s="386"/>
    </row>
    <row r="37" spans="3:7" x14ac:dyDescent="0.2">
      <c r="C37" s="680"/>
      <c r="D37" s="680"/>
      <c r="E37" s="680"/>
      <c r="G37" s="386"/>
    </row>
    <row r="38" spans="3:7" x14ac:dyDescent="0.2">
      <c r="C38" s="680"/>
      <c r="D38" s="680"/>
      <c r="E38" s="680"/>
      <c r="G38" s="386"/>
    </row>
    <row r="39" spans="3:7" x14ac:dyDescent="0.2">
      <c r="C39" s="680"/>
      <c r="D39" s="680"/>
      <c r="E39" s="680"/>
      <c r="G39" s="386"/>
    </row>
    <row r="40" spans="3:7" x14ac:dyDescent="0.2">
      <c r="C40" s="680"/>
      <c r="D40" s="680"/>
      <c r="E40" s="680"/>
      <c r="G40" s="386"/>
    </row>
    <row r="41" spans="3:7" x14ac:dyDescent="0.2">
      <c r="C41" s="681"/>
      <c r="D41" s="681"/>
      <c r="E41" s="681"/>
    </row>
    <row r="42" spans="3:7" x14ac:dyDescent="0.2">
      <c r="C42" s="681"/>
      <c r="D42" s="681"/>
      <c r="E42" s="681"/>
    </row>
    <row r="43" spans="3:7" x14ac:dyDescent="0.2">
      <c r="C43" s="681"/>
      <c r="D43" s="681"/>
      <c r="E43" s="681"/>
    </row>
    <row r="44" spans="3:7" x14ac:dyDescent="0.2">
      <c r="C44" s="681"/>
      <c r="D44" s="681"/>
      <c r="E44" s="681"/>
    </row>
    <row r="45" spans="3:7" x14ac:dyDescent="0.2">
      <c r="C45" s="681"/>
      <c r="D45" s="681"/>
      <c r="E45" s="681"/>
    </row>
    <row r="46" spans="3:7" x14ac:dyDescent="0.2">
      <c r="C46" s="681"/>
      <c r="D46" s="681"/>
      <c r="E46" s="681"/>
    </row>
    <row r="47" spans="3:7" x14ac:dyDescent="0.2">
      <c r="C47" s="681"/>
      <c r="D47" s="681"/>
      <c r="E47" s="681"/>
    </row>
    <row r="48" spans="3:7" x14ac:dyDescent="0.2">
      <c r="C48" s="681"/>
      <c r="D48" s="681"/>
      <c r="E48" s="681"/>
    </row>
    <row r="49" spans="3:5" x14ac:dyDescent="0.2">
      <c r="C49" s="681"/>
      <c r="D49" s="681"/>
      <c r="E49" s="681"/>
    </row>
    <row r="50" spans="3:5" x14ac:dyDescent="0.2">
      <c r="C50" s="681"/>
      <c r="D50" s="681"/>
      <c r="E50" s="681"/>
    </row>
    <row r="51" spans="3:5" x14ac:dyDescent="0.2">
      <c r="C51" s="681"/>
      <c r="D51" s="681"/>
      <c r="E51" s="681"/>
    </row>
    <row r="52" spans="3:5" x14ac:dyDescent="0.2">
      <c r="C52" s="681"/>
      <c r="D52" s="681"/>
      <c r="E52" s="681"/>
    </row>
    <row r="53" spans="3:5" ht="15" customHeight="1" x14ac:dyDescent="0.2">
      <c r="C53" s="681"/>
      <c r="D53" s="681"/>
      <c r="E53" s="681"/>
    </row>
    <row r="54" spans="3:5" ht="15" customHeight="1" x14ac:dyDescent="0.2">
      <c r="C54" s="681"/>
      <c r="D54" s="681"/>
      <c r="E54" s="681"/>
    </row>
    <row r="55" spans="3:5" ht="15" customHeight="1" x14ac:dyDescent="0.2">
      <c r="C55" s="681"/>
      <c r="D55" s="681"/>
      <c r="E55" s="681"/>
    </row>
    <row r="56" spans="3:5" ht="15" customHeight="1" x14ac:dyDescent="0.2">
      <c r="C56" s="681"/>
      <c r="D56" s="681"/>
      <c r="E56" s="681"/>
    </row>
    <row r="57" spans="3:5" ht="15" customHeight="1" x14ac:dyDescent="0.2">
      <c r="C57" s="681"/>
      <c r="D57" s="681"/>
      <c r="E57" s="681"/>
    </row>
    <row r="58" spans="3:5" ht="15" customHeight="1" x14ac:dyDescent="0.2">
      <c r="C58" s="681"/>
      <c r="D58" s="681"/>
      <c r="E58" s="681"/>
    </row>
    <row r="59" spans="3:5" ht="15" customHeight="1" x14ac:dyDescent="0.2">
      <c r="C59" s="681"/>
      <c r="D59" s="681"/>
      <c r="E59" s="681"/>
    </row>
    <row r="60" spans="3:5" ht="15" customHeight="1" x14ac:dyDescent="0.2">
      <c r="C60" s="681"/>
      <c r="D60" s="681"/>
      <c r="E60" s="681"/>
    </row>
    <row r="61" spans="3:5" ht="15" customHeight="1" x14ac:dyDescent="0.2">
      <c r="C61" s="681"/>
      <c r="D61" s="681"/>
      <c r="E61" s="681"/>
    </row>
    <row r="62" spans="3:5" ht="15" customHeight="1" x14ac:dyDescent="0.2">
      <c r="C62" s="681"/>
      <c r="D62" s="681"/>
      <c r="E62" s="681"/>
    </row>
    <row r="63" spans="3:5" ht="15" customHeight="1" x14ac:dyDescent="0.2">
      <c r="C63" s="681"/>
      <c r="D63" s="681"/>
      <c r="E63" s="681"/>
    </row>
    <row r="64" spans="3:5" ht="15" customHeight="1" x14ac:dyDescent="0.2">
      <c r="C64" s="681"/>
      <c r="D64" s="681"/>
      <c r="E64" s="681"/>
    </row>
    <row r="65" spans="3:5" ht="15" customHeight="1" x14ac:dyDescent="0.2">
      <c r="C65" s="681"/>
      <c r="D65" s="681"/>
      <c r="E65" s="681"/>
    </row>
    <row r="66" spans="3:5" ht="15" customHeight="1" x14ac:dyDescent="0.2">
      <c r="C66" s="681"/>
      <c r="D66" s="681"/>
      <c r="E66" s="681"/>
    </row>
    <row r="67" spans="3:5" ht="15" customHeight="1" x14ac:dyDescent="0.2">
      <c r="C67" s="681"/>
      <c r="D67" s="681"/>
      <c r="E67" s="681"/>
    </row>
    <row r="68" spans="3:5" ht="15" customHeight="1" x14ac:dyDescent="0.2">
      <c r="C68" s="681"/>
      <c r="D68" s="681"/>
      <c r="E68" s="681"/>
    </row>
    <row r="69" spans="3:5" ht="15" customHeight="1" x14ac:dyDescent="0.2">
      <c r="C69" s="681"/>
      <c r="D69" s="681"/>
      <c r="E69" s="681"/>
    </row>
    <row r="70" spans="3:5" ht="15" customHeight="1" x14ac:dyDescent="0.2">
      <c r="C70" s="681"/>
      <c r="D70" s="681"/>
      <c r="E70" s="681"/>
    </row>
    <row r="71" spans="3:5" ht="15" customHeight="1" x14ac:dyDescent="0.2">
      <c r="C71" s="681"/>
      <c r="D71" s="681"/>
      <c r="E71" s="681"/>
    </row>
    <row r="72" spans="3:5" ht="15" customHeight="1" x14ac:dyDescent="0.2">
      <c r="C72" s="681"/>
      <c r="D72" s="681"/>
      <c r="E72" s="681"/>
    </row>
    <row r="73" spans="3:5" ht="15" customHeight="1" x14ac:dyDescent="0.2">
      <c r="C73" s="681"/>
      <c r="D73" s="681"/>
      <c r="E73" s="681"/>
    </row>
    <row r="74" spans="3:5" ht="15" customHeight="1" x14ac:dyDescent="0.2">
      <c r="C74" s="681"/>
      <c r="D74" s="681"/>
      <c r="E74" s="681"/>
    </row>
    <row r="75" spans="3:5" ht="15" customHeight="1" x14ac:dyDescent="0.2">
      <c r="C75" s="681"/>
      <c r="D75" s="681"/>
      <c r="E75" s="681"/>
    </row>
    <row r="76" spans="3:5" ht="15" customHeight="1" x14ac:dyDescent="0.2">
      <c r="C76" s="681"/>
      <c r="D76" s="681"/>
      <c r="E76" s="681"/>
    </row>
    <row r="77" spans="3:5" ht="15" customHeight="1" x14ac:dyDescent="0.2">
      <c r="C77" s="681"/>
      <c r="D77" s="681"/>
      <c r="E77" s="681"/>
    </row>
    <row r="78" spans="3:5" ht="15" customHeight="1" x14ac:dyDescent="0.2">
      <c r="C78" s="681"/>
      <c r="D78" s="681"/>
      <c r="E78" s="681"/>
    </row>
    <row r="79" spans="3:5" ht="15" customHeight="1" x14ac:dyDescent="0.2">
      <c r="C79" s="681"/>
      <c r="D79" s="681"/>
      <c r="E79" s="681"/>
    </row>
    <row r="80" spans="3:5" ht="15" customHeight="1" x14ac:dyDescent="0.2">
      <c r="C80" s="681"/>
      <c r="D80" s="681"/>
      <c r="E80" s="681"/>
    </row>
    <row r="81" spans="3:5" ht="15" customHeight="1" x14ac:dyDescent="0.2">
      <c r="C81" s="681"/>
      <c r="D81" s="681"/>
      <c r="E81" s="681"/>
    </row>
    <row r="82" spans="3:5" ht="15" customHeight="1" x14ac:dyDescent="0.2">
      <c r="C82" s="681"/>
      <c r="D82" s="681"/>
      <c r="E82" s="681"/>
    </row>
    <row r="83" spans="3:5" ht="15" customHeight="1" x14ac:dyDescent="0.2">
      <c r="C83" s="681"/>
      <c r="D83" s="681"/>
      <c r="E83" s="681"/>
    </row>
    <row r="84" spans="3:5" ht="15" customHeight="1" x14ac:dyDescent="0.2">
      <c r="C84" s="681"/>
      <c r="D84" s="681"/>
      <c r="E84" s="681"/>
    </row>
    <row r="85" spans="3:5" ht="15" customHeight="1" x14ac:dyDescent="0.2">
      <c r="C85" s="681"/>
      <c r="D85" s="681"/>
      <c r="E85" s="681"/>
    </row>
    <row r="86" spans="3:5" ht="15" customHeight="1" x14ac:dyDescent="0.2">
      <c r="C86" s="681"/>
      <c r="D86" s="681"/>
      <c r="E86" s="681"/>
    </row>
    <row r="87" spans="3:5" ht="15" customHeight="1" x14ac:dyDescent="0.2">
      <c r="C87" s="681"/>
      <c r="D87" s="681"/>
      <c r="E87" s="681"/>
    </row>
    <row r="88" spans="3:5" ht="15" customHeight="1" x14ac:dyDescent="0.2">
      <c r="C88" s="681"/>
      <c r="D88" s="681"/>
      <c r="E88" s="681"/>
    </row>
    <row r="89" spans="3:5" ht="15" customHeight="1" x14ac:dyDescent="0.2">
      <c r="C89" s="681"/>
      <c r="D89" s="681"/>
      <c r="E89" s="681"/>
    </row>
    <row r="90" spans="3:5" ht="15" customHeight="1" x14ac:dyDescent="0.2">
      <c r="C90" s="681"/>
      <c r="D90" s="681"/>
      <c r="E90" s="681"/>
    </row>
    <row r="91" spans="3:5" ht="15" customHeight="1" x14ac:dyDescent="0.2">
      <c r="C91" s="681"/>
      <c r="D91" s="681"/>
      <c r="E91" s="681"/>
    </row>
    <row r="92" spans="3:5" ht="15" customHeight="1" x14ac:dyDescent="0.2">
      <c r="C92" s="681"/>
      <c r="D92" s="681"/>
      <c r="E92" s="681"/>
    </row>
    <row r="93" spans="3:5" ht="15" customHeight="1" x14ac:dyDescent="0.2">
      <c r="C93" s="681"/>
      <c r="D93" s="681"/>
      <c r="E93" s="681"/>
    </row>
    <row r="94" spans="3:5" ht="15" customHeight="1" x14ac:dyDescent="0.2">
      <c r="C94" s="681"/>
      <c r="D94" s="681"/>
      <c r="E94" s="681"/>
    </row>
    <row r="95" spans="3:5" ht="15" customHeight="1" x14ac:dyDescent="0.2">
      <c r="C95" s="681"/>
      <c r="D95" s="681"/>
      <c r="E95" s="681"/>
    </row>
    <row r="96" spans="3:5" ht="15" customHeight="1" x14ac:dyDescent="0.2">
      <c r="C96" s="681"/>
      <c r="D96" s="681"/>
      <c r="E96" s="681"/>
    </row>
    <row r="97" spans="3:5" ht="15" customHeight="1" x14ac:dyDescent="0.2">
      <c r="C97" s="681"/>
      <c r="D97" s="681"/>
      <c r="E97" s="681"/>
    </row>
    <row r="98" spans="3:5" ht="15" customHeight="1" x14ac:dyDescent="0.2">
      <c r="C98" s="681"/>
      <c r="D98" s="681"/>
      <c r="E98" s="681"/>
    </row>
    <row r="99" spans="3:5" ht="15" customHeight="1" x14ac:dyDescent="0.2">
      <c r="C99" s="681"/>
      <c r="D99" s="681"/>
      <c r="E99" s="681"/>
    </row>
    <row r="100" spans="3:5" ht="15" customHeight="1" x14ac:dyDescent="0.2">
      <c r="C100" s="681"/>
      <c r="D100" s="681"/>
      <c r="E100" s="681"/>
    </row>
    <row r="101" spans="3:5" ht="15" customHeight="1" x14ac:dyDescent="0.2">
      <c r="C101" s="681"/>
      <c r="D101" s="681"/>
      <c r="E101" s="681"/>
    </row>
    <row r="102" spans="3:5" ht="15" customHeight="1" x14ac:dyDescent="0.2">
      <c r="C102" s="681"/>
      <c r="D102" s="681"/>
      <c r="E102" s="681"/>
    </row>
    <row r="103" spans="3:5" ht="15" customHeight="1" x14ac:dyDescent="0.2">
      <c r="C103" s="681"/>
      <c r="D103" s="681"/>
      <c r="E103" s="681"/>
    </row>
    <row r="104" spans="3:5" ht="15" customHeight="1" x14ac:dyDescent="0.2">
      <c r="C104" s="681"/>
      <c r="D104" s="681"/>
      <c r="E104" s="681"/>
    </row>
    <row r="105" spans="3:5" ht="15" customHeight="1" x14ac:dyDescent="0.2">
      <c r="C105" s="681"/>
      <c r="D105" s="681"/>
      <c r="E105" s="681"/>
    </row>
    <row r="106" spans="3:5" ht="15" customHeight="1" x14ac:dyDescent="0.2">
      <c r="C106" s="681"/>
      <c r="D106" s="681"/>
      <c r="E106" s="681"/>
    </row>
    <row r="107" spans="3:5" ht="15" customHeight="1" x14ac:dyDescent="0.2">
      <c r="C107" s="681"/>
      <c r="D107" s="681"/>
      <c r="E107" s="681"/>
    </row>
    <row r="108" spans="3:5" ht="15" customHeight="1" x14ac:dyDescent="0.2">
      <c r="C108" s="681"/>
      <c r="D108" s="681"/>
      <c r="E108" s="681"/>
    </row>
    <row r="109" spans="3:5" ht="15" customHeight="1" x14ac:dyDescent="0.2">
      <c r="C109" s="681"/>
      <c r="D109" s="681"/>
      <c r="E109" s="681"/>
    </row>
    <row r="110" spans="3:5" ht="15" customHeight="1" x14ac:dyDescent="0.2">
      <c r="C110" s="681"/>
      <c r="D110" s="681"/>
      <c r="E110" s="681"/>
    </row>
    <row r="111" spans="3:5" ht="15" customHeight="1" x14ac:dyDescent="0.2">
      <c r="C111" s="681"/>
      <c r="D111" s="681"/>
      <c r="E111" s="681"/>
    </row>
    <row r="112" spans="3:5" ht="15" customHeight="1" x14ac:dyDescent="0.2">
      <c r="C112" s="681"/>
      <c r="D112" s="681"/>
      <c r="E112" s="681"/>
    </row>
    <row r="113" spans="3:5" ht="15" customHeight="1" x14ac:dyDescent="0.2">
      <c r="C113" s="681"/>
      <c r="D113" s="681"/>
      <c r="E113" s="681"/>
    </row>
    <row r="114" spans="3:5" ht="15" customHeight="1" x14ac:dyDescent="0.2">
      <c r="C114" s="681"/>
      <c r="D114" s="681"/>
      <c r="E114" s="681"/>
    </row>
    <row r="115" spans="3:5" ht="15" customHeight="1" x14ac:dyDescent="0.2">
      <c r="C115" s="681"/>
      <c r="D115" s="681"/>
      <c r="E115" s="681"/>
    </row>
    <row r="116" spans="3:5" ht="15" customHeight="1" x14ac:dyDescent="0.2">
      <c r="C116" s="681"/>
      <c r="D116" s="681"/>
      <c r="E116" s="681"/>
    </row>
    <row r="117" spans="3:5" ht="15" customHeight="1" x14ac:dyDescent="0.2">
      <c r="C117" s="681"/>
      <c r="D117" s="681"/>
      <c r="E117" s="681"/>
    </row>
    <row r="118" spans="3:5" ht="15" customHeight="1" x14ac:dyDescent="0.2">
      <c r="C118" s="681"/>
      <c r="D118" s="681"/>
      <c r="E118" s="681"/>
    </row>
    <row r="119" spans="3:5" ht="15" customHeight="1" x14ac:dyDescent="0.2">
      <c r="C119" s="681"/>
      <c r="D119" s="681"/>
      <c r="E119" s="681"/>
    </row>
    <row r="120" spans="3:5" ht="15" customHeight="1" x14ac:dyDescent="0.2">
      <c r="C120" s="681"/>
      <c r="D120" s="681"/>
      <c r="E120" s="681"/>
    </row>
    <row r="121" spans="3:5" ht="15" customHeight="1" x14ac:dyDescent="0.2">
      <c r="C121" s="681"/>
      <c r="D121" s="681"/>
      <c r="E121" s="681"/>
    </row>
    <row r="122" spans="3:5" ht="15" customHeight="1" x14ac:dyDescent="0.2">
      <c r="C122" s="681"/>
      <c r="D122" s="681"/>
      <c r="E122" s="681"/>
    </row>
    <row r="123" spans="3:5" ht="15" customHeight="1" x14ac:dyDescent="0.2">
      <c r="C123" s="681"/>
      <c r="D123" s="681"/>
      <c r="E123" s="681"/>
    </row>
    <row r="124" spans="3:5" ht="15" customHeight="1" x14ac:dyDescent="0.2">
      <c r="C124" s="681"/>
      <c r="D124" s="681"/>
      <c r="E124" s="681"/>
    </row>
    <row r="125" spans="3:5" ht="15" customHeight="1" x14ac:dyDescent="0.2">
      <c r="C125" s="681"/>
      <c r="D125" s="681"/>
      <c r="E125" s="681"/>
    </row>
    <row r="126" spans="3:5" ht="15" customHeight="1" x14ac:dyDescent="0.2">
      <c r="C126" s="681"/>
      <c r="D126" s="681"/>
      <c r="E126" s="681"/>
    </row>
    <row r="127" spans="3:5" ht="15" customHeight="1" x14ac:dyDescent="0.2">
      <c r="C127" s="681"/>
      <c r="D127" s="681"/>
      <c r="E127" s="681"/>
    </row>
    <row r="128" spans="3:5" ht="15" customHeight="1" x14ac:dyDescent="0.2">
      <c r="C128" s="681"/>
      <c r="D128" s="681"/>
      <c r="E128" s="681"/>
    </row>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sheetProtection selectLockedCells="1"/>
  <mergeCells count="1">
    <mergeCell ref="I4:K8"/>
  </mergeCells>
  <phoneticPr fontId="77" type="noConversion"/>
  <dataValidations count="5">
    <dataValidation type="list" allowBlank="1" showInputMessage="1" showErrorMessage="1" sqref="V12:V29" xr:uid="{00000000-0002-0000-0300-000001000000}">
      <formula1>INDIRECT(U12)</formula1>
    </dataValidation>
    <dataValidation type="list" allowBlank="1" showInputMessage="1" showErrorMessage="1" errorTitle="Aspecto no válido" error="Primero elija una Característica en la columna D." promptTitle="ASPECTO" prompt="Solo los Aspectos de la Característica elegida" sqref="E11:E40" xr:uid="{1D375D3F-EFE4-4D0D-9F2C-C1669E9CB421}">
      <formula1>INDIRECT("Asp_"&amp;LEFT(D11,FIND(".",D11)-1))</formula1>
    </dataValidation>
    <dataValidation type="list" allowBlank="1" showInputMessage="1" showErrorMessage="1" errorTitle="Característica no válida" error="Primero elija un Factor en la columna C." promptTitle="CARACTERÍSTICA" prompt="Solo las Características del Factor elegido" sqref="D11:D40" xr:uid="{8BDC0D55-8B47-426C-93C9-BA651474C109}">
      <formula1>INDIRECT("Fac_"&amp;LEFT(C11,FIND(".",C11)-1))</formula1>
    </dataValidation>
    <dataValidation type="list" allowBlank="1" showInputMessage="1" showErrorMessage="1" errorTitle="Factor no válido" error="Seleccione un Factor de la lista." promptTitle="FACTOR" prompt="Elija el Factor (F1 a F12)" sqref="C11:C40" xr:uid="{1B589F94-1D18-45FD-9640-4D286FC31471}">
      <formula1>Factores</formula1>
    </dataValidation>
    <dataValidation type="list" allowBlank="1" showInputMessage="1" showErrorMessage="1" sqref="V11" xr:uid="{03BA6581-BFA6-48CC-9842-5400FB0AF54C}">
      <formula1>INDIRECT("Fac_"&amp;LEFT(U11,FIND(".",C11)-1))</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3000000}">
          <x14:formula1>
            <xm:f>'C:\Users\ASUS\Downloads\[2PLAN DE MEJORAMIENTO PSICOLOGIA versión 5 23 de junio 2020.xlsx]Hoja2'!#REF!</xm:f>
          </x14:formula1>
          <xm:sqref>Q11:Q29 S11:S29</xm:sqref>
        </x14:dataValidation>
        <x14:dataValidation type="list" allowBlank="1" showInputMessage="1" showErrorMessage="1" xr:uid="{5AB6D27D-8035-4F25-B943-8C966DDB90AE}">
          <x14:formula1>
            <xm:f>Listas!$BL$4:$BL$5</xm:f>
          </x14:formula1>
          <xm:sqref>G11:G40</xm:sqref>
        </x14:dataValidation>
        <x14:dataValidation type="list" allowBlank="1" showInputMessage="1" showErrorMessage="1" xr:uid="{EF7528AE-A63B-4949-86BE-B2C19DA84BBF}">
          <x14:formula1>
            <xm:f>Listas!$BM$4:$BM$16</xm:f>
          </x14:formula1>
          <xm:sqref>T11:T29</xm:sqref>
        </x14:dataValidation>
        <x14:dataValidation type="list" allowBlank="1" showInputMessage="1" showErrorMessage="1" xr:uid="{F98DE7D3-2C92-4F55-A27B-2ADF3AF65BC6}">
          <x14:formula1>
            <xm:f>Listas!$BO$4:$BO$6</xm:f>
          </x14:formula1>
          <xm:sqref>U11:U29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
  <sheetViews>
    <sheetView topLeftCell="A25" workbookViewId="0">
      <selection activeCell="F39" sqref="F39:J45"/>
    </sheetView>
  </sheetViews>
  <sheetFormatPr baseColWidth="10" defaultColWidth="10.85546875" defaultRowHeight="15" x14ac:dyDescent="0.25"/>
  <cols>
    <col min="1" max="1" width="11" style="444" bestFit="1" customWidth="1"/>
    <col min="2" max="16384" width="10.85546875" style="444"/>
  </cols>
  <sheetData>
    <row r="1" spans="1:15" x14ac:dyDescent="0.25">
      <c r="A1" s="496" t="s">
        <v>1081</v>
      </c>
      <c r="B1" s="496" t="s">
        <v>1235</v>
      </c>
      <c r="C1" s="497" t="s">
        <v>1236</v>
      </c>
      <c r="D1" s="497" t="s">
        <v>1237</v>
      </c>
      <c r="E1" s="497" t="s">
        <v>1238</v>
      </c>
      <c r="F1" s="497" t="s">
        <v>1239</v>
      </c>
      <c r="G1" s="497" t="s">
        <v>1240</v>
      </c>
      <c r="H1" s="497" t="s">
        <v>1241</v>
      </c>
      <c r="I1" s="497" t="s">
        <v>1242</v>
      </c>
      <c r="J1" s="497" t="s">
        <v>1243</v>
      </c>
      <c r="K1" s="497" t="s">
        <v>1244</v>
      </c>
      <c r="L1" s="497" t="s">
        <v>1245</v>
      </c>
      <c r="M1" s="497" t="s">
        <v>1246</v>
      </c>
      <c r="N1" s="496"/>
      <c r="O1" s="496" t="s">
        <v>763</v>
      </c>
    </row>
    <row r="2" spans="1:15" x14ac:dyDescent="0.25">
      <c r="A2" s="444" t="s">
        <v>1235</v>
      </c>
      <c r="B2" t="s">
        <v>1247</v>
      </c>
      <c r="C2" t="s">
        <v>1249</v>
      </c>
      <c r="D2" t="s">
        <v>1254</v>
      </c>
      <c r="E2" t="s">
        <v>1257</v>
      </c>
      <c r="F2" t="s">
        <v>1259</v>
      </c>
      <c r="G2" t="s">
        <v>1268</v>
      </c>
      <c r="H2" t="s">
        <v>1272</v>
      </c>
      <c r="I2" t="s">
        <v>1275</v>
      </c>
      <c r="J2" t="s">
        <v>1277</v>
      </c>
      <c r="K2" t="s">
        <v>1279</v>
      </c>
      <c r="L2" t="s">
        <v>1282</v>
      </c>
      <c r="M2" t="s">
        <v>1288</v>
      </c>
      <c r="O2" s="444" t="s">
        <v>388</v>
      </c>
    </row>
    <row r="3" spans="1:15" x14ac:dyDescent="0.25">
      <c r="A3" t="s">
        <v>1236</v>
      </c>
      <c r="B3" t="s">
        <v>1248</v>
      </c>
      <c r="C3" t="s">
        <v>1250</v>
      </c>
      <c r="D3" t="s">
        <v>793</v>
      </c>
      <c r="E3" t="s">
        <v>1258</v>
      </c>
      <c r="F3" t="s">
        <v>1260</v>
      </c>
      <c r="G3" t="s">
        <v>1269</v>
      </c>
      <c r="H3" t="s">
        <v>1273</v>
      </c>
      <c r="I3" t="s">
        <v>1276</v>
      </c>
      <c r="J3" t="s">
        <v>1278</v>
      </c>
      <c r="K3" t="s">
        <v>1280</v>
      </c>
      <c r="L3" t="s">
        <v>1283</v>
      </c>
      <c r="M3" t="s">
        <v>1289</v>
      </c>
      <c r="O3" s="493" t="s">
        <v>1306</v>
      </c>
    </row>
    <row r="4" spans="1:15" x14ac:dyDescent="0.25">
      <c r="A4" t="s">
        <v>1237</v>
      </c>
      <c r="C4" t="s">
        <v>1251</v>
      </c>
      <c r="D4" t="s">
        <v>1255</v>
      </c>
      <c r="F4" t="s">
        <v>1261</v>
      </c>
      <c r="G4" t="s">
        <v>1270</v>
      </c>
      <c r="H4" t="s">
        <v>1274</v>
      </c>
      <c r="K4" t="s">
        <v>1281</v>
      </c>
      <c r="L4" t="s">
        <v>1284</v>
      </c>
      <c r="O4" s="444" t="s">
        <v>840</v>
      </c>
    </row>
    <row r="5" spans="1:15" x14ac:dyDescent="0.25">
      <c r="A5" t="s">
        <v>1238</v>
      </c>
      <c r="C5" t="s">
        <v>1252</v>
      </c>
      <c r="D5" t="s">
        <v>797</v>
      </c>
      <c r="F5" t="s">
        <v>1262</v>
      </c>
      <c r="G5" t="s">
        <v>1271</v>
      </c>
      <c r="L5" t="s">
        <v>1285</v>
      </c>
      <c r="O5" s="444" t="s">
        <v>817</v>
      </c>
    </row>
    <row r="6" spans="1:15" x14ac:dyDescent="0.25">
      <c r="A6" t="s">
        <v>1239</v>
      </c>
      <c r="C6" t="s">
        <v>1253</v>
      </c>
      <c r="D6" t="s">
        <v>1256</v>
      </c>
      <c r="F6" t="s">
        <v>1263</v>
      </c>
      <c r="L6" t="s">
        <v>1286</v>
      </c>
      <c r="O6" s="444" t="s">
        <v>1082</v>
      </c>
    </row>
    <row r="7" spans="1:15" x14ac:dyDescent="0.25">
      <c r="A7" t="s">
        <v>1240</v>
      </c>
      <c r="C7"/>
      <c r="D7" t="s">
        <v>801</v>
      </c>
      <c r="F7" t="s">
        <v>1264</v>
      </c>
      <c r="L7" t="s">
        <v>1287</v>
      </c>
      <c r="O7" s="444" t="s">
        <v>843</v>
      </c>
    </row>
    <row r="8" spans="1:15" x14ac:dyDescent="0.25">
      <c r="A8" t="s">
        <v>1241</v>
      </c>
      <c r="C8"/>
      <c r="D8" t="s">
        <v>1054</v>
      </c>
      <c r="F8" t="s">
        <v>1265</v>
      </c>
      <c r="O8" s="444" t="s">
        <v>1083</v>
      </c>
    </row>
    <row r="9" spans="1:15" x14ac:dyDescent="0.25">
      <c r="A9" t="s">
        <v>1242</v>
      </c>
      <c r="D9" t="s">
        <v>803</v>
      </c>
      <c r="F9" t="s">
        <v>1266</v>
      </c>
      <c r="O9" s="444" t="s">
        <v>1084</v>
      </c>
    </row>
    <row r="10" spans="1:15" x14ac:dyDescent="0.25">
      <c r="A10" t="s">
        <v>1243</v>
      </c>
      <c r="D10"/>
      <c r="F10" t="s">
        <v>1267</v>
      </c>
      <c r="O10" s="444" t="s">
        <v>1085</v>
      </c>
    </row>
    <row r="11" spans="1:15" x14ac:dyDescent="0.25">
      <c r="A11" t="s">
        <v>1244</v>
      </c>
      <c r="D11"/>
      <c r="O11" s="444" t="s">
        <v>1086</v>
      </c>
    </row>
    <row r="12" spans="1:15" x14ac:dyDescent="0.25">
      <c r="A12" t="s">
        <v>1245</v>
      </c>
      <c r="O12" s="444" t="s">
        <v>849</v>
      </c>
    </row>
    <row r="13" spans="1:15" x14ac:dyDescent="0.25">
      <c r="A13" t="s">
        <v>1246</v>
      </c>
      <c r="O13" s="444" t="s">
        <v>851</v>
      </c>
    </row>
    <row r="14" spans="1:15" x14ac:dyDescent="0.25">
      <c r="D14"/>
      <c r="O14" s="444" t="s">
        <v>845</v>
      </c>
    </row>
    <row r="15" spans="1:15" x14ac:dyDescent="0.25">
      <c r="D15"/>
    </row>
    <row r="16" spans="1:15" x14ac:dyDescent="0.25">
      <c r="D16"/>
    </row>
    <row r="19" spans="2:13" x14ac:dyDescent="0.25">
      <c r="D19"/>
      <c r="M19" s="444" t="s">
        <v>765</v>
      </c>
    </row>
    <row r="20" spans="2:13" x14ac:dyDescent="0.25">
      <c r="B20" s="444" t="s">
        <v>1235</v>
      </c>
      <c r="D20"/>
      <c r="M20" s="444" t="s">
        <v>822</v>
      </c>
    </row>
    <row r="21" spans="2:13" x14ac:dyDescent="0.25">
      <c r="B21" t="s">
        <v>1236</v>
      </c>
      <c r="M21" s="444" t="s">
        <v>777</v>
      </c>
    </row>
    <row r="22" spans="2:13" x14ac:dyDescent="0.25">
      <c r="B22" t="s">
        <v>1237</v>
      </c>
    </row>
    <row r="23" spans="2:13" x14ac:dyDescent="0.25">
      <c r="B23" t="s">
        <v>1238</v>
      </c>
      <c r="D23"/>
    </row>
    <row r="24" spans="2:13" x14ac:dyDescent="0.25">
      <c r="B24" t="s">
        <v>1239</v>
      </c>
    </row>
    <row r="25" spans="2:13" x14ac:dyDescent="0.25">
      <c r="B25" t="s">
        <v>1240</v>
      </c>
    </row>
    <row r="26" spans="2:13" x14ac:dyDescent="0.25">
      <c r="B26" t="s">
        <v>1241</v>
      </c>
    </row>
    <row r="27" spans="2:13" x14ac:dyDescent="0.25">
      <c r="B27" t="s">
        <v>1242</v>
      </c>
    </row>
    <row r="28" spans="2:13" x14ac:dyDescent="0.25">
      <c r="B28" t="s">
        <v>1243</v>
      </c>
    </row>
    <row r="29" spans="2:13" x14ac:dyDescent="0.25">
      <c r="B29" t="s">
        <v>1244</v>
      </c>
    </row>
    <row r="30" spans="2:13" x14ac:dyDescent="0.25">
      <c r="B30" t="s">
        <v>1245</v>
      </c>
    </row>
    <row r="31" spans="2:13" x14ac:dyDescent="0.25">
      <c r="B31" t="s">
        <v>1246</v>
      </c>
    </row>
    <row r="34" spans="1:10" x14ac:dyDescent="0.25">
      <c r="B34" s="444" t="s">
        <v>754</v>
      </c>
    </row>
    <row r="35" spans="1:10" x14ac:dyDescent="0.25">
      <c r="B35" s="444" t="s">
        <v>770</v>
      </c>
    </row>
    <row r="36" spans="1:10" x14ac:dyDescent="0.25">
      <c r="B36" s="444" t="s">
        <v>1087</v>
      </c>
    </row>
    <row r="39" spans="1:10" x14ac:dyDescent="0.25">
      <c r="A39" s="444" t="s">
        <v>429</v>
      </c>
      <c r="F39" s="496" t="s">
        <v>767</v>
      </c>
      <c r="G39" s="496" t="s">
        <v>1290</v>
      </c>
      <c r="H39" s="496" t="s">
        <v>1291</v>
      </c>
      <c r="I39" s="496" t="s">
        <v>1292</v>
      </c>
      <c r="J39" s="493"/>
    </row>
    <row r="40" spans="1:10" ht="15.75" x14ac:dyDescent="0.25">
      <c r="A40" s="444" t="s">
        <v>388</v>
      </c>
      <c r="F40" s="493" t="s">
        <v>1290</v>
      </c>
      <c r="G40" s="495" t="s">
        <v>1293</v>
      </c>
      <c r="H40" s="494" t="s">
        <v>1294</v>
      </c>
      <c r="I40" s="495" t="s">
        <v>1303</v>
      </c>
    </row>
    <row r="41" spans="1:10" ht="15.75" x14ac:dyDescent="0.25">
      <c r="A41" s="444" t="s">
        <v>389</v>
      </c>
      <c r="F41" s="493" t="s">
        <v>1291</v>
      </c>
      <c r="G41" s="495" t="s">
        <v>1296</v>
      </c>
      <c r="H41" s="494" t="s">
        <v>1295</v>
      </c>
      <c r="I41" s="495" t="s">
        <v>1304</v>
      </c>
    </row>
    <row r="42" spans="1:10" ht="15.75" x14ac:dyDescent="0.25">
      <c r="A42" s="444" t="s">
        <v>820</v>
      </c>
      <c r="F42" s="493" t="s">
        <v>1292</v>
      </c>
      <c r="G42" s="495" t="s">
        <v>1297</v>
      </c>
      <c r="H42" s="495" t="s">
        <v>1299</v>
      </c>
      <c r="I42" s="495" t="s">
        <v>1305</v>
      </c>
    </row>
    <row r="43" spans="1:10" ht="15.75" x14ac:dyDescent="0.25">
      <c r="A43" s="444" t="s">
        <v>573</v>
      </c>
      <c r="G43" s="495" t="s">
        <v>1298</v>
      </c>
      <c r="H43" s="495" t="s">
        <v>1300</v>
      </c>
    </row>
    <row r="44" spans="1:10" ht="15.75" x14ac:dyDescent="0.25">
      <c r="A44" s="444" t="s">
        <v>622</v>
      </c>
      <c r="H44" s="495" t="s">
        <v>1301</v>
      </c>
    </row>
    <row r="45" spans="1:10" ht="15.75" x14ac:dyDescent="0.25">
      <c r="A45" s="444" t="s">
        <v>598</v>
      </c>
      <c r="H45" s="495" t="s">
        <v>1302</v>
      </c>
    </row>
    <row r="46" spans="1:10" x14ac:dyDescent="0.25">
      <c r="A46" s="444" t="s">
        <v>589</v>
      </c>
    </row>
    <row r="47" spans="1:10" x14ac:dyDescent="0.25">
      <c r="A47" s="444" t="s">
        <v>638</v>
      </c>
    </row>
    <row r="48" spans="1:10" x14ac:dyDescent="0.25">
      <c r="A48" s="444" t="s">
        <v>443</v>
      </c>
    </row>
    <row r="63" spans="1:1" x14ac:dyDescent="0.25">
      <c r="A63" s="444" t="s">
        <v>1088</v>
      </c>
    </row>
    <row r="64" spans="1:1" x14ac:dyDescent="0.25">
      <c r="A64" s="444" t="s">
        <v>1089</v>
      </c>
    </row>
    <row r="65" spans="1:1" x14ac:dyDescent="0.25">
      <c r="A65" s="444" t="s">
        <v>1090</v>
      </c>
    </row>
    <row r="66" spans="1:1" x14ac:dyDescent="0.25">
      <c r="A66" s="444" t="s">
        <v>1091</v>
      </c>
    </row>
    <row r="67" spans="1:1" x14ac:dyDescent="0.25">
      <c r="A67" s="444" t="s">
        <v>1092</v>
      </c>
    </row>
    <row r="68" spans="1:1" x14ac:dyDescent="0.25">
      <c r="A68" s="444" t="s">
        <v>1093</v>
      </c>
    </row>
    <row r="69" spans="1:1" x14ac:dyDescent="0.25">
      <c r="A69" s="444" t="s">
        <v>1094</v>
      </c>
    </row>
    <row r="70" spans="1:1" x14ac:dyDescent="0.25">
      <c r="A70" s="444" t="s">
        <v>1095</v>
      </c>
    </row>
    <row r="71" spans="1:1" x14ac:dyDescent="0.25">
      <c r="A71" s="444" t="s">
        <v>1096</v>
      </c>
    </row>
    <row r="72" spans="1:1" x14ac:dyDescent="0.25">
      <c r="A72" s="444" t="s">
        <v>1097</v>
      </c>
    </row>
    <row r="73" spans="1:1" x14ac:dyDescent="0.25">
      <c r="A73" s="444" t="s">
        <v>749</v>
      </c>
    </row>
    <row r="74" spans="1:1" x14ac:dyDescent="0.25">
      <c r="A74" s="444" t="s">
        <v>1098</v>
      </c>
    </row>
    <row r="75" spans="1:1" x14ac:dyDescent="0.25">
      <c r="A75" s="444" t="s">
        <v>1099</v>
      </c>
    </row>
  </sheetData>
  <phoneticPr fontId="7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5"/>
  <sheetViews>
    <sheetView topLeftCell="AA1" workbookViewId="0">
      <selection activeCell="AO1" sqref="AO1"/>
    </sheetView>
  </sheetViews>
  <sheetFormatPr baseColWidth="10" defaultColWidth="10.85546875" defaultRowHeight="15" x14ac:dyDescent="0.25"/>
  <cols>
    <col min="1" max="16384" width="10.85546875" style="444"/>
  </cols>
  <sheetData>
    <row r="1" spans="1:60" x14ac:dyDescent="0.25">
      <c r="A1" t="s">
        <v>1247</v>
      </c>
      <c r="B1" t="s">
        <v>1248</v>
      </c>
      <c r="C1" t="s">
        <v>1249</v>
      </c>
      <c r="D1" t="s">
        <v>1250</v>
      </c>
      <c r="E1" t="s">
        <v>1251</v>
      </c>
      <c r="F1" t="s">
        <v>1252</v>
      </c>
      <c r="G1" t="s">
        <v>1253</v>
      </c>
      <c r="H1" t="s">
        <v>1254</v>
      </c>
      <c r="I1" t="s">
        <v>793</v>
      </c>
      <c r="J1" t="s">
        <v>1255</v>
      </c>
      <c r="K1" t="s">
        <v>797</v>
      </c>
      <c r="L1" t="s">
        <v>1256</v>
      </c>
      <c r="M1" t="s">
        <v>801</v>
      </c>
      <c r="N1" t="s">
        <v>1054</v>
      </c>
      <c r="O1" t="s">
        <v>803</v>
      </c>
      <c r="P1" t="s">
        <v>1257</v>
      </c>
      <c r="Q1" t="s">
        <v>1258</v>
      </c>
      <c r="R1" t="s">
        <v>1259</v>
      </c>
      <c r="S1" t="s">
        <v>1260</v>
      </c>
      <c r="T1" t="s">
        <v>1261</v>
      </c>
      <c r="U1" t="s">
        <v>1262</v>
      </c>
      <c r="V1" t="s">
        <v>1263</v>
      </c>
      <c r="W1" t="s">
        <v>1264</v>
      </c>
      <c r="X1" t="s">
        <v>1265</v>
      </c>
      <c r="Y1" t="s">
        <v>1266</v>
      </c>
      <c r="Z1" t="s">
        <v>1267</v>
      </c>
      <c r="AA1" t="s">
        <v>1268</v>
      </c>
      <c r="AB1" t="s">
        <v>1269</v>
      </c>
      <c r="AC1" t="s">
        <v>1270</v>
      </c>
      <c r="AD1" t="s">
        <v>1271</v>
      </c>
      <c r="AE1" t="s">
        <v>1272</v>
      </c>
      <c r="AF1" t="s">
        <v>1273</v>
      </c>
      <c r="AG1" t="s">
        <v>1274</v>
      </c>
      <c r="AH1" t="s">
        <v>1275</v>
      </c>
      <c r="AI1" t="s">
        <v>1276</v>
      </c>
      <c r="AJ1" t="s">
        <v>1277</v>
      </c>
      <c r="AK1" t="s">
        <v>1278</v>
      </c>
      <c r="AL1" t="s">
        <v>1279</v>
      </c>
      <c r="AM1" t="s">
        <v>1280</v>
      </c>
      <c r="AN1" t="s">
        <v>1281</v>
      </c>
      <c r="AO1" s="443"/>
      <c r="AP1" s="443"/>
      <c r="AQ1" s="443"/>
      <c r="AR1" s="443"/>
      <c r="AS1" s="443"/>
      <c r="AT1" s="443"/>
      <c r="AU1" s="443"/>
      <c r="AV1" s="496"/>
      <c r="AW1" s="496" t="s">
        <v>1235</v>
      </c>
      <c r="AX1" s="497" t="s">
        <v>1236</v>
      </c>
      <c r="AY1" s="497" t="s">
        <v>1237</v>
      </c>
      <c r="AZ1" s="497" t="s">
        <v>1238</v>
      </c>
      <c r="BA1" s="497" t="s">
        <v>1239</v>
      </c>
      <c r="BB1" s="497" t="s">
        <v>1240</v>
      </c>
      <c r="BC1" s="497" t="s">
        <v>1241</v>
      </c>
      <c r="BD1" s="497" t="s">
        <v>1242</v>
      </c>
      <c r="BE1" s="497" t="s">
        <v>1243</v>
      </c>
      <c r="BF1" s="497" t="s">
        <v>1244</v>
      </c>
      <c r="BG1" s="497" t="s">
        <v>1245</v>
      </c>
      <c r="BH1" s="497" t="s">
        <v>1246</v>
      </c>
    </row>
    <row r="2" spans="1:60" ht="409.5" x14ac:dyDescent="0.25">
      <c r="A2" s="445" t="s">
        <v>884</v>
      </c>
      <c r="B2" s="445" t="s">
        <v>885</v>
      </c>
      <c r="C2" s="445" t="s">
        <v>886</v>
      </c>
      <c r="D2" s="445" t="s">
        <v>887</v>
      </c>
      <c r="E2" s="445" t="s">
        <v>888</v>
      </c>
      <c r="F2" s="445" t="s">
        <v>889</v>
      </c>
      <c r="G2" s="445" t="s">
        <v>890</v>
      </c>
      <c r="H2" s="445" t="s">
        <v>891</v>
      </c>
      <c r="I2" s="445" t="s">
        <v>892</v>
      </c>
      <c r="J2" s="445" t="s">
        <v>893</v>
      </c>
      <c r="K2" s="445" t="s">
        <v>894</v>
      </c>
      <c r="L2" s="445" t="s">
        <v>895</v>
      </c>
      <c r="M2" s="445" t="s">
        <v>896</v>
      </c>
      <c r="N2" s="445" t="s">
        <v>897</v>
      </c>
      <c r="O2" s="445" t="s">
        <v>898</v>
      </c>
      <c r="P2" s="445" t="s">
        <v>899</v>
      </c>
      <c r="Q2" s="445" t="s">
        <v>807</v>
      </c>
      <c r="R2" s="445" t="s">
        <v>810</v>
      </c>
      <c r="S2" s="445" t="s">
        <v>900</v>
      </c>
      <c r="T2" s="445" t="s">
        <v>901</v>
      </c>
      <c r="U2" s="445" t="s">
        <v>814</v>
      </c>
      <c r="V2" s="445" t="s">
        <v>902</v>
      </c>
      <c r="W2" s="445" t="s">
        <v>903</v>
      </c>
      <c r="X2" s="445" t="s">
        <v>904</v>
      </c>
      <c r="Y2" s="445" t="s">
        <v>905</v>
      </c>
      <c r="Z2" s="445" t="s">
        <v>824</v>
      </c>
      <c r="AA2" s="445" t="s">
        <v>826</v>
      </c>
      <c r="AB2" s="445" t="s">
        <v>832</v>
      </c>
      <c r="AC2" s="445" t="s">
        <v>906</v>
      </c>
      <c r="AD2" s="445" t="s">
        <v>837</v>
      </c>
      <c r="AE2" s="445" t="s">
        <v>907</v>
      </c>
      <c r="AF2" s="445" t="s">
        <v>908</v>
      </c>
      <c r="AG2" s="445" t="s">
        <v>909</v>
      </c>
      <c r="AH2" s="445" t="s">
        <v>910</v>
      </c>
      <c r="AI2" s="445" t="s">
        <v>911</v>
      </c>
      <c r="AJ2" s="445" t="s">
        <v>912</v>
      </c>
      <c r="AK2" s="445" t="s">
        <v>913</v>
      </c>
      <c r="AL2" s="445" t="s">
        <v>848</v>
      </c>
      <c r="AM2" s="445" t="s">
        <v>914</v>
      </c>
      <c r="AN2" s="445" t="s">
        <v>915</v>
      </c>
      <c r="AO2" s="498"/>
      <c r="AP2" s="498"/>
      <c r="AQ2" s="498"/>
      <c r="AR2" s="498"/>
      <c r="AS2" s="498"/>
      <c r="AT2" s="498"/>
      <c r="AU2" s="498"/>
      <c r="AW2" t="s">
        <v>1247</v>
      </c>
      <c r="AX2" t="s">
        <v>1249</v>
      </c>
      <c r="AY2" t="s">
        <v>1254</v>
      </c>
      <c r="AZ2" t="s">
        <v>1257</v>
      </c>
      <c r="BA2" t="s">
        <v>1259</v>
      </c>
      <c r="BB2" t="s">
        <v>1268</v>
      </c>
      <c r="BC2" t="s">
        <v>1272</v>
      </c>
      <c r="BD2" t="s">
        <v>1275</v>
      </c>
      <c r="BE2" t="s">
        <v>1277</v>
      </c>
      <c r="BF2" t="s">
        <v>1279</v>
      </c>
      <c r="BG2" t="s">
        <v>1282</v>
      </c>
      <c r="BH2" t="s">
        <v>1288</v>
      </c>
    </row>
    <row r="3" spans="1:60" ht="409.5" x14ac:dyDescent="0.25">
      <c r="A3" s="445" t="s">
        <v>916</v>
      </c>
      <c r="B3" s="445" t="s">
        <v>917</v>
      </c>
      <c r="C3" s="445" t="s">
        <v>918</v>
      </c>
      <c r="D3" s="445" t="s">
        <v>919</v>
      </c>
      <c r="E3" s="445" t="s">
        <v>788</v>
      </c>
      <c r="F3" s="445" t="s">
        <v>920</v>
      </c>
      <c r="G3" s="445" t="s">
        <v>790</v>
      </c>
      <c r="H3" s="445" t="s">
        <v>921</v>
      </c>
      <c r="I3" s="445" t="s">
        <v>794</v>
      </c>
      <c r="J3" s="445" t="s">
        <v>922</v>
      </c>
      <c r="K3" s="445" t="s">
        <v>923</v>
      </c>
      <c r="L3" s="445" t="s">
        <v>924</v>
      </c>
      <c r="M3" s="445" t="s">
        <v>802</v>
      </c>
      <c r="N3" s="445" t="s">
        <v>925</v>
      </c>
      <c r="O3" s="445" t="s">
        <v>804</v>
      </c>
      <c r="P3" s="445" t="s">
        <v>926</v>
      </c>
      <c r="Q3" s="445" t="s">
        <v>927</v>
      </c>
      <c r="R3" s="445" t="s">
        <v>928</v>
      </c>
      <c r="S3" s="445" t="s">
        <v>929</v>
      </c>
      <c r="T3" s="445" t="s">
        <v>930</v>
      </c>
      <c r="U3" s="445" t="s">
        <v>931</v>
      </c>
      <c r="V3" s="445" t="s">
        <v>816</v>
      </c>
      <c r="W3" s="445" t="s">
        <v>932</v>
      </c>
      <c r="X3" s="445" t="s">
        <v>933</v>
      </c>
      <c r="Y3" s="445" t="s">
        <v>934</v>
      </c>
      <c r="Z3" s="445" t="s">
        <v>935</v>
      </c>
      <c r="AA3" s="445" t="s">
        <v>936</v>
      </c>
      <c r="AB3" s="445" t="s">
        <v>937</v>
      </c>
      <c r="AC3" s="445" t="s">
        <v>938</v>
      </c>
      <c r="AD3" s="445" t="s">
        <v>939</v>
      </c>
      <c r="AE3" s="445" t="s">
        <v>940</v>
      </c>
      <c r="AF3" s="445" t="s">
        <v>941</v>
      </c>
      <c r="AG3" s="445" t="s">
        <v>839</v>
      </c>
      <c r="AH3" s="445" t="s">
        <v>942</v>
      </c>
      <c r="AI3" s="445" t="s">
        <v>943</v>
      </c>
      <c r="AJ3" s="445" t="s">
        <v>944</v>
      </c>
      <c r="AK3" s="445" t="s">
        <v>945</v>
      </c>
      <c r="AL3" s="445" t="s">
        <v>946</v>
      </c>
      <c r="AM3" s="445" t="s">
        <v>850</v>
      </c>
      <c r="AN3" s="445" t="s">
        <v>947</v>
      </c>
      <c r="AO3" s="498"/>
      <c r="AP3" s="498"/>
      <c r="AQ3" s="498"/>
      <c r="AR3" s="498"/>
      <c r="AS3" s="498"/>
      <c r="AT3" s="498"/>
      <c r="AU3" s="498"/>
      <c r="AW3" t="s">
        <v>1248</v>
      </c>
      <c r="AX3" t="s">
        <v>1250</v>
      </c>
      <c r="AY3" t="s">
        <v>793</v>
      </c>
      <c r="AZ3" t="s">
        <v>1258</v>
      </c>
      <c r="BA3" t="s">
        <v>1260</v>
      </c>
      <c r="BB3" t="s">
        <v>1269</v>
      </c>
      <c r="BC3" t="s">
        <v>1273</v>
      </c>
      <c r="BD3" t="s">
        <v>1276</v>
      </c>
      <c r="BE3" t="s">
        <v>1278</v>
      </c>
      <c r="BF3" t="s">
        <v>1280</v>
      </c>
      <c r="BG3" t="s">
        <v>1283</v>
      </c>
      <c r="BH3" t="s">
        <v>1289</v>
      </c>
    </row>
    <row r="4" spans="1:60" ht="409.5" x14ac:dyDescent="0.25">
      <c r="A4" s="445" t="s">
        <v>948</v>
      </c>
      <c r="B4" s="445" t="s">
        <v>949</v>
      </c>
      <c r="C4" s="445" t="s">
        <v>950</v>
      </c>
      <c r="D4" s="445" t="s">
        <v>951</v>
      </c>
      <c r="E4" s="445" t="s">
        <v>952</v>
      </c>
      <c r="F4" s="445" t="s">
        <v>789</v>
      </c>
      <c r="G4" s="445" t="s">
        <v>953</v>
      </c>
      <c r="H4" s="445" t="s">
        <v>792</v>
      </c>
      <c r="I4" s="445" t="s">
        <v>954</v>
      </c>
      <c r="J4" s="445" t="s">
        <v>955</v>
      </c>
      <c r="K4" s="445" t="s">
        <v>798</v>
      </c>
      <c r="L4" s="445" t="s">
        <v>956</v>
      </c>
      <c r="M4" s="445" t="s">
        <v>957</v>
      </c>
      <c r="N4" s="445" t="s">
        <v>958</v>
      </c>
      <c r="O4" s="445" t="s">
        <v>959</v>
      </c>
      <c r="P4" s="445" t="s">
        <v>960</v>
      </c>
      <c r="Q4" s="445" t="s">
        <v>808</v>
      </c>
      <c r="R4" s="445" t="s">
        <v>811</v>
      </c>
      <c r="S4" s="445" t="s">
        <v>961</v>
      </c>
      <c r="T4" s="445" t="s">
        <v>962</v>
      </c>
      <c r="U4" s="445" t="s">
        <v>963</v>
      </c>
      <c r="V4" s="445" t="s">
        <v>964</v>
      </c>
      <c r="W4" s="445" t="s">
        <v>965</v>
      </c>
      <c r="X4" s="445" t="s">
        <v>821</v>
      </c>
      <c r="Y4" s="445" t="s">
        <v>966</v>
      </c>
      <c r="Z4" s="445" t="s">
        <v>825</v>
      </c>
      <c r="AA4" s="445" t="s">
        <v>827</v>
      </c>
      <c r="AB4" s="445" t="s">
        <v>967</v>
      </c>
      <c r="AC4" s="445" t="s">
        <v>968</v>
      </c>
      <c r="AD4" s="445" t="s">
        <v>969</v>
      </c>
      <c r="AE4" s="445" t="s">
        <v>970</v>
      </c>
      <c r="AF4" s="445" t="s">
        <v>971</v>
      </c>
      <c r="AG4" s="445" t="s">
        <v>841</v>
      </c>
      <c r="AH4" s="445" t="s">
        <v>842</v>
      </c>
      <c r="AI4" s="445" t="s">
        <v>972</v>
      </c>
      <c r="AJ4" s="445" t="s">
        <v>973</v>
      </c>
      <c r="AK4" s="446" t="s">
        <v>847</v>
      </c>
      <c r="AL4" s="445" t="s">
        <v>974</v>
      </c>
      <c r="AM4" s="445" t="s">
        <v>975</v>
      </c>
      <c r="AN4" s="445" t="s">
        <v>976</v>
      </c>
      <c r="AO4" s="498"/>
      <c r="AP4" s="498"/>
      <c r="AQ4" s="498"/>
      <c r="AR4" s="498"/>
      <c r="AS4" s="498"/>
      <c r="AT4" s="498"/>
      <c r="AU4" s="498"/>
      <c r="AX4" t="s">
        <v>1251</v>
      </c>
      <c r="AY4" t="s">
        <v>1255</v>
      </c>
      <c r="BA4" t="s">
        <v>1261</v>
      </c>
      <c r="BB4" t="s">
        <v>1270</v>
      </c>
      <c r="BC4" t="s">
        <v>1274</v>
      </c>
      <c r="BF4" t="s">
        <v>1281</v>
      </c>
      <c r="BG4" t="s">
        <v>1284</v>
      </c>
    </row>
    <row r="5" spans="1:60" ht="409.5" x14ac:dyDescent="0.25">
      <c r="A5" s="445" t="s">
        <v>977</v>
      </c>
      <c r="B5" s="445" t="s">
        <v>978</v>
      </c>
      <c r="C5" s="445" t="s">
        <v>979</v>
      </c>
      <c r="D5" s="445" t="s">
        <v>980</v>
      </c>
      <c r="E5" s="447" t="s">
        <v>981</v>
      </c>
      <c r="F5" s="443"/>
      <c r="G5" s="445" t="s">
        <v>791</v>
      </c>
      <c r="H5" s="443"/>
      <c r="I5" s="445" t="s">
        <v>982</v>
      </c>
      <c r="J5" s="445" t="s">
        <v>983</v>
      </c>
      <c r="K5" s="445" t="s">
        <v>799</v>
      </c>
      <c r="L5" s="443"/>
      <c r="M5" s="445" t="s">
        <v>984</v>
      </c>
      <c r="N5" s="443"/>
      <c r="O5" s="445" t="s">
        <v>985</v>
      </c>
      <c r="P5" s="448" t="s">
        <v>986</v>
      </c>
      <c r="Q5" s="445" t="s">
        <v>987</v>
      </c>
      <c r="R5" s="443"/>
      <c r="S5" s="445" t="s">
        <v>988</v>
      </c>
      <c r="T5" s="445" t="s">
        <v>989</v>
      </c>
      <c r="U5" s="445" t="s">
        <v>815</v>
      </c>
      <c r="V5" s="445" t="s">
        <v>818</v>
      </c>
      <c r="W5" s="445" t="s">
        <v>819</v>
      </c>
      <c r="X5" s="445" t="s">
        <v>990</v>
      </c>
      <c r="Y5" s="445" t="s">
        <v>991</v>
      </c>
      <c r="Z5" s="445" t="s">
        <v>992</v>
      </c>
      <c r="AA5" s="445" t="s">
        <v>828</v>
      </c>
      <c r="AB5" s="445" t="s">
        <v>993</v>
      </c>
      <c r="AC5" s="445" t="s">
        <v>994</v>
      </c>
      <c r="AD5" s="445" t="s">
        <v>995</v>
      </c>
      <c r="AE5" s="445" t="s">
        <v>996</v>
      </c>
      <c r="AF5" s="443"/>
      <c r="AG5" s="445" t="s">
        <v>997</v>
      </c>
      <c r="AH5" s="445" t="s">
        <v>998</v>
      </c>
      <c r="AI5" s="445" t="s">
        <v>999</v>
      </c>
      <c r="AJ5" s="445" t="s">
        <v>1000</v>
      </c>
      <c r="AK5" s="446" t="s">
        <v>1001</v>
      </c>
      <c r="AL5" s="445" t="s">
        <v>1002</v>
      </c>
      <c r="AM5" s="445" t="s">
        <v>1003</v>
      </c>
      <c r="AN5" s="445" t="s">
        <v>1004</v>
      </c>
      <c r="AO5" s="498"/>
      <c r="AP5" s="498"/>
      <c r="AQ5" s="498"/>
      <c r="AR5" s="498"/>
      <c r="AS5" s="498"/>
      <c r="AT5" s="498"/>
      <c r="AU5" s="498"/>
      <c r="AX5" t="s">
        <v>1252</v>
      </c>
      <c r="AY5" t="s">
        <v>797</v>
      </c>
      <c r="BA5" t="s">
        <v>1262</v>
      </c>
      <c r="BB5" t="s">
        <v>1271</v>
      </c>
      <c r="BG5" t="s">
        <v>1285</v>
      </c>
    </row>
    <row r="6" spans="1:60" ht="409.5" x14ac:dyDescent="0.25">
      <c r="A6" s="445" t="s">
        <v>1005</v>
      </c>
      <c r="B6" s="443"/>
      <c r="C6" s="445" t="s">
        <v>1006</v>
      </c>
      <c r="D6" s="443"/>
      <c r="E6" s="447" t="s">
        <v>1007</v>
      </c>
      <c r="F6" s="443"/>
      <c r="G6" s="445" t="s">
        <v>1008</v>
      </c>
      <c r="H6" s="443"/>
      <c r="I6" s="445" t="s">
        <v>795</v>
      </c>
      <c r="J6" s="445" t="s">
        <v>1009</v>
      </c>
      <c r="K6" s="445" t="s">
        <v>1010</v>
      </c>
      <c r="L6" s="443"/>
      <c r="M6" s="443"/>
      <c r="N6" s="443"/>
      <c r="O6" s="445" t="s">
        <v>1011</v>
      </c>
      <c r="P6" s="445" t="s">
        <v>1012</v>
      </c>
      <c r="Q6" s="445" t="s">
        <v>1013</v>
      </c>
      <c r="R6" s="443"/>
      <c r="S6" s="445" t="s">
        <v>812</v>
      </c>
      <c r="T6" s="445" t="s">
        <v>1014</v>
      </c>
      <c r="U6" s="445" t="s">
        <v>1015</v>
      </c>
      <c r="V6" s="443"/>
      <c r="W6" s="445" t="s">
        <v>1016</v>
      </c>
      <c r="X6" s="445" t="s">
        <v>1017</v>
      </c>
      <c r="Y6" s="443"/>
      <c r="Z6" s="447" t="s">
        <v>1018</v>
      </c>
      <c r="AA6" s="445" t="s">
        <v>1019</v>
      </c>
      <c r="AB6" s="445" t="s">
        <v>1020</v>
      </c>
      <c r="AC6" s="445" t="s">
        <v>1021</v>
      </c>
      <c r="AD6" s="445" t="s">
        <v>838</v>
      </c>
      <c r="AE6" s="445" t="s">
        <v>1022</v>
      </c>
      <c r="AF6" s="443"/>
      <c r="AG6" s="445" t="s">
        <v>1023</v>
      </c>
      <c r="AH6" s="445" t="s">
        <v>844</v>
      </c>
      <c r="AI6" s="443"/>
      <c r="AJ6" s="445" t="s">
        <v>1024</v>
      </c>
      <c r="AK6" s="443"/>
      <c r="AL6" s="445" t="s">
        <v>1025</v>
      </c>
      <c r="AM6" s="445" t="s">
        <v>1026</v>
      </c>
      <c r="AN6" s="445" t="s">
        <v>1027</v>
      </c>
      <c r="AO6" s="498"/>
      <c r="AP6" s="498"/>
      <c r="AQ6" s="498"/>
      <c r="AR6" s="498"/>
      <c r="AS6" s="498"/>
      <c r="AT6" s="498"/>
      <c r="AU6" s="498"/>
      <c r="AX6" t="s">
        <v>1253</v>
      </c>
      <c r="AY6" t="s">
        <v>1256</v>
      </c>
      <c r="BA6" t="s">
        <v>1263</v>
      </c>
      <c r="BG6" t="s">
        <v>1286</v>
      </c>
    </row>
    <row r="7" spans="1:60" ht="409.5" x14ac:dyDescent="0.25">
      <c r="A7" s="445" t="s">
        <v>1028</v>
      </c>
      <c r="B7" s="443"/>
      <c r="C7" s="445" t="s">
        <v>1029</v>
      </c>
      <c r="D7" s="443"/>
      <c r="E7" s="447" t="s">
        <v>1030</v>
      </c>
      <c r="F7" s="443"/>
      <c r="G7" s="443"/>
      <c r="H7" s="443"/>
      <c r="I7" s="445" t="s">
        <v>1031</v>
      </c>
      <c r="J7" s="445" t="s">
        <v>796</v>
      </c>
      <c r="K7" s="445" t="s">
        <v>800</v>
      </c>
      <c r="L7" s="443"/>
      <c r="M7" s="443"/>
      <c r="N7" s="443"/>
      <c r="O7" s="443"/>
      <c r="P7" s="445" t="s">
        <v>1032</v>
      </c>
      <c r="Q7" s="445" t="s">
        <v>1033</v>
      </c>
      <c r="R7" s="443"/>
      <c r="S7" s="445" t="s">
        <v>1034</v>
      </c>
      <c r="T7" s="445" t="s">
        <v>1035</v>
      </c>
      <c r="U7" s="443"/>
      <c r="V7" s="443"/>
      <c r="W7" s="445" t="s">
        <v>1036</v>
      </c>
      <c r="X7" s="443"/>
      <c r="Y7" s="443"/>
      <c r="Z7" s="445" t="s">
        <v>1037</v>
      </c>
      <c r="AA7" s="445" t="s">
        <v>829</v>
      </c>
      <c r="AB7" s="445" t="s">
        <v>833</v>
      </c>
      <c r="AC7" s="445" t="s">
        <v>835</v>
      </c>
      <c r="AD7" s="445" t="s">
        <v>1038</v>
      </c>
      <c r="AE7" s="445" t="s">
        <v>1039</v>
      </c>
      <c r="AF7" s="443"/>
      <c r="AG7" s="445" t="s">
        <v>1040</v>
      </c>
      <c r="AH7" s="445" t="s">
        <v>1041</v>
      </c>
      <c r="AI7" s="443"/>
      <c r="AJ7" s="445" t="s">
        <v>1042</v>
      </c>
      <c r="AK7" s="443"/>
      <c r="AL7" s="443"/>
      <c r="AM7" s="445" t="s">
        <v>1043</v>
      </c>
      <c r="AN7" s="443"/>
      <c r="AO7" s="443"/>
      <c r="AP7" s="443"/>
      <c r="AQ7" s="443"/>
      <c r="AR7" s="443"/>
      <c r="AS7" s="443"/>
      <c r="AT7" s="443"/>
      <c r="AU7" s="443"/>
      <c r="AX7"/>
      <c r="AY7" t="s">
        <v>801</v>
      </c>
      <c r="BA7" t="s">
        <v>1264</v>
      </c>
      <c r="BG7" t="s">
        <v>1287</v>
      </c>
    </row>
    <row r="8" spans="1:60" ht="409.5" x14ac:dyDescent="0.25">
      <c r="A8" s="443"/>
      <c r="B8" s="443"/>
      <c r="C8" s="445" t="s">
        <v>769</v>
      </c>
      <c r="D8" s="443"/>
      <c r="E8" s="447" t="s">
        <v>1044</v>
      </c>
      <c r="F8" s="443"/>
      <c r="G8" s="443"/>
      <c r="H8" s="443"/>
      <c r="I8" s="443"/>
      <c r="J8" s="445" t="s">
        <v>1045</v>
      </c>
      <c r="K8" s="443"/>
      <c r="L8" s="443"/>
      <c r="M8" s="443"/>
      <c r="N8" s="443"/>
      <c r="O8" s="443"/>
      <c r="P8" s="445" t="s">
        <v>805</v>
      </c>
      <c r="Q8" s="445" t="s">
        <v>1046</v>
      </c>
      <c r="R8" s="443"/>
      <c r="S8" s="445" t="s">
        <v>813</v>
      </c>
      <c r="T8" s="443"/>
      <c r="U8" s="443"/>
      <c r="V8" s="443"/>
      <c r="W8" s="445" t="s">
        <v>1047</v>
      </c>
      <c r="X8" s="443"/>
      <c r="Y8" s="443"/>
      <c r="Z8" s="443"/>
      <c r="AA8" s="445" t="s">
        <v>830</v>
      </c>
      <c r="AB8" s="445" t="s">
        <v>1048</v>
      </c>
      <c r="AC8" s="445" t="s">
        <v>836</v>
      </c>
      <c r="AD8" s="445" t="s">
        <v>1049</v>
      </c>
      <c r="AE8" s="445" t="s">
        <v>1050</v>
      </c>
      <c r="AF8" s="443"/>
      <c r="AG8" s="445" t="s">
        <v>1051</v>
      </c>
      <c r="AH8" s="445" t="s">
        <v>1052</v>
      </c>
      <c r="AI8" s="443"/>
      <c r="AJ8" s="445" t="s">
        <v>846</v>
      </c>
      <c r="AK8" s="443"/>
      <c r="AL8" s="443"/>
      <c r="AM8" s="445" t="s">
        <v>1053</v>
      </c>
      <c r="AN8" s="443"/>
      <c r="AO8" s="443"/>
      <c r="AP8" s="443"/>
      <c r="AQ8" s="443"/>
      <c r="AR8" s="443"/>
      <c r="AS8" s="443"/>
      <c r="AT8" s="443"/>
      <c r="AU8" s="443"/>
      <c r="AX8"/>
      <c r="AY8" t="s">
        <v>1054</v>
      </c>
      <c r="BA8" t="s">
        <v>1265</v>
      </c>
    </row>
    <row r="9" spans="1:60" ht="409.5" x14ac:dyDescent="0.25">
      <c r="A9" s="443"/>
      <c r="B9" s="443"/>
      <c r="C9" s="445" t="s">
        <v>783</v>
      </c>
      <c r="D9" s="443"/>
      <c r="E9" s="443"/>
      <c r="F9" s="443"/>
      <c r="G9" s="443"/>
      <c r="H9" s="443"/>
      <c r="I9" s="443"/>
      <c r="J9" s="445" t="s">
        <v>1055</v>
      </c>
      <c r="K9" s="443"/>
      <c r="L9" s="443"/>
      <c r="M9" s="443"/>
      <c r="N9" s="443"/>
      <c r="O9" s="443"/>
      <c r="P9" s="445" t="s">
        <v>1056</v>
      </c>
      <c r="Q9" s="445" t="s">
        <v>1057</v>
      </c>
      <c r="R9" s="443"/>
      <c r="S9" s="445" t="s">
        <v>1058</v>
      </c>
      <c r="T9" s="443"/>
      <c r="U9" s="443"/>
      <c r="V9" s="443"/>
      <c r="W9" s="445" t="s">
        <v>1059</v>
      </c>
      <c r="X9" s="443"/>
      <c r="Y9" s="443"/>
      <c r="Z9" s="443"/>
      <c r="AA9" s="445" t="s">
        <v>831</v>
      </c>
      <c r="AB9" s="445" t="s">
        <v>834</v>
      </c>
      <c r="AC9" s="445" t="s">
        <v>1060</v>
      </c>
      <c r="AD9" s="445" t="s">
        <v>1061</v>
      </c>
      <c r="AE9" s="445" t="s">
        <v>1062</v>
      </c>
      <c r="AF9" s="443"/>
      <c r="AG9" s="443"/>
      <c r="AH9" s="445" t="s">
        <v>1063</v>
      </c>
      <c r="AI9" s="443"/>
      <c r="AJ9" s="445" t="s">
        <v>1064</v>
      </c>
      <c r="AK9" s="443"/>
      <c r="AL9" s="443"/>
      <c r="AM9" s="445" t="s">
        <v>1065</v>
      </c>
      <c r="AN9" s="443"/>
      <c r="AO9" s="443"/>
      <c r="AP9" s="443"/>
      <c r="AQ9" s="443"/>
      <c r="AR9" s="443"/>
      <c r="AS9" s="443"/>
      <c r="AT9" s="443"/>
      <c r="AU9" s="443"/>
      <c r="AY9" t="s">
        <v>803</v>
      </c>
      <c r="BA9" t="s">
        <v>1266</v>
      </c>
    </row>
    <row r="10" spans="1:60" ht="409.5" x14ac:dyDescent="0.25">
      <c r="A10" s="443"/>
      <c r="B10" s="443"/>
      <c r="C10" s="445" t="s">
        <v>787</v>
      </c>
      <c r="D10" s="443"/>
      <c r="E10" s="443"/>
      <c r="F10" s="443"/>
      <c r="G10" s="443"/>
      <c r="H10" s="443"/>
      <c r="I10" s="443"/>
      <c r="J10" s="443"/>
      <c r="K10" s="443"/>
      <c r="L10" s="443"/>
      <c r="M10" s="443"/>
      <c r="N10" s="443"/>
      <c r="O10" s="443"/>
      <c r="P10" s="445" t="s">
        <v>806</v>
      </c>
      <c r="Q10" s="445" t="s">
        <v>809</v>
      </c>
      <c r="R10" s="443"/>
      <c r="S10" s="445" t="s">
        <v>1066</v>
      </c>
      <c r="T10" s="443"/>
      <c r="U10" s="443"/>
      <c r="V10" s="443"/>
      <c r="W10" s="443"/>
      <c r="X10" s="443"/>
      <c r="Y10" s="443"/>
      <c r="Z10" s="443"/>
      <c r="AA10" s="445" t="s">
        <v>1067</v>
      </c>
      <c r="AB10" s="443"/>
      <c r="AC10" s="445" t="s">
        <v>1068</v>
      </c>
      <c r="AD10" s="443"/>
      <c r="AE10" s="445" t="s">
        <v>1069</v>
      </c>
      <c r="AF10" s="443"/>
      <c r="AG10" s="443"/>
      <c r="AH10" s="445" t="s">
        <v>1070</v>
      </c>
      <c r="AI10" s="443"/>
      <c r="AJ10" s="443"/>
      <c r="AK10" s="443"/>
      <c r="AL10" s="443"/>
      <c r="AM10" s="443"/>
      <c r="AN10" s="443"/>
      <c r="AO10" s="443"/>
      <c r="AP10" s="443"/>
      <c r="AQ10" s="443"/>
      <c r="AR10" s="443"/>
      <c r="AS10" s="443"/>
      <c r="AT10" s="443"/>
      <c r="AU10" s="443"/>
      <c r="AY10"/>
      <c r="BA10" t="s">
        <v>1267</v>
      </c>
    </row>
    <row r="11" spans="1:60" ht="409.5" x14ac:dyDescent="0.25">
      <c r="A11" s="443"/>
      <c r="B11" s="443"/>
      <c r="C11" s="443"/>
      <c r="D11" s="443"/>
      <c r="E11" s="443"/>
      <c r="F11" s="443"/>
      <c r="G11" s="443"/>
      <c r="H11" s="443"/>
      <c r="I11" s="443"/>
      <c r="J11" s="443"/>
      <c r="K11" s="443"/>
      <c r="L11" s="443"/>
      <c r="M11" s="443"/>
      <c r="N11" s="443"/>
      <c r="O11" s="443"/>
      <c r="P11" s="445" t="s">
        <v>1071</v>
      </c>
      <c r="Q11" s="445" t="s">
        <v>1072</v>
      </c>
      <c r="R11" s="443"/>
      <c r="S11" s="445" t="s">
        <v>1073</v>
      </c>
      <c r="T11" s="443"/>
      <c r="U11" s="443"/>
      <c r="V11" s="443"/>
      <c r="W11" s="443"/>
      <c r="X11" s="443"/>
      <c r="Y11" s="443"/>
      <c r="Z11" s="443"/>
      <c r="AA11" s="443"/>
      <c r="AB11" s="443"/>
      <c r="AC11" s="445" t="s">
        <v>1074</v>
      </c>
      <c r="AD11" s="443"/>
      <c r="AE11" s="443"/>
      <c r="AF11" s="443"/>
      <c r="AG11" s="443"/>
      <c r="AH11" s="443"/>
      <c r="AI11" s="443"/>
      <c r="AJ11" s="443"/>
      <c r="AK11" s="443"/>
      <c r="AL11" s="443"/>
      <c r="AM11" s="443"/>
      <c r="AN11" s="443"/>
      <c r="AO11" s="443"/>
      <c r="AP11" s="443"/>
      <c r="AQ11" s="443"/>
      <c r="AR11" s="443"/>
      <c r="AS11" s="443"/>
      <c r="AT11" s="443"/>
      <c r="AU11" s="443"/>
      <c r="AW11" s="443"/>
      <c r="AX11" s="443"/>
      <c r="AY11" s="443"/>
      <c r="AZ11" s="443" t="s">
        <v>1075</v>
      </c>
      <c r="BA11" s="443"/>
      <c r="BB11" s="443"/>
      <c r="BC11" s="443"/>
      <c r="BD11" s="443"/>
      <c r="BE11" s="443"/>
      <c r="BF11" s="443"/>
    </row>
    <row r="12" spans="1:60" ht="285" x14ac:dyDescent="0.25">
      <c r="A12" s="443"/>
      <c r="B12" s="443"/>
      <c r="C12" s="443"/>
      <c r="D12" s="443"/>
      <c r="E12" s="443"/>
      <c r="F12" s="443"/>
      <c r="G12" s="443"/>
      <c r="H12" s="443"/>
      <c r="I12" s="443"/>
      <c r="J12" s="443"/>
      <c r="K12" s="443"/>
      <c r="L12" s="443"/>
      <c r="M12" s="443"/>
      <c r="N12" s="443"/>
      <c r="O12" s="443"/>
      <c r="P12" s="443"/>
      <c r="Q12" s="443"/>
      <c r="R12" s="443"/>
      <c r="S12" s="445" t="s">
        <v>1076</v>
      </c>
      <c r="T12" s="443"/>
      <c r="U12" s="443"/>
      <c r="V12" s="443"/>
      <c r="W12" s="443"/>
      <c r="X12" s="443"/>
      <c r="Y12" s="443"/>
      <c r="Z12" s="443"/>
      <c r="AA12" s="443"/>
      <c r="AB12" s="443"/>
      <c r="AC12" s="445" t="s">
        <v>1077</v>
      </c>
      <c r="AD12" s="443"/>
      <c r="AE12" s="443"/>
      <c r="AF12" s="443"/>
      <c r="AG12" s="443"/>
      <c r="AH12" s="443"/>
      <c r="AI12" s="443"/>
      <c r="AJ12" s="443"/>
      <c r="AK12" s="443"/>
      <c r="AL12" s="443"/>
      <c r="AM12" s="443"/>
      <c r="AN12" s="443"/>
      <c r="AO12" s="443"/>
      <c r="AP12" s="443"/>
      <c r="AQ12" s="443"/>
      <c r="AR12" s="443"/>
      <c r="AS12" s="443"/>
      <c r="AT12" s="443"/>
      <c r="AU12" s="443"/>
      <c r="AW12" s="443"/>
      <c r="AX12" s="443"/>
      <c r="AY12" s="443"/>
      <c r="AZ12" s="443" t="s">
        <v>823</v>
      </c>
      <c r="BA12" s="443"/>
      <c r="BB12" s="443"/>
      <c r="BC12" s="443"/>
      <c r="BD12" s="443"/>
      <c r="BE12" s="443"/>
      <c r="BF12" s="443"/>
    </row>
    <row r="13" spans="1:60" ht="270" x14ac:dyDescent="0.25">
      <c r="A13" s="443"/>
      <c r="B13" s="443"/>
      <c r="C13" s="443"/>
      <c r="D13" s="443"/>
      <c r="E13" s="443"/>
      <c r="F13" s="443"/>
      <c r="G13" s="443"/>
      <c r="H13" s="443"/>
      <c r="I13" s="443"/>
      <c r="J13" s="443"/>
      <c r="K13" s="443"/>
      <c r="L13" s="443"/>
      <c r="M13" s="443"/>
      <c r="N13" s="443"/>
      <c r="O13" s="443"/>
      <c r="P13" s="443"/>
      <c r="Q13" s="443"/>
      <c r="R13" s="443"/>
      <c r="S13" s="445" t="s">
        <v>1078</v>
      </c>
      <c r="T13" s="443"/>
      <c r="U13" s="443"/>
      <c r="V13" s="443"/>
      <c r="W13" s="443"/>
      <c r="X13" s="443"/>
      <c r="Y13" s="443"/>
      <c r="Z13" s="443"/>
      <c r="AA13" s="443"/>
      <c r="AB13" s="443"/>
      <c r="AC13" s="443"/>
      <c r="AD13" s="443"/>
      <c r="AE13" s="443"/>
      <c r="AF13" s="443"/>
      <c r="AG13" s="443"/>
      <c r="AH13" s="443"/>
      <c r="AI13" s="443"/>
      <c r="AJ13" s="443"/>
      <c r="AK13" s="443"/>
      <c r="AL13" s="443"/>
      <c r="AM13" s="443"/>
      <c r="AN13" s="443"/>
      <c r="AO13" s="443"/>
      <c r="AP13" s="443"/>
      <c r="AQ13" s="443"/>
      <c r="AR13" s="443"/>
      <c r="AS13" s="443"/>
      <c r="AT13" s="443"/>
      <c r="AU13" s="443"/>
    </row>
    <row r="14" spans="1:60" ht="345" x14ac:dyDescent="0.25">
      <c r="A14" s="443"/>
      <c r="B14" s="443"/>
      <c r="C14" s="443"/>
      <c r="D14" s="443"/>
      <c r="E14" s="443"/>
      <c r="F14" s="443"/>
      <c r="G14" s="443"/>
      <c r="H14" s="443"/>
      <c r="I14" s="443"/>
      <c r="J14" s="443"/>
      <c r="K14" s="443"/>
      <c r="L14" s="443"/>
      <c r="M14" s="443"/>
      <c r="N14" s="443"/>
      <c r="O14" s="443"/>
      <c r="P14" s="443"/>
      <c r="Q14" s="443"/>
      <c r="R14" s="443"/>
      <c r="S14" s="445" t="s">
        <v>1079</v>
      </c>
      <c r="T14" s="443"/>
      <c r="U14" s="443"/>
      <c r="V14" s="443"/>
      <c r="W14" s="443"/>
      <c r="X14" s="443"/>
      <c r="Y14" s="443"/>
      <c r="Z14" s="443"/>
      <c r="AA14" s="443"/>
      <c r="AB14" s="443"/>
      <c r="AC14" s="443"/>
      <c r="AD14" s="443"/>
      <c r="AE14" s="443"/>
      <c r="AF14" s="443"/>
      <c r="AG14" s="443"/>
      <c r="AH14" s="443"/>
      <c r="AI14" s="443"/>
      <c r="AJ14" s="443"/>
      <c r="AK14" s="443"/>
      <c r="AL14" s="443"/>
      <c r="AM14" s="443"/>
      <c r="AN14" s="443"/>
      <c r="AO14" s="443"/>
      <c r="AP14" s="443"/>
      <c r="AQ14" s="443"/>
      <c r="AR14" s="443"/>
      <c r="AS14" s="443"/>
      <c r="AT14" s="443"/>
      <c r="AU14" s="443"/>
    </row>
    <row r="15" spans="1:60" ht="409.5" x14ac:dyDescent="0.25">
      <c r="A15" s="443"/>
      <c r="B15" s="443"/>
      <c r="C15" s="443"/>
      <c r="D15" s="443"/>
      <c r="E15" s="443"/>
      <c r="F15" s="443"/>
      <c r="G15" s="443"/>
      <c r="H15" s="443"/>
      <c r="I15" s="443"/>
      <c r="J15" s="443"/>
      <c r="K15" s="443"/>
      <c r="L15" s="443"/>
      <c r="M15" s="443"/>
      <c r="N15" s="443"/>
      <c r="O15" s="443"/>
      <c r="P15" s="443"/>
      <c r="Q15" s="443"/>
      <c r="R15" s="443"/>
      <c r="S15" s="445" t="s">
        <v>1080</v>
      </c>
      <c r="T15" s="443"/>
      <c r="U15" s="443"/>
      <c r="V15" s="443"/>
      <c r="W15" s="443"/>
      <c r="X15" s="443"/>
      <c r="Y15" s="443"/>
      <c r="Z15" s="443"/>
      <c r="AA15" s="443"/>
      <c r="AB15" s="443"/>
      <c r="AC15" s="443"/>
      <c r="AD15" s="443"/>
      <c r="AE15" s="443"/>
      <c r="AF15" s="443"/>
      <c r="AG15" s="443"/>
      <c r="AH15" s="443"/>
      <c r="AI15" s="443"/>
      <c r="AJ15" s="443"/>
      <c r="AK15" s="443"/>
      <c r="AL15" s="443"/>
      <c r="AM15" s="443"/>
      <c r="AN15" s="443"/>
      <c r="AO15" s="443"/>
      <c r="AP15" s="443"/>
      <c r="AQ15" s="443"/>
      <c r="AR15" s="443"/>
      <c r="AS15" s="443"/>
      <c r="AT15" s="443"/>
      <c r="AU15" s="443"/>
    </row>
  </sheetData>
  <dataValidations count="1">
    <dataValidation type="list" allowBlank="1" showInputMessage="1" showErrorMessage="1" sqref="B2" xr:uid="{00000000-0002-0000-0200-000000000000}">
      <formula1>$A$79:$A$84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O124"/>
  <sheetViews>
    <sheetView tabSelected="1" workbookViewId="0">
      <selection activeCell="O21" sqref="O21"/>
    </sheetView>
  </sheetViews>
  <sheetFormatPr baseColWidth="10" defaultColWidth="11.42578125" defaultRowHeight="12.75" x14ac:dyDescent="0.2"/>
  <cols>
    <col min="1" max="1" width="2" customWidth="1"/>
    <col min="2" max="2" width="8.140625" style="406" customWidth="1"/>
    <col min="3" max="3" width="35.28515625" style="406" bestFit="1" customWidth="1"/>
    <col min="4" max="4" width="23" style="406" customWidth="1"/>
    <col min="5" max="5" width="9.85546875" style="406" customWidth="1"/>
    <col min="6" max="6" width="10.85546875" style="406" customWidth="1"/>
    <col min="7" max="7" width="11.140625" style="406" customWidth="1"/>
    <col min="8" max="8" width="10.85546875" style="406" customWidth="1"/>
    <col min="9" max="14" width="11.42578125" style="406"/>
    <col min="15" max="15" width="27.5703125" style="406" customWidth="1"/>
    <col min="16" max="16384" width="11.42578125" style="406"/>
  </cols>
  <sheetData>
    <row r="1" spans="2:15" customFormat="1" ht="6" customHeight="1" thickBot="1" x14ac:dyDescent="0.25"/>
    <row r="2" spans="2:15" customFormat="1" x14ac:dyDescent="0.2">
      <c r="B2" s="514" t="s">
        <v>288</v>
      </c>
      <c r="C2" s="515"/>
      <c r="D2" s="515"/>
      <c r="E2" s="515"/>
      <c r="F2" s="515"/>
      <c r="G2" s="516"/>
    </row>
    <row r="3" spans="2:15" customFormat="1" x14ac:dyDescent="0.2">
      <c r="B3" s="517" t="s">
        <v>1219</v>
      </c>
      <c r="C3" s="518"/>
      <c r="D3" s="518"/>
      <c r="E3" s="518"/>
      <c r="F3" s="518"/>
      <c r="G3" s="519"/>
    </row>
    <row r="4" spans="2:15" customFormat="1" ht="13.5" thickBot="1" x14ac:dyDescent="0.25">
      <c r="B4" s="517" t="s">
        <v>1220</v>
      </c>
      <c r="C4" s="518"/>
      <c r="D4" s="518"/>
      <c r="E4" s="518"/>
      <c r="F4" s="518"/>
      <c r="G4" s="519"/>
    </row>
    <row r="5" spans="2:15" customFormat="1" ht="13.5" thickBot="1" x14ac:dyDescent="0.25">
      <c r="B5" s="520"/>
      <c r="C5" s="521"/>
      <c r="D5" s="521"/>
      <c r="E5" s="521"/>
      <c r="F5" s="521"/>
      <c r="G5" s="522"/>
    </row>
    <row r="6" spans="2:15" customFormat="1" ht="12.75" customHeight="1" x14ac:dyDescent="0.2">
      <c r="B6" s="82" t="s">
        <v>53</v>
      </c>
      <c r="C6" s="70"/>
      <c r="D6" s="70"/>
      <c r="E6" s="83" t="s">
        <v>14</v>
      </c>
      <c r="F6" s="80"/>
      <c r="G6" s="81"/>
    </row>
    <row r="7" spans="2:15" customFormat="1" ht="12.75" customHeight="1" x14ac:dyDescent="0.2">
      <c r="B7" s="526">
        <f>+PM!E7</f>
        <v>0</v>
      </c>
      <c r="C7" s="527"/>
      <c r="D7" s="527"/>
      <c r="E7" s="85" t="s">
        <v>866</v>
      </c>
      <c r="F7" s="235" t="str">
        <f>+PM!D5</f>
        <v>AÑO:</v>
      </c>
      <c r="G7" s="84"/>
    </row>
    <row r="8" spans="2:15" customFormat="1" ht="25.5" customHeight="1" x14ac:dyDescent="0.2">
      <c r="B8" s="86" t="s">
        <v>427</v>
      </c>
      <c r="C8" s="528" t="str">
        <f>+PM!D4</f>
        <v xml:space="preserve">PLAN DE MEJORAMIENTO </v>
      </c>
      <c r="D8" s="528"/>
      <c r="E8" s="248"/>
      <c r="F8" s="529"/>
      <c r="G8" s="530"/>
    </row>
    <row r="9" spans="2:15" customFormat="1" ht="7.5" customHeight="1" x14ac:dyDescent="0.2">
      <c r="B9" s="523"/>
      <c r="C9" s="524"/>
      <c r="D9" s="524"/>
      <c r="E9" s="524"/>
      <c r="F9" s="524"/>
      <c r="G9" s="525"/>
    </row>
    <row r="10" spans="2:15" customFormat="1" x14ac:dyDescent="0.2">
      <c r="B10" s="508" t="s">
        <v>715</v>
      </c>
      <c r="C10" s="509"/>
      <c r="D10" s="509"/>
      <c r="E10" s="509"/>
      <c r="F10" s="509"/>
      <c r="G10" s="510"/>
      <c r="I10" s="689"/>
      <c r="J10" s="689" t="s">
        <v>717</v>
      </c>
      <c r="K10" s="689">
        <v>6</v>
      </c>
      <c r="L10" s="689"/>
      <c r="M10" s="690"/>
      <c r="N10" s="406"/>
      <c r="O10" s="406"/>
    </row>
    <row r="11" spans="2:15" customFormat="1" x14ac:dyDescent="0.2">
      <c r="B11" s="531" t="s">
        <v>869</v>
      </c>
      <c r="C11" s="531"/>
      <c r="D11" s="531"/>
      <c r="E11" s="531"/>
      <c r="F11" s="531"/>
      <c r="G11" s="531"/>
      <c r="I11" s="689"/>
      <c r="J11" s="689" t="s">
        <v>1478</v>
      </c>
      <c r="K11" s="689">
        <v>4</v>
      </c>
      <c r="L11" s="689">
        <f>+K10*K11</f>
        <v>24</v>
      </c>
      <c r="M11" s="690">
        <v>192</v>
      </c>
      <c r="N11" s="406"/>
      <c r="O11" s="406"/>
    </row>
    <row r="12" spans="2:15" customFormat="1" x14ac:dyDescent="0.2">
      <c r="B12" s="531"/>
      <c r="C12" s="531"/>
      <c r="D12" s="531"/>
      <c r="E12" s="531"/>
      <c r="F12" s="531"/>
      <c r="G12" s="531"/>
      <c r="I12" s="689"/>
      <c r="J12" s="689" t="s">
        <v>1479</v>
      </c>
      <c r="K12" s="689"/>
      <c r="L12" s="689">
        <f>+L11*K12</f>
        <v>0</v>
      </c>
      <c r="M12" s="690">
        <f>+M11/L11</f>
        <v>8</v>
      </c>
      <c r="N12" s="406"/>
      <c r="O12" s="406"/>
    </row>
    <row r="13" spans="2:15" customFormat="1" ht="13.5" thickBot="1" x14ac:dyDescent="0.25">
      <c r="B13" s="532"/>
      <c r="C13" s="532"/>
      <c r="D13" s="532"/>
      <c r="E13" s="532"/>
      <c r="F13" s="532"/>
      <c r="G13" s="532"/>
      <c r="I13" s="689"/>
      <c r="J13" s="689"/>
      <c r="K13" s="689"/>
      <c r="L13" s="689"/>
      <c r="M13" s="689"/>
      <c r="N13" s="689"/>
      <c r="O13" s="690"/>
    </row>
    <row r="14" spans="2:15" customFormat="1" ht="13.5" thickBot="1" x14ac:dyDescent="0.25">
      <c r="B14" s="511" t="s">
        <v>257</v>
      </c>
      <c r="C14" s="512"/>
      <c r="D14" s="512"/>
      <c r="E14" s="512"/>
      <c r="F14" s="512"/>
      <c r="G14" s="513"/>
      <c r="I14" s="689"/>
      <c r="J14" s="689"/>
      <c r="K14" s="689"/>
      <c r="L14" s="689"/>
      <c r="M14" s="689"/>
      <c r="N14" s="689"/>
      <c r="O14" s="690"/>
    </row>
    <row r="15" spans="2:15" customFormat="1" ht="13.5" thickBot="1" x14ac:dyDescent="0.25">
      <c r="B15" s="511" t="s">
        <v>260</v>
      </c>
      <c r="C15" s="512"/>
      <c r="D15" s="512"/>
      <c r="E15" s="512"/>
      <c r="F15" s="512"/>
      <c r="G15" s="513"/>
      <c r="I15" s="689" t="s">
        <v>1480</v>
      </c>
      <c r="J15" s="691">
        <v>30</v>
      </c>
      <c r="K15" s="689"/>
      <c r="L15" s="689" t="s">
        <v>1481</v>
      </c>
      <c r="M15" s="689"/>
      <c r="N15" s="689"/>
      <c r="O15" s="690"/>
    </row>
    <row r="16" spans="2:15" customFormat="1" ht="27" x14ac:dyDescent="0.25">
      <c r="B16" s="48" t="s">
        <v>0</v>
      </c>
      <c r="C16" s="49" t="s">
        <v>1</v>
      </c>
      <c r="D16" s="49" t="s">
        <v>716</v>
      </c>
      <c r="E16" s="49" t="s">
        <v>717</v>
      </c>
      <c r="F16" s="50" t="s">
        <v>5</v>
      </c>
      <c r="G16" s="51" t="s">
        <v>7</v>
      </c>
      <c r="H16" s="389" t="s">
        <v>882</v>
      </c>
      <c r="I16" s="692" t="s">
        <v>1478</v>
      </c>
      <c r="J16" s="693" t="s">
        <v>1482</v>
      </c>
      <c r="K16" s="693" t="s">
        <v>1483</v>
      </c>
      <c r="L16" s="693" t="s">
        <v>1484</v>
      </c>
      <c r="M16" s="693" t="s">
        <v>1485</v>
      </c>
      <c r="N16" s="693" t="s">
        <v>1486</v>
      </c>
      <c r="O16" s="690"/>
    </row>
    <row r="17" spans="2:15" ht="25.5" x14ac:dyDescent="0.2">
      <c r="B17" s="396">
        <v>1</v>
      </c>
      <c r="C17" s="298" t="s">
        <v>1173</v>
      </c>
      <c r="D17" s="393" t="s">
        <v>874</v>
      </c>
      <c r="E17" s="299">
        <v>150</v>
      </c>
      <c r="F17" s="300">
        <f>IFERROR(VLOOKUP(C17,'2025'!$A$148:$B$161,2,0),0)</f>
        <v>17790</v>
      </c>
      <c r="G17" s="397">
        <f>(E17*F17)*1.51852</f>
        <v>4052170.62</v>
      </c>
      <c r="H17" s="398" t="s">
        <v>1225</v>
      </c>
      <c r="I17" s="694">
        <v>4</v>
      </c>
      <c r="J17" s="695">
        <f t="shared" ref="J17" si="0">+I17/4</f>
        <v>1</v>
      </c>
      <c r="K17" s="695">
        <f>+J17*J15</f>
        <v>30</v>
      </c>
      <c r="L17" s="696">
        <v>5</v>
      </c>
      <c r="M17" s="696">
        <v>1</v>
      </c>
      <c r="N17" s="696">
        <f t="shared" ref="N17" si="1">+I17*L17*M17</f>
        <v>20</v>
      </c>
      <c r="O17" s="705" t="s">
        <v>1487</v>
      </c>
    </row>
    <row r="18" spans="2:15" ht="22.5" x14ac:dyDescent="0.2">
      <c r="B18" s="396">
        <f>+B17+1</f>
        <v>2</v>
      </c>
      <c r="C18" s="298"/>
      <c r="D18" s="302" t="s">
        <v>875</v>
      </c>
      <c r="E18" s="299">
        <v>10</v>
      </c>
      <c r="F18" s="300">
        <f>IFERROR(VLOOKUP(C18,'2025'!$A$148:$B$161,2,0),0)</f>
        <v>0</v>
      </c>
      <c r="G18" s="397">
        <f t="shared" ref="G18" si="2">(E18*F18)*1.51852</f>
        <v>0</v>
      </c>
      <c r="H18" s="398" t="s">
        <v>1224</v>
      </c>
      <c r="I18" s="694">
        <v>32</v>
      </c>
      <c r="J18" s="695">
        <f>+I18/4</f>
        <v>8</v>
      </c>
      <c r="K18" s="695">
        <f>+J18*J15</f>
        <v>240</v>
      </c>
      <c r="L18" s="696">
        <v>4</v>
      </c>
      <c r="M18" s="696">
        <v>2</v>
      </c>
      <c r="N18" s="696">
        <f>+I18*L18*M18</f>
        <v>256</v>
      </c>
      <c r="O18" s="697"/>
    </row>
    <row r="19" spans="2:15" x14ac:dyDescent="0.2">
      <c r="B19" s="396">
        <f t="shared" ref="B19:B41" si="3">+B18+1</f>
        <v>3</v>
      </c>
      <c r="C19" s="298"/>
      <c r="D19" s="302"/>
      <c r="E19" s="299">
        <v>200</v>
      </c>
      <c r="F19" s="300">
        <f>IFERROR(VLOOKUP(C19,'2025'!$A$148:$B$161,2,0),0)</f>
        <v>0</v>
      </c>
      <c r="G19" s="397">
        <f t="shared" ref="G19:G31" si="4">(E19*F19)*1.51852</f>
        <v>0</v>
      </c>
      <c r="H19" s="398" t="s">
        <v>1226</v>
      </c>
      <c r="I19" s="694">
        <v>16</v>
      </c>
      <c r="J19" s="695">
        <f>+I19/4</f>
        <v>4</v>
      </c>
      <c r="K19" s="695">
        <f t="shared" ref="K19" si="5">+J19*$J$15</f>
        <v>120</v>
      </c>
      <c r="L19" s="696">
        <v>2</v>
      </c>
      <c r="M19" s="696">
        <v>2</v>
      </c>
      <c r="N19" s="696">
        <f>+I19*L19*M19</f>
        <v>64</v>
      </c>
      <c r="O19" s="697"/>
    </row>
    <row r="20" spans="2:15" x14ac:dyDescent="0.2">
      <c r="B20" s="396">
        <f t="shared" si="3"/>
        <v>4</v>
      </c>
      <c r="C20" s="298"/>
      <c r="D20" s="302"/>
      <c r="E20" s="299"/>
      <c r="F20" s="300">
        <f>IFERROR(VLOOKUP(C20,'2025'!$A$148:$B$161,2,0),0)</f>
        <v>0</v>
      </c>
      <c r="G20" s="397">
        <f t="shared" si="4"/>
        <v>0</v>
      </c>
      <c r="H20" s="398" t="s">
        <v>1227</v>
      </c>
      <c r="I20" s="694"/>
      <c r="J20" s="695"/>
      <c r="K20" s="695"/>
      <c r="L20" s="696"/>
      <c r="M20" s="696"/>
      <c r="N20" s="696"/>
      <c r="O20" s="697"/>
    </row>
    <row r="21" spans="2:15" x14ac:dyDescent="0.2">
      <c r="B21" s="396">
        <f t="shared" si="3"/>
        <v>5</v>
      </c>
      <c r="C21" s="298"/>
      <c r="D21" s="302"/>
      <c r="E21" s="299"/>
      <c r="F21" s="300">
        <f>IFERROR(VLOOKUP(C21,'2025'!$A$148:$B$161,2,0),0)</f>
        <v>0</v>
      </c>
      <c r="G21" s="397">
        <f t="shared" si="4"/>
        <v>0</v>
      </c>
      <c r="H21" s="398" t="s">
        <v>1228</v>
      </c>
      <c r="I21" s="694"/>
      <c r="J21" s="695"/>
      <c r="K21" s="695"/>
      <c r="L21" s="696"/>
      <c r="M21" s="696"/>
      <c r="N21" s="696"/>
      <c r="O21" s="697"/>
    </row>
    <row r="22" spans="2:15" x14ac:dyDescent="0.2">
      <c r="B22" s="396">
        <f>+B21+1</f>
        <v>6</v>
      </c>
      <c r="C22" s="298"/>
      <c r="D22" s="302"/>
      <c r="E22" s="299"/>
      <c r="F22" s="300">
        <f>IFERROR(VLOOKUP(C22,'2025'!$A$148:$B$161,2,0),0)</f>
        <v>0</v>
      </c>
      <c r="G22" s="397">
        <f t="shared" si="4"/>
        <v>0</v>
      </c>
      <c r="H22" s="398" t="s">
        <v>1230</v>
      </c>
      <c r="I22" s="694"/>
      <c r="J22" s="695"/>
      <c r="K22" s="695"/>
      <c r="L22" s="696"/>
      <c r="M22" s="696"/>
      <c r="N22" s="696"/>
      <c r="O22" s="697"/>
    </row>
    <row r="23" spans="2:15" x14ac:dyDescent="0.2">
      <c r="B23" s="396">
        <f>+B22+1</f>
        <v>7</v>
      </c>
      <c r="C23" s="298"/>
      <c r="D23" s="302"/>
      <c r="E23" s="299"/>
      <c r="F23" s="300">
        <f>IFERROR(VLOOKUP(C23,'2025'!$A$148:$B$161,2,0),0)</f>
        <v>0</v>
      </c>
      <c r="G23" s="397">
        <f t="shared" si="4"/>
        <v>0</v>
      </c>
      <c r="H23" s="398"/>
      <c r="I23" s="694"/>
      <c r="J23" s="695"/>
      <c r="K23" s="695"/>
      <c r="L23" s="696"/>
      <c r="M23" s="696"/>
      <c r="N23" s="696"/>
      <c r="O23" s="697"/>
    </row>
    <row r="24" spans="2:15" x14ac:dyDescent="0.2">
      <c r="B24" s="396">
        <f t="shared" si="3"/>
        <v>8</v>
      </c>
      <c r="C24" s="298"/>
      <c r="D24" s="302"/>
      <c r="E24" s="299"/>
      <c r="F24" s="300">
        <f>IFERROR(VLOOKUP(C24,'2025'!$A$148:$B$161,2,0),0)</f>
        <v>0</v>
      </c>
      <c r="G24" s="397">
        <f t="shared" si="4"/>
        <v>0</v>
      </c>
      <c r="H24" s="398"/>
      <c r="I24" s="694"/>
      <c r="J24" s="695"/>
      <c r="K24" s="695"/>
      <c r="L24" s="696"/>
      <c r="M24" s="696"/>
      <c r="N24" s="696"/>
      <c r="O24" s="697"/>
    </row>
    <row r="25" spans="2:15" x14ac:dyDescent="0.2">
      <c r="B25" s="396">
        <f t="shared" si="3"/>
        <v>9</v>
      </c>
      <c r="C25" s="298"/>
      <c r="D25" s="302"/>
      <c r="E25" s="299"/>
      <c r="F25" s="300">
        <f>IFERROR(VLOOKUP(C25,'2025'!$A$148:$B$161,2,0),0)</f>
        <v>0</v>
      </c>
      <c r="G25" s="397">
        <f t="shared" si="4"/>
        <v>0</v>
      </c>
      <c r="H25" s="398"/>
      <c r="I25" s="694"/>
      <c r="J25" s="695"/>
      <c r="K25" s="695"/>
      <c r="L25" s="696"/>
      <c r="M25" s="696"/>
      <c r="N25" s="696"/>
      <c r="O25" s="697"/>
    </row>
    <row r="26" spans="2:15" x14ac:dyDescent="0.2">
      <c r="B26" s="396">
        <f t="shared" si="3"/>
        <v>10</v>
      </c>
      <c r="C26" s="298"/>
      <c r="D26" s="302"/>
      <c r="E26" s="299"/>
      <c r="F26" s="300">
        <f>IFERROR(VLOOKUP(C26,'2025'!$A$148:$B$161,2,0),0)</f>
        <v>0</v>
      </c>
      <c r="G26" s="397">
        <f t="shared" si="4"/>
        <v>0</v>
      </c>
      <c r="H26" s="398"/>
      <c r="I26" s="694"/>
      <c r="J26" s="695"/>
      <c r="K26" s="695"/>
      <c r="L26" s="696"/>
      <c r="M26" s="696"/>
      <c r="N26" s="696"/>
      <c r="O26" s="697"/>
    </row>
    <row r="27" spans="2:15" x14ac:dyDescent="0.2">
      <c r="B27" s="396">
        <f t="shared" si="3"/>
        <v>11</v>
      </c>
      <c r="C27" s="298"/>
      <c r="D27" s="302"/>
      <c r="E27" s="299"/>
      <c r="F27" s="300">
        <f>IFERROR(VLOOKUP(C27,'2025'!$A$148:$B$161,2,0),0)</f>
        <v>0</v>
      </c>
      <c r="G27" s="397">
        <f t="shared" si="4"/>
        <v>0</v>
      </c>
      <c r="H27" s="398"/>
      <c r="I27" s="694"/>
      <c r="J27" s="695"/>
      <c r="K27" s="695"/>
      <c r="L27" s="696"/>
      <c r="M27" s="696"/>
      <c r="N27" s="696"/>
      <c r="O27" s="697"/>
    </row>
    <row r="28" spans="2:15" x14ac:dyDescent="0.2">
      <c r="B28" s="396">
        <f t="shared" si="3"/>
        <v>12</v>
      </c>
      <c r="C28" s="298"/>
      <c r="D28" s="302"/>
      <c r="E28" s="299"/>
      <c r="F28" s="300">
        <f>IFERROR(VLOOKUP(C28,'2025'!$A$148:$B$161,2,0),0)</f>
        <v>0</v>
      </c>
      <c r="G28" s="397">
        <f t="shared" si="4"/>
        <v>0</v>
      </c>
      <c r="H28" s="398"/>
      <c r="I28" s="694"/>
      <c r="J28" s="695"/>
      <c r="K28" s="695"/>
      <c r="L28" s="696"/>
      <c r="M28" s="696"/>
      <c r="N28" s="696"/>
      <c r="O28" s="697"/>
    </row>
    <row r="29" spans="2:15" x14ac:dyDescent="0.2">
      <c r="B29" s="396">
        <f t="shared" si="3"/>
        <v>13</v>
      </c>
      <c r="C29" s="298"/>
      <c r="D29" s="302"/>
      <c r="E29" s="299"/>
      <c r="F29" s="300">
        <f>IFERROR(VLOOKUP(C29,'2025'!$A$148:$B$161,2,0),0)</f>
        <v>0</v>
      </c>
      <c r="G29" s="397">
        <f t="shared" si="4"/>
        <v>0</v>
      </c>
      <c r="H29" s="398"/>
      <c r="I29" s="694"/>
      <c r="J29" s="695"/>
      <c r="K29" s="695"/>
      <c r="L29" s="696"/>
      <c r="M29" s="696"/>
      <c r="N29" s="696"/>
      <c r="O29" s="697"/>
    </row>
    <row r="30" spans="2:15" x14ac:dyDescent="0.2">
      <c r="B30" s="396">
        <f t="shared" si="3"/>
        <v>14</v>
      </c>
      <c r="C30" s="298"/>
      <c r="D30" s="302"/>
      <c r="E30" s="299"/>
      <c r="F30" s="300">
        <f>IFERROR(VLOOKUP(C30,'2025'!$A$148:$B$161,2,0),0)</f>
        <v>0</v>
      </c>
      <c r="G30" s="397">
        <f t="shared" si="4"/>
        <v>0</v>
      </c>
      <c r="H30" s="398"/>
      <c r="I30" s="694"/>
      <c r="J30" s="695"/>
      <c r="K30" s="695"/>
      <c r="L30" s="696"/>
      <c r="M30" s="696"/>
      <c r="N30" s="696"/>
      <c r="O30" s="697"/>
    </row>
    <row r="31" spans="2:15" x14ac:dyDescent="0.2">
      <c r="B31" s="396">
        <f t="shared" si="3"/>
        <v>15</v>
      </c>
      <c r="C31" s="298"/>
      <c r="D31" s="302"/>
      <c r="E31" s="299"/>
      <c r="F31" s="300">
        <f>IFERROR(VLOOKUP(C31,'2025'!$A$148:$B$161,2,0),0)</f>
        <v>0</v>
      </c>
      <c r="G31" s="397">
        <f t="shared" si="4"/>
        <v>0</v>
      </c>
      <c r="H31" s="398"/>
      <c r="I31" s="694"/>
      <c r="J31" s="695"/>
      <c r="K31" s="695"/>
      <c r="L31" s="696"/>
      <c r="M31" s="696"/>
      <c r="N31" s="696"/>
      <c r="O31" s="697"/>
    </row>
    <row r="32" spans="2:15" x14ac:dyDescent="0.2">
      <c r="B32" s="396">
        <f t="shared" si="3"/>
        <v>16</v>
      </c>
      <c r="C32" s="298"/>
      <c r="D32" s="302"/>
      <c r="E32" s="299"/>
      <c r="F32" s="300">
        <f>IFERROR(VLOOKUP(C32,'2025'!$A$148:$B$161,2,0),0)</f>
        <v>0</v>
      </c>
      <c r="G32" s="397">
        <f t="shared" ref="G32:G41" si="6">(E32*F32)*1.51852</f>
        <v>0</v>
      </c>
      <c r="H32" s="398"/>
      <c r="I32" s="694"/>
      <c r="J32" s="695"/>
      <c r="K32" s="695"/>
      <c r="L32" s="696"/>
      <c r="M32" s="696"/>
      <c r="N32" s="696"/>
      <c r="O32" s="697"/>
    </row>
    <row r="33" spans="2:15" x14ac:dyDescent="0.2">
      <c r="B33" s="396">
        <f t="shared" si="3"/>
        <v>17</v>
      </c>
      <c r="C33" s="298"/>
      <c r="D33" s="302"/>
      <c r="E33" s="299"/>
      <c r="F33" s="300">
        <f>IFERROR(VLOOKUP(C33,'2025'!$A$148:$B$161,2,0),0)</f>
        <v>0</v>
      </c>
      <c r="G33" s="397">
        <f t="shared" ref="G33:G40" si="7">(E33*F33)*1.51852</f>
        <v>0</v>
      </c>
      <c r="H33" s="398"/>
      <c r="I33" s="694"/>
      <c r="J33" s="695"/>
      <c r="K33" s="695"/>
      <c r="L33" s="696"/>
      <c r="M33" s="696"/>
      <c r="N33" s="696"/>
      <c r="O33" s="697"/>
    </row>
    <row r="34" spans="2:15" x14ac:dyDescent="0.2">
      <c r="B34" s="396">
        <f t="shared" si="3"/>
        <v>18</v>
      </c>
      <c r="C34" s="298"/>
      <c r="D34" s="302"/>
      <c r="E34" s="299"/>
      <c r="F34" s="300">
        <f>IFERROR(VLOOKUP(C34,'2025'!$A$148:$B$161,2,0),0)</f>
        <v>0</v>
      </c>
      <c r="G34" s="397">
        <f t="shared" si="7"/>
        <v>0</v>
      </c>
      <c r="H34" s="398"/>
      <c r="I34" s="694"/>
      <c r="J34" s="695"/>
      <c r="K34" s="695"/>
      <c r="L34" s="696"/>
      <c r="M34" s="696"/>
      <c r="N34" s="696"/>
      <c r="O34" s="697"/>
    </row>
    <row r="35" spans="2:15" x14ac:dyDescent="0.2">
      <c r="B35" s="396">
        <f t="shared" si="3"/>
        <v>19</v>
      </c>
      <c r="C35" s="298"/>
      <c r="D35" s="302"/>
      <c r="E35" s="299"/>
      <c r="F35" s="300">
        <f>IFERROR(VLOOKUP(C35,'2025'!$A$148:$B$161,2,0),0)</f>
        <v>0</v>
      </c>
      <c r="G35" s="397">
        <f t="shared" si="7"/>
        <v>0</v>
      </c>
      <c r="H35" s="398"/>
      <c r="I35" s="698"/>
      <c r="J35" s="699"/>
      <c r="K35" s="699"/>
      <c r="L35" s="696"/>
      <c r="M35" s="696"/>
      <c r="N35" s="696"/>
      <c r="O35" s="697"/>
    </row>
    <row r="36" spans="2:15" x14ac:dyDescent="0.2">
      <c r="B36" s="396">
        <f t="shared" si="3"/>
        <v>20</v>
      </c>
      <c r="C36" s="298"/>
      <c r="D36" s="302"/>
      <c r="E36" s="299"/>
      <c r="F36" s="300">
        <f>IFERROR(VLOOKUP(C36,'2025'!$A$148:$B$161,2,0),0)</f>
        <v>0</v>
      </c>
      <c r="G36" s="397">
        <f t="shared" si="7"/>
        <v>0</v>
      </c>
      <c r="H36" s="398"/>
      <c r="I36" s="700"/>
      <c r="J36" s="701"/>
      <c r="K36" s="701"/>
      <c r="L36" s="696"/>
      <c r="M36" s="696"/>
      <c r="N36" s="696"/>
      <c r="O36" s="697"/>
    </row>
    <row r="37" spans="2:15" x14ac:dyDescent="0.2">
      <c r="B37" s="396">
        <f t="shared" si="3"/>
        <v>21</v>
      </c>
      <c r="C37" s="298"/>
      <c r="D37" s="302"/>
      <c r="E37" s="299"/>
      <c r="F37" s="300">
        <f>IFERROR(VLOOKUP(C37,'2025'!$A$148:$B$161,2,0),0)</f>
        <v>0</v>
      </c>
      <c r="G37" s="397">
        <f t="shared" ref="G37:G39" si="8">(E37*F37)*1.51852</f>
        <v>0</v>
      </c>
      <c r="H37" s="398"/>
      <c r="I37" s="700"/>
      <c r="J37" s="701"/>
      <c r="K37" s="701"/>
      <c r="L37" s="696"/>
      <c r="M37" s="696"/>
      <c r="N37" s="696"/>
      <c r="O37" s="697"/>
    </row>
    <row r="38" spans="2:15" x14ac:dyDescent="0.2">
      <c r="B38" s="396">
        <f t="shared" si="3"/>
        <v>22</v>
      </c>
      <c r="C38" s="298"/>
      <c r="D38" s="302"/>
      <c r="E38" s="299"/>
      <c r="F38" s="300">
        <f>IFERROR(VLOOKUP(C38,'2025'!$A$148:$B$161,2,0),0)</f>
        <v>0</v>
      </c>
      <c r="G38" s="397">
        <f t="shared" si="8"/>
        <v>0</v>
      </c>
      <c r="H38" s="398"/>
      <c r="I38" s="700"/>
      <c r="J38" s="701"/>
      <c r="K38" s="701"/>
      <c r="L38" s="696"/>
      <c r="M38" s="696"/>
      <c r="N38" s="696"/>
      <c r="O38" s="697"/>
    </row>
    <row r="39" spans="2:15" x14ac:dyDescent="0.2">
      <c r="B39" s="396">
        <f t="shared" si="3"/>
        <v>23</v>
      </c>
      <c r="C39" s="298"/>
      <c r="D39" s="302"/>
      <c r="E39" s="299"/>
      <c r="F39" s="300">
        <f>IFERROR(VLOOKUP(C39,'2025'!$A$148:$B$161,2,0),0)</f>
        <v>0</v>
      </c>
      <c r="G39" s="397">
        <f t="shared" si="8"/>
        <v>0</v>
      </c>
      <c r="H39" s="398"/>
      <c r="I39" s="700"/>
      <c r="J39" s="701"/>
      <c r="K39" s="701"/>
      <c r="L39" s="696"/>
      <c r="M39" s="696"/>
      <c r="N39" s="696"/>
      <c r="O39" s="697"/>
    </row>
    <row r="40" spans="2:15" x14ac:dyDescent="0.2">
      <c r="B40" s="396">
        <f t="shared" si="3"/>
        <v>24</v>
      </c>
      <c r="C40" s="298"/>
      <c r="D40" s="302"/>
      <c r="E40" s="299"/>
      <c r="F40" s="300">
        <f>IFERROR(VLOOKUP(C40,'2025'!$A$148:$B$161,2,0),0)</f>
        <v>0</v>
      </c>
      <c r="G40" s="397">
        <f t="shared" si="7"/>
        <v>0</v>
      </c>
      <c r="H40" s="398"/>
      <c r="I40" s="700"/>
      <c r="J40" s="701"/>
      <c r="K40" s="701"/>
      <c r="L40" s="696"/>
      <c r="M40" s="696"/>
      <c r="N40" s="696"/>
      <c r="O40" s="697"/>
    </row>
    <row r="41" spans="2:15" x14ac:dyDescent="0.2">
      <c r="B41" s="396">
        <f t="shared" si="3"/>
        <v>25</v>
      </c>
      <c r="C41" s="298"/>
      <c r="D41" s="302"/>
      <c r="E41" s="299"/>
      <c r="F41" s="300">
        <f>IFERROR(VLOOKUP(C41,'2025'!$A$148:$B$161,2,0),0)</f>
        <v>0</v>
      </c>
      <c r="G41" s="397">
        <f t="shared" si="6"/>
        <v>0</v>
      </c>
      <c r="H41" s="398"/>
      <c r="I41" s="694"/>
      <c r="J41" s="701"/>
      <c r="K41" s="701"/>
      <c r="L41" s="696"/>
      <c r="M41" s="696"/>
      <c r="N41" s="696"/>
      <c r="O41" s="697"/>
    </row>
    <row r="42" spans="2:15" ht="13.5" thickBot="1" x14ac:dyDescent="0.25">
      <c r="B42" s="399"/>
      <c r="C42" s="400" t="s">
        <v>16</v>
      </c>
      <c r="D42" s="401"/>
      <c r="E42" s="401"/>
      <c r="F42" s="402"/>
      <c r="G42" s="403">
        <f>SUM(G17:G41)</f>
        <v>4052170.62</v>
      </c>
      <c r="H42" s="404"/>
      <c r="I42" s="694"/>
      <c r="J42" s="701"/>
      <c r="K42" s="701"/>
      <c r="L42" s="696"/>
      <c r="M42" s="696"/>
      <c r="N42" s="696"/>
      <c r="O42" s="697"/>
    </row>
    <row r="43" spans="2:15" ht="13.5" thickBot="1" x14ac:dyDescent="0.25">
      <c r="B43" s="405"/>
      <c r="G43" s="407"/>
      <c r="I43" s="694"/>
      <c r="J43" s="695"/>
      <c r="K43" s="695"/>
      <c r="L43" s="696"/>
      <c r="M43" s="696"/>
      <c r="N43" s="696"/>
      <c r="O43" s="697"/>
    </row>
    <row r="44" spans="2:15" ht="13.5" thickBot="1" x14ac:dyDescent="0.25">
      <c r="B44" s="500" t="s">
        <v>261</v>
      </c>
      <c r="C44" s="501"/>
      <c r="D44" s="501"/>
      <c r="E44" s="501"/>
      <c r="F44" s="501"/>
      <c r="G44" s="502"/>
      <c r="I44" s="694"/>
      <c r="J44" s="695"/>
      <c r="K44" s="695"/>
      <c r="L44" s="696"/>
      <c r="M44" s="696"/>
      <c r="N44" s="696"/>
      <c r="O44" s="697"/>
    </row>
    <row r="45" spans="2:15" ht="24" x14ac:dyDescent="0.2">
      <c r="B45" s="408" t="s">
        <v>0</v>
      </c>
      <c r="C45" s="409" t="s">
        <v>1</v>
      </c>
      <c r="D45" s="409" t="s">
        <v>716</v>
      </c>
      <c r="E45" s="409" t="s">
        <v>717</v>
      </c>
      <c r="F45" s="410" t="s">
        <v>5</v>
      </c>
      <c r="G45" s="411" t="s">
        <v>7</v>
      </c>
      <c r="H45" s="412" t="s">
        <v>882</v>
      </c>
      <c r="I45" s="694"/>
      <c r="J45" s="695"/>
      <c r="K45" s="695"/>
      <c r="L45" s="696"/>
      <c r="M45" s="696"/>
      <c r="N45" s="696"/>
      <c r="O45" s="697"/>
    </row>
    <row r="46" spans="2:15" x14ac:dyDescent="0.2">
      <c r="B46" s="396">
        <v>1</v>
      </c>
      <c r="C46" s="298" t="s">
        <v>720</v>
      </c>
      <c r="D46" s="295"/>
      <c r="E46" s="299">
        <v>70</v>
      </c>
      <c r="F46" s="300">
        <f>IFERROR(VLOOKUP(C46,'2025'!$A$167:$B$170,2,0),0)</f>
        <v>17510</v>
      </c>
      <c r="G46" s="397">
        <f t="shared" ref="G46" si="9">(E46*F46)*1.51852</f>
        <v>1861249.9640000002</v>
      </c>
      <c r="H46" s="398" t="s">
        <v>1224</v>
      </c>
      <c r="I46" s="694"/>
      <c r="J46" s="695"/>
      <c r="K46" s="695"/>
      <c r="L46" s="696"/>
      <c r="M46" s="696"/>
      <c r="N46" s="696"/>
      <c r="O46" s="697"/>
    </row>
    <row r="47" spans="2:15" x14ac:dyDescent="0.2">
      <c r="B47" s="396">
        <f>+B46+1</f>
        <v>2</v>
      </c>
      <c r="C47" s="298"/>
      <c r="D47" s="295"/>
      <c r="E47" s="299"/>
      <c r="F47" s="300">
        <f>IFERROR(VLOOKUP(C47,'2025'!$A$167:$B$170,2,0),0)</f>
        <v>0</v>
      </c>
      <c r="G47" s="397">
        <f t="shared" ref="G47:G58" si="10">(E47*F47)*1.51852</f>
        <v>0</v>
      </c>
      <c r="H47" s="398" t="s">
        <v>1225</v>
      </c>
      <c r="I47" s="694"/>
      <c r="J47" s="695"/>
      <c r="K47" s="695"/>
      <c r="L47" s="696"/>
      <c r="M47" s="696"/>
      <c r="N47" s="696"/>
      <c r="O47" s="697"/>
    </row>
    <row r="48" spans="2:15" x14ac:dyDescent="0.2">
      <c r="B48" s="396">
        <f t="shared" ref="B48:B58" si="11">+B47+1</f>
        <v>3</v>
      </c>
      <c r="C48" s="298"/>
      <c r="D48" s="295"/>
      <c r="E48" s="299"/>
      <c r="F48" s="300">
        <f>IFERROR(VLOOKUP(C48,'2025'!$A$167:$B$170,2,0),0)</f>
        <v>0</v>
      </c>
      <c r="G48" s="397">
        <f t="shared" si="10"/>
        <v>0</v>
      </c>
      <c r="H48" s="398" t="s">
        <v>1226</v>
      </c>
      <c r="I48" s="694"/>
      <c r="J48" s="695"/>
      <c r="K48" s="695"/>
      <c r="L48" s="696"/>
      <c r="M48" s="696"/>
      <c r="N48" s="696"/>
      <c r="O48" s="697"/>
    </row>
    <row r="49" spans="2:15" x14ac:dyDescent="0.2">
      <c r="B49" s="396">
        <f t="shared" si="11"/>
        <v>4</v>
      </c>
      <c r="C49" s="298"/>
      <c r="D49" s="295"/>
      <c r="E49" s="299"/>
      <c r="F49" s="300">
        <f>IFERROR(VLOOKUP(C49,'2025'!$A$167:$B$170,2,0),0)</f>
        <v>0</v>
      </c>
      <c r="G49" s="397">
        <f t="shared" si="10"/>
        <v>0</v>
      </c>
      <c r="H49" s="398" t="s">
        <v>1227</v>
      </c>
      <c r="I49" s="694"/>
      <c r="J49" s="695"/>
      <c r="K49" s="695"/>
      <c r="L49" s="696"/>
      <c r="M49" s="696"/>
      <c r="N49" s="696"/>
      <c r="O49" s="697"/>
    </row>
    <row r="50" spans="2:15" x14ac:dyDescent="0.2">
      <c r="B50" s="396">
        <f t="shared" si="11"/>
        <v>5</v>
      </c>
      <c r="C50" s="298"/>
      <c r="D50" s="295"/>
      <c r="E50" s="299"/>
      <c r="F50" s="300">
        <f>IFERROR(VLOOKUP(C50,'2025'!$A$167:$B$170,2,0),0)</f>
        <v>0</v>
      </c>
      <c r="G50" s="397">
        <f t="shared" si="10"/>
        <v>0</v>
      </c>
      <c r="H50" s="398"/>
      <c r="I50" s="694"/>
      <c r="J50" s="695"/>
      <c r="K50" s="695"/>
      <c r="L50" s="696"/>
      <c r="M50" s="696"/>
      <c r="N50" s="696"/>
      <c r="O50" s="697"/>
    </row>
    <row r="51" spans="2:15" x14ac:dyDescent="0.2">
      <c r="B51" s="396">
        <f t="shared" si="11"/>
        <v>6</v>
      </c>
      <c r="C51" s="298"/>
      <c r="D51" s="295"/>
      <c r="E51" s="299"/>
      <c r="F51" s="300">
        <f>IFERROR(VLOOKUP(C51,'2025'!$A$167:$B$170,2,0),0)</f>
        <v>0</v>
      </c>
      <c r="G51" s="397">
        <f t="shared" si="10"/>
        <v>0</v>
      </c>
      <c r="H51" s="398"/>
      <c r="I51" s="694"/>
      <c r="J51" s="695"/>
      <c r="K51" s="695"/>
      <c r="L51" s="696"/>
      <c r="M51" s="696"/>
      <c r="N51" s="696"/>
      <c r="O51" s="697"/>
    </row>
    <row r="52" spans="2:15" x14ac:dyDescent="0.2">
      <c r="B52" s="396">
        <f t="shared" si="11"/>
        <v>7</v>
      </c>
      <c r="C52" s="298"/>
      <c r="D52" s="295"/>
      <c r="E52" s="299"/>
      <c r="F52" s="300">
        <f>IFERROR(VLOOKUP(C52,'2025'!$A$167:$B$170,2,0),0)</f>
        <v>0</v>
      </c>
      <c r="G52" s="397">
        <f t="shared" si="10"/>
        <v>0</v>
      </c>
      <c r="H52" s="398"/>
      <c r="I52" s="698"/>
      <c r="J52" s="699"/>
      <c r="K52" s="699"/>
      <c r="L52" s="696"/>
      <c r="M52" s="696"/>
      <c r="N52" s="696"/>
      <c r="O52" s="697"/>
    </row>
    <row r="53" spans="2:15" x14ac:dyDescent="0.2">
      <c r="B53" s="396">
        <f t="shared" si="11"/>
        <v>8</v>
      </c>
      <c r="C53" s="298"/>
      <c r="D53" s="295"/>
      <c r="E53" s="299"/>
      <c r="F53" s="300">
        <f>IFERROR(VLOOKUP(C53,'2025'!$A$167:$B$170,2,0),0)</f>
        <v>0</v>
      </c>
      <c r="G53" s="397">
        <f t="shared" si="10"/>
        <v>0</v>
      </c>
      <c r="H53" s="398"/>
      <c r="I53" s="694"/>
      <c r="J53" s="695"/>
      <c r="K53" s="695"/>
      <c r="L53" s="696"/>
      <c r="M53" s="696"/>
      <c r="N53" s="696"/>
      <c r="O53" s="697"/>
    </row>
    <row r="54" spans="2:15" x14ac:dyDescent="0.2">
      <c r="B54" s="396">
        <f t="shared" si="11"/>
        <v>9</v>
      </c>
      <c r="C54" s="298"/>
      <c r="D54" s="295"/>
      <c r="E54" s="299"/>
      <c r="F54" s="300">
        <f>IFERROR(VLOOKUP(C54,'2025'!$A$167:$B$170,2,0),0)</f>
        <v>0</v>
      </c>
      <c r="G54" s="397">
        <f t="shared" si="10"/>
        <v>0</v>
      </c>
      <c r="H54" s="398"/>
      <c r="I54" s="694"/>
      <c r="J54" s="695"/>
      <c r="K54" s="695"/>
      <c r="L54" s="696"/>
      <c r="M54" s="696"/>
      <c r="N54" s="696"/>
      <c r="O54" s="697"/>
    </row>
    <row r="55" spans="2:15" x14ac:dyDescent="0.2">
      <c r="B55" s="396">
        <f t="shared" si="11"/>
        <v>10</v>
      </c>
      <c r="C55" s="298"/>
      <c r="D55" s="295"/>
      <c r="E55" s="299"/>
      <c r="F55" s="300">
        <f>IFERROR(VLOOKUP(C55,'2025'!$A$167:$B$170,2,0),0)</f>
        <v>0</v>
      </c>
      <c r="G55" s="397">
        <f t="shared" si="10"/>
        <v>0</v>
      </c>
      <c r="H55" s="398"/>
      <c r="I55" s="694"/>
      <c r="J55" s="695"/>
      <c r="K55" s="695"/>
      <c r="L55" s="696"/>
      <c r="M55" s="696"/>
      <c r="N55" s="696"/>
      <c r="O55" s="697"/>
    </row>
    <row r="56" spans="2:15" x14ac:dyDescent="0.2">
      <c r="B56" s="396">
        <f t="shared" si="11"/>
        <v>11</v>
      </c>
      <c r="C56" s="298"/>
      <c r="D56" s="295"/>
      <c r="E56" s="299"/>
      <c r="F56" s="300">
        <f>IFERROR(VLOOKUP(C56,'2025'!$A$167:$B$170,2,0),0)</f>
        <v>0</v>
      </c>
      <c r="G56" s="397">
        <f t="shared" si="10"/>
        <v>0</v>
      </c>
      <c r="H56" s="398"/>
      <c r="I56" s="694"/>
      <c r="J56" s="695"/>
      <c r="K56" s="695"/>
      <c r="L56" s="696"/>
      <c r="M56" s="696"/>
      <c r="N56" s="696"/>
      <c r="O56" s="697"/>
    </row>
    <row r="57" spans="2:15" x14ac:dyDescent="0.2">
      <c r="B57" s="396">
        <f t="shared" si="11"/>
        <v>12</v>
      </c>
      <c r="C57" s="298"/>
      <c r="D57" s="295"/>
      <c r="E57" s="299"/>
      <c r="F57" s="300">
        <f>IFERROR(VLOOKUP(C57,'2025'!$A$167:$B$170,2,0),0)</f>
        <v>0</v>
      </c>
      <c r="G57" s="397">
        <f t="shared" si="10"/>
        <v>0</v>
      </c>
      <c r="H57" s="398"/>
      <c r="I57" s="702"/>
      <c r="J57" s="703"/>
      <c r="K57" s="703"/>
      <c r="L57" s="703"/>
      <c r="M57" s="703"/>
      <c r="N57" s="704">
        <f>SUM(N17:N56)</f>
        <v>340</v>
      </c>
      <c r="O57" s="697"/>
    </row>
    <row r="58" spans="2:15" x14ac:dyDescent="0.2">
      <c r="B58" s="396">
        <f t="shared" si="11"/>
        <v>13</v>
      </c>
      <c r="C58" s="298"/>
      <c r="D58" s="295"/>
      <c r="E58" s="299"/>
      <c r="F58" s="300">
        <f>IFERROR(VLOOKUP(C58,'2025'!$A$167:$B$170,2,0),0)</f>
        <v>0</v>
      </c>
      <c r="G58" s="397">
        <f t="shared" si="10"/>
        <v>0</v>
      </c>
      <c r="H58" s="398"/>
      <c r="I58" s="702"/>
      <c r="J58" s="703"/>
      <c r="K58" s="703"/>
      <c r="L58" s="703"/>
      <c r="M58" s="703"/>
      <c r="N58" s="703"/>
      <c r="O58" s="697"/>
    </row>
    <row r="59" spans="2:15" ht="13.5" thickBot="1" x14ac:dyDescent="0.25">
      <c r="B59" s="399"/>
      <c r="C59" s="400" t="s">
        <v>16</v>
      </c>
      <c r="D59" s="401"/>
      <c r="E59" s="401"/>
      <c r="F59" s="402"/>
      <c r="G59" s="403">
        <f>SUM(G46:G58)</f>
        <v>1861249.9640000002</v>
      </c>
      <c r="H59" s="404"/>
      <c r="I59" s="702"/>
      <c r="J59" s="703"/>
      <c r="K59" s="703"/>
      <c r="L59" s="703"/>
      <c r="M59" s="703"/>
      <c r="N59" s="703"/>
      <c r="O59" s="697"/>
    </row>
    <row r="60" spans="2:15" x14ac:dyDescent="0.2">
      <c r="B60" s="405"/>
      <c r="G60" s="407"/>
      <c r="I60" s="702"/>
      <c r="J60" s="703"/>
      <c r="K60" s="703"/>
      <c r="L60" s="703"/>
      <c r="M60" s="703"/>
      <c r="N60" s="703"/>
      <c r="O60" s="697"/>
    </row>
    <row r="61" spans="2:15" ht="13.5" thickBot="1" x14ac:dyDescent="0.25">
      <c r="B61" s="405"/>
      <c r="G61" s="407"/>
      <c r="I61" s="702"/>
      <c r="J61" s="703"/>
      <c r="K61" s="703"/>
      <c r="L61" s="703"/>
      <c r="M61" s="703"/>
      <c r="N61" s="703"/>
      <c r="O61" s="697"/>
    </row>
    <row r="62" spans="2:15" ht="13.5" thickBot="1" x14ac:dyDescent="0.25">
      <c r="B62" s="500" t="s">
        <v>718</v>
      </c>
      <c r="C62" s="501"/>
      <c r="D62" s="501"/>
      <c r="E62" s="501"/>
      <c r="F62" s="501"/>
      <c r="G62" s="502"/>
      <c r="I62" s="702"/>
      <c r="J62" s="703"/>
      <c r="K62" s="703"/>
      <c r="L62" s="703"/>
      <c r="M62" s="703"/>
      <c r="N62" s="703"/>
      <c r="O62" s="697"/>
    </row>
    <row r="63" spans="2:15" ht="24" x14ac:dyDescent="0.2">
      <c r="B63" s="408" t="s">
        <v>0</v>
      </c>
      <c r="C63" s="409" t="s">
        <v>1</v>
      </c>
      <c r="D63" s="409" t="s">
        <v>277</v>
      </c>
      <c r="E63" s="409" t="s">
        <v>717</v>
      </c>
      <c r="F63" s="410" t="s">
        <v>5</v>
      </c>
      <c r="G63" s="411" t="s">
        <v>7</v>
      </c>
      <c r="H63" s="412" t="s">
        <v>882</v>
      </c>
      <c r="I63" s="702"/>
      <c r="J63" s="703"/>
      <c r="K63" s="703"/>
      <c r="L63" s="703"/>
      <c r="M63" s="703"/>
      <c r="N63" s="703"/>
      <c r="O63" s="697"/>
    </row>
    <row r="64" spans="2:15" x14ac:dyDescent="0.2">
      <c r="B64" s="396">
        <v>1</v>
      </c>
      <c r="C64" s="298"/>
      <c r="D64" s="295"/>
      <c r="E64" s="299"/>
      <c r="F64" s="300"/>
      <c r="G64" s="397">
        <f>E64*F64</f>
        <v>0</v>
      </c>
      <c r="H64" s="398" t="s">
        <v>1224</v>
      </c>
      <c r="I64" s="702"/>
      <c r="J64" s="703"/>
      <c r="K64" s="703"/>
      <c r="L64" s="703"/>
      <c r="M64" s="703"/>
      <c r="N64" s="703"/>
      <c r="O64" s="697"/>
    </row>
    <row r="65" spans="2:15" x14ac:dyDescent="0.2">
      <c r="B65" s="396">
        <f>+B64+1</f>
        <v>2</v>
      </c>
      <c r="C65" s="298"/>
      <c r="D65" s="295"/>
      <c r="E65" s="299"/>
      <c r="F65" s="300"/>
      <c r="G65" s="397">
        <f>E65*F65</f>
        <v>0</v>
      </c>
      <c r="H65" s="398" t="s">
        <v>1225</v>
      </c>
      <c r="I65" s="702"/>
      <c r="J65" s="703"/>
      <c r="K65" s="703"/>
      <c r="L65" s="703"/>
      <c r="M65" s="703"/>
      <c r="N65" s="703"/>
      <c r="O65" s="697"/>
    </row>
    <row r="66" spans="2:15" x14ac:dyDescent="0.2">
      <c r="B66" s="396">
        <f t="shared" ref="B66:B80" si="12">+B65+1</f>
        <v>3</v>
      </c>
      <c r="C66" s="298"/>
      <c r="D66" s="295"/>
      <c r="E66" s="299"/>
      <c r="F66" s="300"/>
      <c r="G66" s="397">
        <f t="shared" ref="G66:G67" si="13">E66*F66</f>
        <v>0</v>
      </c>
      <c r="H66" s="398" t="s">
        <v>1226</v>
      </c>
      <c r="I66" s="702"/>
      <c r="J66" s="703"/>
      <c r="K66" s="703"/>
      <c r="L66" s="703"/>
      <c r="M66" s="703"/>
      <c r="N66" s="703"/>
      <c r="O66" s="697"/>
    </row>
    <row r="67" spans="2:15" x14ac:dyDescent="0.2">
      <c r="B67" s="396">
        <f t="shared" si="12"/>
        <v>4</v>
      </c>
      <c r="C67" s="298"/>
      <c r="D67" s="295"/>
      <c r="E67" s="299"/>
      <c r="F67" s="300"/>
      <c r="G67" s="397">
        <f t="shared" si="13"/>
        <v>0</v>
      </c>
      <c r="H67" s="398" t="s">
        <v>1227</v>
      </c>
      <c r="I67" s="702"/>
      <c r="J67" s="703"/>
      <c r="K67" s="703"/>
      <c r="L67" s="703"/>
      <c r="M67" s="703"/>
      <c r="N67" s="703"/>
      <c r="O67" s="697"/>
    </row>
    <row r="68" spans="2:15" x14ac:dyDescent="0.2">
      <c r="B68" s="396">
        <f t="shared" si="12"/>
        <v>5</v>
      </c>
      <c r="C68" s="298"/>
      <c r="D68" s="295"/>
      <c r="E68" s="299"/>
      <c r="F68" s="300"/>
      <c r="G68" s="397">
        <f t="shared" ref="G68:G80" si="14">E68*F68</f>
        <v>0</v>
      </c>
      <c r="H68" s="398"/>
      <c r="I68" s="702"/>
      <c r="J68" s="703"/>
      <c r="K68" s="703"/>
      <c r="L68" s="703"/>
      <c r="M68" s="703"/>
      <c r="N68" s="703"/>
      <c r="O68" s="697"/>
    </row>
    <row r="69" spans="2:15" x14ac:dyDescent="0.2">
      <c r="B69" s="396">
        <f t="shared" si="12"/>
        <v>6</v>
      </c>
      <c r="C69" s="298"/>
      <c r="D69" s="295"/>
      <c r="E69" s="299"/>
      <c r="F69" s="300"/>
      <c r="G69" s="397">
        <f t="shared" si="14"/>
        <v>0</v>
      </c>
      <c r="H69" s="398"/>
      <c r="I69" s="702"/>
      <c r="J69" s="703"/>
      <c r="K69" s="703"/>
      <c r="L69" s="703"/>
      <c r="M69" s="703"/>
      <c r="N69" s="703"/>
      <c r="O69" s="697"/>
    </row>
    <row r="70" spans="2:15" x14ac:dyDescent="0.2">
      <c r="B70" s="396">
        <f t="shared" si="12"/>
        <v>7</v>
      </c>
      <c r="C70" s="298"/>
      <c r="D70" s="295"/>
      <c r="E70" s="299"/>
      <c r="F70" s="300"/>
      <c r="G70" s="397">
        <f t="shared" si="14"/>
        <v>0</v>
      </c>
      <c r="H70" s="398"/>
      <c r="I70" s="702"/>
      <c r="J70" s="703"/>
      <c r="K70" s="703"/>
      <c r="L70" s="703"/>
      <c r="M70" s="703"/>
      <c r="N70" s="703"/>
      <c r="O70" s="697"/>
    </row>
    <row r="71" spans="2:15" x14ac:dyDescent="0.2">
      <c r="B71" s="396">
        <f t="shared" si="12"/>
        <v>8</v>
      </c>
      <c r="C71" s="298"/>
      <c r="D71" s="295"/>
      <c r="E71" s="299"/>
      <c r="F71" s="300"/>
      <c r="G71" s="397">
        <f t="shared" si="14"/>
        <v>0</v>
      </c>
      <c r="H71" s="398"/>
      <c r="I71" s="702"/>
      <c r="J71" s="703"/>
      <c r="K71" s="703"/>
      <c r="L71" s="703"/>
      <c r="M71" s="703"/>
      <c r="N71" s="703"/>
      <c r="O71" s="697"/>
    </row>
    <row r="72" spans="2:15" x14ac:dyDescent="0.2">
      <c r="B72" s="396">
        <f t="shared" si="12"/>
        <v>9</v>
      </c>
      <c r="C72" s="298"/>
      <c r="D72" s="295"/>
      <c r="E72" s="299"/>
      <c r="F72" s="300"/>
      <c r="G72" s="397">
        <f t="shared" si="14"/>
        <v>0</v>
      </c>
      <c r="H72" s="398"/>
      <c r="I72" s="702"/>
      <c r="J72" s="703"/>
      <c r="K72" s="703"/>
      <c r="L72" s="703"/>
      <c r="M72" s="703"/>
      <c r="N72" s="703"/>
      <c r="O72" s="697"/>
    </row>
    <row r="73" spans="2:15" x14ac:dyDescent="0.2">
      <c r="B73" s="396">
        <f t="shared" si="12"/>
        <v>10</v>
      </c>
      <c r="C73" s="298"/>
      <c r="D73" s="295"/>
      <c r="E73" s="299"/>
      <c r="F73" s="300"/>
      <c r="G73" s="397">
        <f t="shared" si="14"/>
        <v>0</v>
      </c>
      <c r="H73" s="398"/>
      <c r="I73" s="702"/>
      <c r="J73" s="703"/>
      <c r="K73" s="703"/>
      <c r="L73" s="703"/>
      <c r="M73" s="703"/>
      <c r="N73" s="703"/>
      <c r="O73" s="697"/>
    </row>
    <row r="74" spans="2:15" x14ac:dyDescent="0.2">
      <c r="B74" s="396">
        <f t="shared" si="12"/>
        <v>11</v>
      </c>
      <c r="C74" s="298"/>
      <c r="D74" s="295"/>
      <c r="E74" s="299"/>
      <c r="F74" s="300"/>
      <c r="G74" s="397">
        <f t="shared" si="14"/>
        <v>0</v>
      </c>
      <c r="H74" s="398"/>
      <c r="I74" s="702"/>
      <c r="J74" s="703"/>
      <c r="K74" s="703"/>
      <c r="L74" s="703"/>
      <c r="M74" s="703"/>
      <c r="N74" s="703"/>
      <c r="O74" s="697"/>
    </row>
    <row r="75" spans="2:15" x14ac:dyDescent="0.2">
      <c r="B75" s="396">
        <f t="shared" si="12"/>
        <v>12</v>
      </c>
      <c r="C75" s="298"/>
      <c r="D75" s="295"/>
      <c r="E75" s="299"/>
      <c r="F75" s="300"/>
      <c r="G75" s="397">
        <f t="shared" si="14"/>
        <v>0</v>
      </c>
      <c r="H75" s="398"/>
      <c r="I75" s="702"/>
      <c r="J75" s="703"/>
      <c r="K75" s="703"/>
      <c r="L75" s="703"/>
      <c r="M75" s="703"/>
      <c r="N75" s="703"/>
      <c r="O75" s="697"/>
    </row>
    <row r="76" spans="2:15" x14ac:dyDescent="0.2">
      <c r="B76" s="396">
        <f t="shared" si="12"/>
        <v>13</v>
      </c>
      <c r="C76" s="298"/>
      <c r="D76" s="295"/>
      <c r="E76" s="299"/>
      <c r="F76" s="300"/>
      <c r="G76" s="397">
        <f t="shared" si="14"/>
        <v>0</v>
      </c>
      <c r="H76" s="398"/>
      <c r="I76" s="702"/>
      <c r="J76" s="703"/>
      <c r="K76" s="703"/>
      <c r="L76" s="703"/>
      <c r="M76" s="703"/>
      <c r="N76" s="703"/>
      <c r="O76" s="697"/>
    </row>
    <row r="77" spans="2:15" x14ac:dyDescent="0.2">
      <c r="B77" s="396">
        <f t="shared" si="12"/>
        <v>14</v>
      </c>
      <c r="C77" s="298"/>
      <c r="D77" s="295"/>
      <c r="E77" s="299"/>
      <c r="F77" s="300"/>
      <c r="G77" s="397">
        <f t="shared" si="14"/>
        <v>0</v>
      </c>
      <c r="H77" s="398"/>
      <c r="I77" s="702"/>
      <c r="J77" s="703"/>
      <c r="K77" s="703"/>
      <c r="L77" s="703"/>
      <c r="M77" s="703"/>
      <c r="N77" s="703"/>
      <c r="O77" s="697"/>
    </row>
    <row r="78" spans="2:15" x14ac:dyDescent="0.2">
      <c r="B78" s="396">
        <f t="shared" si="12"/>
        <v>15</v>
      </c>
      <c r="C78" s="298"/>
      <c r="D78" s="295"/>
      <c r="E78" s="299"/>
      <c r="F78" s="300"/>
      <c r="G78" s="397">
        <f t="shared" si="14"/>
        <v>0</v>
      </c>
      <c r="H78" s="398"/>
      <c r="I78" s="702"/>
      <c r="J78" s="703"/>
      <c r="K78" s="703"/>
      <c r="L78" s="703"/>
      <c r="M78" s="703"/>
      <c r="N78" s="703"/>
      <c r="O78" s="697"/>
    </row>
    <row r="79" spans="2:15" x14ac:dyDescent="0.2">
      <c r="B79" s="396">
        <f t="shared" si="12"/>
        <v>16</v>
      </c>
      <c r="C79" s="298"/>
      <c r="D79" s="295"/>
      <c r="E79" s="299"/>
      <c r="F79" s="300"/>
      <c r="G79" s="397">
        <f t="shared" si="14"/>
        <v>0</v>
      </c>
      <c r="H79" s="398"/>
      <c r="I79" s="702"/>
      <c r="J79" s="703"/>
      <c r="K79" s="703"/>
      <c r="L79" s="703"/>
      <c r="M79" s="703"/>
      <c r="N79" s="703"/>
      <c r="O79" s="697"/>
    </row>
    <row r="80" spans="2:15" x14ac:dyDescent="0.2">
      <c r="B80" s="396">
        <f t="shared" si="12"/>
        <v>17</v>
      </c>
      <c r="C80" s="298"/>
      <c r="D80" s="295"/>
      <c r="E80" s="299"/>
      <c r="F80" s="300"/>
      <c r="G80" s="397">
        <f t="shared" si="14"/>
        <v>0</v>
      </c>
      <c r="H80" s="398"/>
      <c r="I80" s="702"/>
      <c r="J80" s="703"/>
      <c r="K80" s="703"/>
      <c r="L80" s="703"/>
      <c r="M80" s="703"/>
      <c r="N80" s="703"/>
      <c r="O80" s="697"/>
    </row>
    <row r="81" spans="2:15" ht="13.5" thickBot="1" x14ac:dyDescent="0.25">
      <c r="B81" s="399"/>
      <c r="C81" s="400" t="s">
        <v>16</v>
      </c>
      <c r="D81" s="401"/>
      <c r="E81" s="401"/>
      <c r="F81" s="402"/>
      <c r="G81" s="403">
        <f>SUM(G64:G80)</f>
        <v>0</v>
      </c>
      <c r="H81" s="404"/>
      <c r="I81" s="702"/>
      <c r="J81" s="703"/>
      <c r="K81" s="703"/>
      <c r="L81" s="703"/>
      <c r="M81" s="703"/>
      <c r="N81" s="703"/>
      <c r="O81" s="697"/>
    </row>
    <row r="82" spans="2:15" ht="13.5" thickBot="1" x14ac:dyDescent="0.25">
      <c r="B82" s="405"/>
      <c r="G82" s="407"/>
      <c r="I82" s="702"/>
      <c r="J82" s="703"/>
      <c r="K82" s="703"/>
      <c r="L82" s="703"/>
      <c r="M82" s="703"/>
      <c r="N82" s="703"/>
      <c r="O82" s="697"/>
    </row>
    <row r="83" spans="2:15" ht="13.5" thickBot="1" x14ac:dyDescent="0.25">
      <c r="B83" s="500" t="s">
        <v>855</v>
      </c>
      <c r="C83" s="501"/>
      <c r="D83" s="501"/>
      <c r="E83" s="501"/>
      <c r="F83" s="501"/>
      <c r="G83" s="502"/>
      <c r="I83" s="702"/>
      <c r="J83" s="703"/>
      <c r="K83" s="703"/>
      <c r="L83" s="703"/>
      <c r="M83" s="703"/>
      <c r="N83" s="703"/>
      <c r="O83" s="697"/>
    </row>
    <row r="84" spans="2:15" ht="12.75" customHeight="1" x14ac:dyDescent="0.2">
      <c r="B84" s="505" t="s">
        <v>870</v>
      </c>
      <c r="C84" s="505"/>
      <c r="D84" s="505"/>
      <c r="E84" s="505"/>
      <c r="F84" s="505"/>
      <c r="G84" s="505"/>
      <c r="H84" s="413"/>
      <c r="I84" s="702"/>
      <c r="J84" s="703"/>
      <c r="K84" s="703"/>
      <c r="L84" s="703"/>
      <c r="M84" s="703"/>
      <c r="N84" s="703"/>
      <c r="O84" s="697"/>
    </row>
    <row r="85" spans="2:15" x14ac:dyDescent="0.2">
      <c r="B85" s="506"/>
      <c r="C85" s="506"/>
      <c r="D85" s="506"/>
      <c r="E85" s="506"/>
      <c r="F85" s="506"/>
      <c r="G85" s="506"/>
      <c r="H85" s="413"/>
      <c r="I85" s="702"/>
      <c r="J85" s="703"/>
      <c r="K85" s="703"/>
      <c r="L85" s="703"/>
      <c r="M85" s="703"/>
      <c r="N85" s="703"/>
      <c r="O85" s="697"/>
    </row>
    <row r="86" spans="2:15" x14ac:dyDescent="0.2">
      <c r="B86" s="506"/>
      <c r="C86" s="506"/>
      <c r="D86" s="506"/>
      <c r="E86" s="506"/>
      <c r="F86" s="506"/>
      <c r="G86" s="506"/>
      <c r="H86" s="413"/>
      <c r="I86" s="702"/>
      <c r="J86" s="703"/>
      <c r="K86" s="703"/>
      <c r="L86" s="703"/>
      <c r="M86" s="703"/>
      <c r="N86" s="703"/>
      <c r="O86" s="697"/>
    </row>
    <row r="87" spans="2:15" ht="13.5" thickBot="1" x14ac:dyDescent="0.25">
      <c r="B87" s="507"/>
      <c r="C87" s="507"/>
      <c r="D87" s="507"/>
      <c r="E87" s="507"/>
      <c r="F87" s="507"/>
      <c r="G87" s="507"/>
      <c r="H87" s="413"/>
      <c r="I87" s="702"/>
      <c r="J87" s="703"/>
      <c r="K87" s="703"/>
      <c r="L87" s="703"/>
      <c r="M87" s="703"/>
      <c r="N87" s="703"/>
      <c r="O87" s="697"/>
    </row>
    <row r="88" spans="2:15" ht="13.5" thickBot="1" x14ac:dyDescent="0.25">
      <c r="B88" s="415"/>
      <c r="C88" s="416"/>
      <c r="D88" s="416"/>
      <c r="E88" s="416"/>
      <c r="F88" s="416"/>
      <c r="G88" s="417"/>
      <c r="I88" s="702"/>
      <c r="J88" s="703"/>
      <c r="K88" s="703"/>
      <c r="L88" s="703"/>
      <c r="M88" s="703"/>
      <c r="N88" s="703"/>
      <c r="O88" s="697"/>
    </row>
    <row r="89" spans="2:15" ht="24" x14ac:dyDescent="0.2">
      <c r="B89" s="408" t="s">
        <v>0</v>
      </c>
      <c r="C89" s="409" t="s">
        <v>1</v>
      </c>
      <c r="D89" s="409" t="s">
        <v>277</v>
      </c>
      <c r="E89" s="409" t="s">
        <v>717</v>
      </c>
      <c r="F89" s="410" t="s">
        <v>5</v>
      </c>
      <c r="G89" s="411" t="s">
        <v>7</v>
      </c>
      <c r="H89" s="412" t="s">
        <v>882</v>
      </c>
      <c r="I89" s="702"/>
      <c r="J89" s="703"/>
      <c r="K89" s="703"/>
      <c r="L89" s="703"/>
      <c r="M89" s="703"/>
      <c r="N89" s="703"/>
      <c r="O89" s="697"/>
    </row>
    <row r="90" spans="2:15" ht="24" x14ac:dyDescent="0.2">
      <c r="B90" s="396">
        <v>1</v>
      </c>
      <c r="C90" s="298" t="s">
        <v>876</v>
      </c>
      <c r="D90" s="394" t="s">
        <v>877</v>
      </c>
      <c r="E90" s="299">
        <v>24</v>
      </c>
      <c r="F90" s="300">
        <v>80000</v>
      </c>
      <c r="G90" s="397">
        <f>E90*F90</f>
        <v>1920000</v>
      </c>
      <c r="H90" s="398" t="s">
        <v>1224</v>
      </c>
      <c r="I90" s="702"/>
      <c r="J90" s="703"/>
      <c r="K90" s="703"/>
      <c r="L90" s="703"/>
      <c r="M90" s="703"/>
      <c r="N90" s="703"/>
      <c r="O90" s="697"/>
    </row>
    <row r="91" spans="2:15" x14ac:dyDescent="0.2">
      <c r="B91" s="396">
        <f>+B90+1</f>
        <v>2</v>
      </c>
      <c r="C91" s="298"/>
      <c r="D91" s="295"/>
      <c r="E91" s="299"/>
      <c r="F91" s="300"/>
      <c r="G91" s="397">
        <f>E91*F91</f>
        <v>0</v>
      </c>
      <c r="H91" s="398" t="s">
        <v>1225</v>
      </c>
      <c r="I91" s="702"/>
      <c r="J91" s="703"/>
      <c r="K91" s="703"/>
      <c r="L91" s="703"/>
      <c r="M91" s="703"/>
      <c r="N91" s="703"/>
      <c r="O91" s="697"/>
    </row>
    <row r="92" spans="2:15" x14ac:dyDescent="0.2">
      <c r="B92" s="396">
        <f t="shared" ref="B92:B104" si="15">+B91+1</f>
        <v>3</v>
      </c>
      <c r="C92" s="298"/>
      <c r="D92" s="295"/>
      <c r="E92" s="299"/>
      <c r="F92" s="300"/>
      <c r="G92" s="397">
        <f t="shared" ref="G92" si="16">E92*F92</f>
        <v>0</v>
      </c>
      <c r="H92" s="398" t="s">
        <v>1226</v>
      </c>
      <c r="I92" s="702"/>
      <c r="J92" s="703"/>
      <c r="K92" s="703"/>
      <c r="L92" s="703"/>
      <c r="M92" s="703"/>
      <c r="N92" s="703"/>
      <c r="O92" s="697"/>
    </row>
    <row r="93" spans="2:15" x14ac:dyDescent="0.2">
      <c r="B93" s="396">
        <f t="shared" si="15"/>
        <v>4</v>
      </c>
      <c r="C93" s="298"/>
      <c r="D93" s="295"/>
      <c r="E93" s="299"/>
      <c r="F93" s="300"/>
      <c r="G93" s="397">
        <f t="shared" ref="G93:G104" si="17">E93*F93</f>
        <v>0</v>
      </c>
      <c r="H93" s="398" t="s">
        <v>1227</v>
      </c>
      <c r="I93" s="702"/>
      <c r="J93" s="703"/>
      <c r="K93" s="703"/>
      <c r="L93" s="703"/>
      <c r="M93" s="703"/>
      <c r="N93" s="703"/>
      <c r="O93" s="697"/>
    </row>
    <row r="94" spans="2:15" x14ac:dyDescent="0.2">
      <c r="B94" s="396">
        <f t="shared" si="15"/>
        <v>5</v>
      </c>
      <c r="C94" s="298"/>
      <c r="D94" s="295"/>
      <c r="E94" s="299"/>
      <c r="F94" s="300"/>
      <c r="G94" s="397">
        <f t="shared" si="17"/>
        <v>0</v>
      </c>
      <c r="H94" s="398"/>
      <c r="I94" s="702"/>
      <c r="J94" s="703"/>
      <c r="K94" s="703"/>
      <c r="L94" s="703"/>
      <c r="M94" s="703"/>
      <c r="N94" s="703"/>
      <c r="O94" s="697"/>
    </row>
    <row r="95" spans="2:15" x14ac:dyDescent="0.2">
      <c r="B95" s="396">
        <f t="shared" si="15"/>
        <v>6</v>
      </c>
      <c r="C95" s="298"/>
      <c r="D95" s="295"/>
      <c r="E95" s="299"/>
      <c r="F95" s="300"/>
      <c r="G95" s="397">
        <f t="shared" si="17"/>
        <v>0</v>
      </c>
      <c r="H95" s="398"/>
      <c r="I95" s="702"/>
      <c r="J95" s="703"/>
      <c r="K95" s="703"/>
      <c r="L95" s="703"/>
      <c r="M95" s="703"/>
      <c r="N95" s="703"/>
      <c r="O95" s="697"/>
    </row>
    <row r="96" spans="2:15" x14ac:dyDescent="0.2">
      <c r="B96" s="396">
        <f t="shared" si="15"/>
        <v>7</v>
      </c>
      <c r="C96" s="298"/>
      <c r="D96" s="295"/>
      <c r="E96" s="299"/>
      <c r="F96" s="300"/>
      <c r="G96" s="397">
        <f t="shared" si="17"/>
        <v>0</v>
      </c>
      <c r="H96" s="398"/>
      <c r="I96" s="702"/>
      <c r="J96" s="703"/>
      <c r="K96" s="703"/>
      <c r="L96" s="703"/>
      <c r="M96" s="703"/>
      <c r="N96" s="703"/>
      <c r="O96" s="697"/>
    </row>
    <row r="97" spans="2:15" x14ac:dyDescent="0.2">
      <c r="B97" s="396">
        <f t="shared" si="15"/>
        <v>8</v>
      </c>
      <c r="C97" s="298"/>
      <c r="D97" s="295"/>
      <c r="E97" s="299"/>
      <c r="F97" s="300"/>
      <c r="G97" s="397">
        <f t="shared" si="17"/>
        <v>0</v>
      </c>
      <c r="H97" s="398"/>
      <c r="I97" s="702"/>
      <c r="J97" s="703"/>
      <c r="K97" s="703"/>
      <c r="L97" s="703"/>
      <c r="M97" s="703"/>
      <c r="N97" s="703"/>
      <c r="O97" s="697"/>
    </row>
    <row r="98" spans="2:15" x14ac:dyDescent="0.2">
      <c r="B98" s="396">
        <f t="shared" si="15"/>
        <v>9</v>
      </c>
      <c r="C98" s="298"/>
      <c r="D98" s="295"/>
      <c r="E98" s="299"/>
      <c r="F98" s="300"/>
      <c r="G98" s="397">
        <f t="shared" si="17"/>
        <v>0</v>
      </c>
      <c r="H98" s="398"/>
      <c r="I98" s="702"/>
      <c r="J98" s="703"/>
      <c r="K98" s="703"/>
      <c r="L98" s="703"/>
      <c r="M98" s="703"/>
      <c r="N98" s="703"/>
      <c r="O98" s="697"/>
    </row>
    <row r="99" spans="2:15" x14ac:dyDescent="0.2">
      <c r="B99" s="396">
        <f t="shared" si="15"/>
        <v>10</v>
      </c>
      <c r="C99" s="298"/>
      <c r="D99" s="295"/>
      <c r="E99" s="299"/>
      <c r="F99" s="300"/>
      <c r="G99" s="397">
        <f t="shared" si="17"/>
        <v>0</v>
      </c>
      <c r="H99" s="398"/>
      <c r="I99" s="702"/>
      <c r="J99" s="703"/>
      <c r="K99" s="703"/>
      <c r="L99" s="703"/>
      <c r="M99" s="703"/>
      <c r="N99" s="703"/>
      <c r="O99" s="697"/>
    </row>
    <row r="100" spans="2:15" x14ac:dyDescent="0.2">
      <c r="B100" s="396">
        <f t="shared" si="15"/>
        <v>11</v>
      </c>
      <c r="C100" s="298"/>
      <c r="D100" s="295"/>
      <c r="E100" s="299"/>
      <c r="F100" s="300"/>
      <c r="G100" s="397">
        <f t="shared" si="17"/>
        <v>0</v>
      </c>
      <c r="H100" s="398"/>
      <c r="I100" s="702"/>
      <c r="J100" s="703"/>
      <c r="K100" s="703"/>
      <c r="L100" s="703"/>
      <c r="M100" s="703"/>
      <c r="N100" s="703"/>
      <c r="O100" s="697"/>
    </row>
    <row r="101" spans="2:15" x14ac:dyDescent="0.2">
      <c r="B101" s="396">
        <f t="shared" si="15"/>
        <v>12</v>
      </c>
      <c r="C101" s="298"/>
      <c r="D101" s="295"/>
      <c r="E101" s="299"/>
      <c r="F101" s="300"/>
      <c r="G101" s="397">
        <f t="shared" si="17"/>
        <v>0</v>
      </c>
      <c r="H101" s="398"/>
      <c r="I101" s="702"/>
      <c r="J101" s="703"/>
      <c r="K101" s="703"/>
      <c r="L101" s="703"/>
      <c r="M101" s="703"/>
      <c r="N101" s="703"/>
      <c r="O101" s="697"/>
    </row>
    <row r="102" spans="2:15" x14ac:dyDescent="0.2">
      <c r="B102" s="396">
        <f t="shared" si="15"/>
        <v>13</v>
      </c>
      <c r="C102" s="298"/>
      <c r="D102" s="295"/>
      <c r="E102" s="299"/>
      <c r="F102" s="300"/>
      <c r="G102" s="397">
        <f t="shared" si="17"/>
        <v>0</v>
      </c>
      <c r="H102" s="398"/>
      <c r="I102" s="702"/>
      <c r="J102" s="703"/>
      <c r="K102" s="703"/>
      <c r="L102" s="703"/>
      <c r="M102" s="703"/>
      <c r="N102" s="703"/>
      <c r="O102" s="697"/>
    </row>
    <row r="103" spans="2:15" x14ac:dyDescent="0.2">
      <c r="B103" s="396">
        <f t="shared" si="15"/>
        <v>14</v>
      </c>
      <c r="C103" s="298"/>
      <c r="D103" s="295"/>
      <c r="E103" s="299"/>
      <c r="F103" s="300"/>
      <c r="G103" s="397">
        <f t="shared" si="17"/>
        <v>0</v>
      </c>
      <c r="H103" s="398"/>
      <c r="I103" s="702"/>
      <c r="J103" s="703"/>
      <c r="K103" s="703"/>
      <c r="L103" s="703"/>
      <c r="M103" s="703"/>
      <c r="N103" s="703"/>
      <c r="O103" s="697"/>
    </row>
    <row r="104" spans="2:15" x14ac:dyDescent="0.2">
      <c r="B104" s="396">
        <f t="shared" si="15"/>
        <v>15</v>
      </c>
      <c r="C104" s="298"/>
      <c r="D104" s="295"/>
      <c r="E104" s="299"/>
      <c r="F104" s="300"/>
      <c r="G104" s="397">
        <f t="shared" si="17"/>
        <v>0</v>
      </c>
      <c r="H104" s="398"/>
      <c r="I104" s="702"/>
      <c r="J104" s="703"/>
      <c r="K104" s="703"/>
      <c r="L104" s="703"/>
      <c r="M104" s="703"/>
      <c r="N104" s="703"/>
      <c r="O104" s="697"/>
    </row>
    <row r="105" spans="2:15" ht="13.5" thickBot="1" x14ac:dyDescent="0.25">
      <c r="B105" s="399"/>
      <c r="C105" s="400" t="s">
        <v>16</v>
      </c>
      <c r="D105" s="401"/>
      <c r="E105" s="401"/>
      <c r="F105" s="402"/>
      <c r="G105" s="403">
        <f>SUM(G90:G104)</f>
        <v>1920000</v>
      </c>
      <c r="H105" s="404"/>
      <c r="I105" s="702"/>
      <c r="J105" s="703"/>
      <c r="K105" s="703"/>
      <c r="L105" s="703"/>
      <c r="M105" s="703"/>
      <c r="N105" s="703"/>
      <c r="O105" s="697"/>
    </row>
    <row r="106" spans="2:15" x14ac:dyDescent="0.2">
      <c r="B106" s="405"/>
      <c r="G106" s="407"/>
      <c r="I106" s="684"/>
      <c r="J106" s="685"/>
      <c r="K106" s="685"/>
      <c r="L106" s="685"/>
      <c r="M106" s="685"/>
      <c r="N106" s="685"/>
    </row>
    <row r="107" spans="2:15" ht="13.5" thickBot="1" x14ac:dyDescent="0.25">
      <c r="B107" s="405"/>
      <c r="G107" s="407"/>
      <c r="I107" s="684"/>
      <c r="J107" s="685"/>
      <c r="K107" s="685"/>
      <c r="L107" s="685"/>
      <c r="M107" s="685"/>
      <c r="N107" s="685"/>
    </row>
    <row r="108" spans="2:15" ht="18.75" thickBot="1" x14ac:dyDescent="0.3">
      <c r="D108" s="418" t="s">
        <v>856</v>
      </c>
      <c r="E108" s="503">
        <f>+G42+G59+G81+G105</f>
        <v>7833420.5840000007</v>
      </c>
      <c r="F108" s="503"/>
      <c r="G108" s="504"/>
      <c r="I108" s="684"/>
      <c r="J108" s="685"/>
      <c r="K108" s="685"/>
      <c r="L108" s="685"/>
      <c r="M108" s="685"/>
      <c r="N108" s="685"/>
    </row>
    <row r="109" spans="2:15" x14ac:dyDescent="0.2">
      <c r="I109" s="686"/>
      <c r="J109" s="687"/>
      <c r="K109" s="687"/>
      <c r="L109" s="687"/>
      <c r="M109" s="687"/>
      <c r="N109" s="687"/>
      <c r="O109" s="414"/>
    </row>
    <row r="110" spans="2:15" x14ac:dyDescent="0.2">
      <c r="I110" s="686"/>
      <c r="J110" s="687"/>
      <c r="K110" s="687"/>
      <c r="L110" s="687"/>
      <c r="M110" s="687"/>
      <c r="N110" s="687"/>
      <c r="O110" s="414"/>
    </row>
    <row r="111" spans="2:15" x14ac:dyDescent="0.2">
      <c r="I111" s="686"/>
      <c r="J111" s="687"/>
      <c r="K111" s="687"/>
      <c r="L111" s="687"/>
      <c r="M111" s="687"/>
      <c r="N111" s="687"/>
      <c r="O111" s="414"/>
    </row>
    <row r="112" spans="2:15" x14ac:dyDescent="0.2">
      <c r="I112" s="686"/>
      <c r="J112" s="687"/>
      <c r="K112" s="687"/>
      <c r="L112" s="687"/>
      <c r="M112" s="687"/>
      <c r="N112" s="687"/>
      <c r="O112" s="414"/>
    </row>
    <row r="113" spans="9:15" x14ac:dyDescent="0.2">
      <c r="I113" s="686"/>
      <c r="J113" s="687"/>
      <c r="K113" s="687"/>
      <c r="L113" s="687"/>
      <c r="M113" s="687"/>
      <c r="N113" s="687"/>
      <c r="O113" s="414"/>
    </row>
    <row r="114" spans="9:15" x14ac:dyDescent="0.2">
      <c r="I114" s="686"/>
      <c r="J114" s="687"/>
      <c r="K114" s="687"/>
      <c r="L114" s="687"/>
      <c r="M114" s="687"/>
      <c r="N114" s="687"/>
      <c r="O114" s="414"/>
    </row>
    <row r="115" spans="9:15" x14ac:dyDescent="0.2">
      <c r="I115" s="686"/>
      <c r="J115" s="687"/>
      <c r="K115" s="687"/>
      <c r="L115" s="687"/>
      <c r="M115" s="687"/>
      <c r="N115" s="687"/>
      <c r="O115" s="414"/>
    </row>
    <row r="116" spans="9:15" x14ac:dyDescent="0.2">
      <c r="I116" s="686"/>
      <c r="J116" s="687"/>
      <c r="K116" s="687"/>
      <c r="L116" s="687"/>
      <c r="M116" s="687"/>
      <c r="N116" s="687"/>
      <c r="O116" s="414"/>
    </row>
    <row r="117" spans="9:15" x14ac:dyDescent="0.2">
      <c r="I117" s="686"/>
      <c r="J117" s="687"/>
      <c r="K117" s="687"/>
      <c r="L117" s="687"/>
      <c r="M117" s="687"/>
      <c r="N117" s="687"/>
      <c r="O117" s="414"/>
    </row>
    <row r="118" spans="9:15" x14ac:dyDescent="0.2">
      <c r="I118" s="686"/>
      <c r="J118" s="687"/>
      <c r="K118" s="687"/>
      <c r="L118" s="687"/>
      <c r="M118" s="687"/>
      <c r="N118" s="687"/>
      <c r="O118" s="414"/>
    </row>
    <row r="119" spans="9:15" x14ac:dyDescent="0.2">
      <c r="I119" s="686"/>
      <c r="J119" s="687"/>
      <c r="K119" s="687"/>
      <c r="L119" s="687"/>
      <c r="M119" s="687"/>
      <c r="N119" s="687"/>
      <c r="O119" s="414"/>
    </row>
    <row r="120" spans="9:15" x14ac:dyDescent="0.2">
      <c r="I120" s="684"/>
      <c r="J120" s="685"/>
      <c r="K120" s="685"/>
      <c r="L120" s="685"/>
      <c r="M120" s="685"/>
      <c r="N120" s="685"/>
    </row>
    <row r="121" spans="9:15" x14ac:dyDescent="0.2">
      <c r="I121" s="684"/>
      <c r="J121" s="685"/>
      <c r="K121" s="685"/>
      <c r="L121" s="685"/>
      <c r="M121" s="685"/>
      <c r="N121" s="685"/>
    </row>
    <row r="122" spans="9:15" x14ac:dyDescent="0.2">
      <c r="I122" s="684"/>
      <c r="J122" s="685"/>
      <c r="K122" s="685"/>
      <c r="L122" s="685"/>
      <c r="M122" s="685"/>
      <c r="N122" s="685"/>
    </row>
    <row r="123" spans="9:15" x14ac:dyDescent="0.2">
      <c r="I123" s="684"/>
      <c r="J123" s="685"/>
      <c r="K123" s="685"/>
      <c r="L123" s="685"/>
      <c r="M123" s="685"/>
      <c r="N123" s="685"/>
    </row>
    <row r="124" spans="9:15" x14ac:dyDescent="0.2">
      <c r="I124" s="688"/>
      <c r="J124" s="688"/>
      <c r="K124" s="688"/>
      <c r="L124" s="688"/>
      <c r="M124" s="688"/>
      <c r="N124" s="688"/>
    </row>
  </sheetData>
  <sheetProtection insertRows="0" deleteRows="0"/>
  <mergeCells count="17">
    <mergeCell ref="B10:G10"/>
    <mergeCell ref="B15:G15"/>
    <mergeCell ref="B2:G2"/>
    <mergeCell ref="B3:G3"/>
    <mergeCell ref="B4:G4"/>
    <mergeCell ref="B5:G5"/>
    <mergeCell ref="B9:G9"/>
    <mergeCell ref="B7:D7"/>
    <mergeCell ref="C8:D8"/>
    <mergeCell ref="F8:G8"/>
    <mergeCell ref="B14:G14"/>
    <mergeCell ref="B11:G13"/>
    <mergeCell ref="B83:G83"/>
    <mergeCell ref="E108:G108"/>
    <mergeCell ref="B84:G87"/>
    <mergeCell ref="B44:G44"/>
    <mergeCell ref="B62:G62"/>
  </mergeCell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'2025'!$A$167:$A$170</xm:f>
          </x14:formula1>
          <xm:sqref>C46:C58</xm:sqref>
        </x14:dataValidation>
        <x14:dataValidation type="list" allowBlank="1" showInputMessage="1" showErrorMessage="1" xr:uid="{00000000-0002-0000-0400-000001000000}">
          <x14:formula1>
            <xm:f>'2025'!$A$148:$A$161</xm:f>
          </x14:formula1>
          <xm:sqref>C17:C41</xm:sqref>
        </x14:dataValidation>
        <x14:dataValidation type="list" allowBlank="1" showInputMessage="1" showErrorMessage="1" xr:uid="{00000000-0002-0000-0400-000002000000}">
          <x14:formula1>
            <xm:f>PM!$B$11:$B$29</xm:f>
          </x14:formula1>
          <xm:sqref>H46:H58 H90:H104 H64:H80 H17:H41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
  <sheetViews>
    <sheetView workbookViewId="0"/>
  </sheetViews>
  <sheetFormatPr baseColWidth="10" defaultRowHeight="12.75" x14ac:dyDescent="0.2"/>
  <cols>
    <col min="1" max="1" width="32.7109375" customWidth="1"/>
  </cols>
  <sheetData>
    <row r="1" spans="1:10" x14ac:dyDescent="0.2">
      <c r="A1" t="s">
        <v>288</v>
      </c>
    </row>
    <row r="2" spans="1:10" x14ac:dyDescent="0.2">
      <c r="A2" t="s">
        <v>377</v>
      </c>
    </row>
    <row r="4" spans="1:10" ht="15" x14ac:dyDescent="0.2">
      <c r="A4" s="244" t="s">
        <v>289</v>
      </c>
      <c r="B4" s="244" t="s">
        <v>18</v>
      </c>
      <c r="C4" s="244" t="s">
        <v>385</v>
      </c>
      <c r="D4" s="244" t="s">
        <v>386</v>
      </c>
      <c r="E4" s="244" t="s">
        <v>387</v>
      </c>
      <c r="F4" s="244" t="s">
        <v>388</v>
      </c>
      <c r="G4" s="244" t="s">
        <v>389</v>
      </c>
      <c r="H4" s="244" t="s">
        <v>390</v>
      </c>
      <c r="I4" s="244" t="s">
        <v>391</v>
      </c>
      <c r="J4" s="244" t="s">
        <v>392</v>
      </c>
    </row>
    <row r="5" spans="1:10" ht="15" x14ac:dyDescent="0.2">
      <c r="A5" s="241" t="s">
        <v>20</v>
      </c>
      <c r="B5" t="s">
        <v>378</v>
      </c>
      <c r="C5" s="245" t="s">
        <v>393</v>
      </c>
      <c r="D5" s="246" t="s">
        <v>394</v>
      </c>
      <c r="F5" s="246" t="s">
        <v>395</v>
      </c>
      <c r="G5" s="246" t="s">
        <v>396</v>
      </c>
      <c r="H5" s="246" t="s">
        <v>397</v>
      </c>
      <c r="I5" s="245" t="s">
        <v>398</v>
      </c>
      <c r="J5" s="246" t="s">
        <v>399</v>
      </c>
    </row>
    <row r="6" spans="1:10" ht="15" x14ac:dyDescent="0.2">
      <c r="A6" s="242" t="s">
        <v>379</v>
      </c>
      <c r="B6" s="243" t="s">
        <v>380</v>
      </c>
      <c r="C6" s="246" t="s">
        <v>400</v>
      </c>
      <c r="D6" s="246" t="s">
        <v>401</v>
      </c>
      <c r="E6" s="246"/>
      <c r="F6" s="245" t="s">
        <v>402</v>
      </c>
      <c r="G6" s="246" t="s">
        <v>403</v>
      </c>
      <c r="H6" s="246" t="s">
        <v>404</v>
      </c>
      <c r="I6" s="246" t="s">
        <v>405</v>
      </c>
      <c r="J6" s="245" t="s">
        <v>406</v>
      </c>
    </row>
    <row r="7" spans="1:10" ht="15" x14ac:dyDescent="0.2">
      <c r="A7" s="242" t="s">
        <v>677</v>
      </c>
      <c r="B7" s="243" t="s">
        <v>381</v>
      </c>
      <c r="C7" s="245" t="s">
        <v>407</v>
      </c>
      <c r="D7" s="246" t="s">
        <v>408</v>
      </c>
      <c r="E7" s="246" t="s">
        <v>409</v>
      </c>
      <c r="F7" s="246" t="s">
        <v>410</v>
      </c>
      <c r="G7" s="246" t="s">
        <v>411</v>
      </c>
      <c r="H7" s="246" t="s">
        <v>412</v>
      </c>
      <c r="I7" s="247" t="s">
        <v>413</v>
      </c>
      <c r="J7" s="246" t="s">
        <v>414</v>
      </c>
    </row>
    <row r="8" spans="1:10" ht="409.5" x14ac:dyDescent="0.2">
      <c r="A8" s="242" t="s">
        <v>676</v>
      </c>
      <c r="B8" s="293" t="s">
        <v>681</v>
      </c>
      <c r="C8" s="246"/>
      <c r="D8" s="246" t="s">
        <v>415</v>
      </c>
      <c r="E8" s="246" t="s">
        <v>416</v>
      </c>
      <c r="F8" s="246" t="s">
        <v>417</v>
      </c>
      <c r="G8" s="246"/>
      <c r="H8" s="246" t="s">
        <v>418</v>
      </c>
      <c r="I8" s="246"/>
      <c r="J8" s="246"/>
    </row>
    <row r="9" spans="1:10" ht="15" x14ac:dyDescent="0.2">
      <c r="A9" s="242" t="s">
        <v>678</v>
      </c>
      <c r="B9" t="s">
        <v>382</v>
      </c>
      <c r="C9" s="246"/>
      <c r="D9" s="246"/>
      <c r="E9" s="246"/>
      <c r="F9" s="533" t="s">
        <v>419</v>
      </c>
      <c r="G9" s="534"/>
      <c r="H9" s="535"/>
      <c r="I9" s="246"/>
      <c r="J9" s="246"/>
    </row>
    <row r="10" spans="1:10" ht="15" x14ac:dyDescent="0.2">
      <c r="A10" s="242" t="s">
        <v>679</v>
      </c>
      <c r="B10" t="s">
        <v>383</v>
      </c>
      <c r="C10" s="246"/>
      <c r="D10" s="246"/>
      <c r="E10" s="246"/>
      <c r="F10" s="246"/>
      <c r="G10" s="246"/>
      <c r="H10" s="246" t="s">
        <v>420</v>
      </c>
      <c r="I10" s="246"/>
      <c r="J10" s="246"/>
    </row>
    <row r="11" spans="1:10" ht="15" x14ac:dyDescent="0.2">
      <c r="A11" s="242" t="s">
        <v>680</v>
      </c>
      <c r="B11" t="s">
        <v>384</v>
      </c>
      <c r="C11" s="246" t="s">
        <v>421</v>
      </c>
      <c r="D11" s="246"/>
      <c r="E11" s="246" t="s">
        <v>422</v>
      </c>
      <c r="F11" s="245" t="s">
        <v>423</v>
      </c>
      <c r="G11" s="246" t="s">
        <v>424</v>
      </c>
      <c r="H11" s="246" t="s">
        <v>425</v>
      </c>
      <c r="I11" s="246" t="s">
        <v>426</v>
      </c>
      <c r="J11" s="246"/>
    </row>
  </sheetData>
  <mergeCells count="1">
    <mergeCell ref="F9:H9"/>
  </mergeCells>
  <pageMargins left="0.7" right="0.7" top="0.75" bottom="0.75" header="0.3" footer="0.3"/>
  <pageSetup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5"/>
  <sheetViews>
    <sheetView workbookViewId="0"/>
  </sheetViews>
  <sheetFormatPr baseColWidth="10" defaultRowHeight="12.75" x14ac:dyDescent="0.2"/>
  <cols>
    <col min="3" max="3" width="59.7109375" bestFit="1" customWidth="1"/>
  </cols>
  <sheetData>
    <row r="1" spans="1:4" x14ac:dyDescent="0.2">
      <c r="A1" t="s">
        <v>288</v>
      </c>
    </row>
    <row r="2" spans="1:4" x14ac:dyDescent="0.2">
      <c r="A2" t="s">
        <v>290</v>
      </c>
    </row>
    <row r="4" spans="1:4" x14ac:dyDescent="0.2">
      <c r="A4" s="236" t="s">
        <v>291</v>
      </c>
      <c r="B4" s="236" t="s">
        <v>292</v>
      </c>
      <c r="C4" s="236" t="s">
        <v>293</v>
      </c>
      <c r="D4" s="236" t="s">
        <v>291</v>
      </c>
    </row>
    <row r="5" spans="1:4" x14ac:dyDescent="0.2">
      <c r="A5" s="237">
        <v>30100</v>
      </c>
      <c r="B5" s="238">
        <v>1</v>
      </c>
      <c r="C5" s="237" t="s">
        <v>374</v>
      </c>
      <c r="D5" s="237">
        <v>30100</v>
      </c>
    </row>
    <row r="6" spans="1:4" x14ac:dyDescent="0.2">
      <c r="A6" s="237">
        <v>30303</v>
      </c>
      <c r="B6" s="238">
        <v>1</v>
      </c>
      <c r="C6" s="237" t="s">
        <v>318</v>
      </c>
      <c r="D6" s="237">
        <v>30303</v>
      </c>
    </row>
    <row r="7" spans="1:4" x14ac:dyDescent="0.2">
      <c r="A7" s="237">
        <v>5015</v>
      </c>
      <c r="B7" s="238">
        <v>3</v>
      </c>
      <c r="C7" s="237" t="s">
        <v>299</v>
      </c>
      <c r="D7" s="237">
        <v>5015</v>
      </c>
    </row>
    <row r="8" spans="1:4" x14ac:dyDescent="0.2">
      <c r="A8" s="237">
        <v>5012</v>
      </c>
      <c r="B8" s="238">
        <v>1</v>
      </c>
      <c r="C8" s="237" t="s">
        <v>302</v>
      </c>
      <c r="D8" s="237">
        <v>5012</v>
      </c>
    </row>
    <row r="9" spans="1:4" x14ac:dyDescent="0.2">
      <c r="A9" s="237">
        <v>30700</v>
      </c>
      <c r="B9" s="238">
        <v>1</v>
      </c>
      <c r="C9" s="237" t="s">
        <v>322</v>
      </c>
      <c r="D9" s="237">
        <v>30700</v>
      </c>
    </row>
    <row r="10" spans="1:4" x14ac:dyDescent="0.2">
      <c r="A10" s="237">
        <v>11730</v>
      </c>
      <c r="B10" s="238">
        <v>1</v>
      </c>
      <c r="C10" s="237" t="s">
        <v>356</v>
      </c>
      <c r="D10" s="237">
        <v>11730</v>
      </c>
    </row>
    <row r="11" spans="1:4" x14ac:dyDescent="0.2">
      <c r="A11" s="237">
        <v>30104</v>
      </c>
      <c r="B11" s="238">
        <v>1</v>
      </c>
      <c r="C11" s="239" t="s">
        <v>375</v>
      </c>
      <c r="D11" s="237">
        <v>30104</v>
      </c>
    </row>
    <row r="12" spans="1:4" x14ac:dyDescent="0.2">
      <c r="A12" s="237">
        <v>1012</v>
      </c>
      <c r="B12" s="238">
        <v>1</v>
      </c>
      <c r="C12" s="239" t="s">
        <v>710</v>
      </c>
      <c r="D12" s="237">
        <v>1012</v>
      </c>
    </row>
    <row r="13" spans="1:4" x14ac:dyDescent="0.2">
      <c r="A13" s="237">
        <v>11720</v>
      </c>
      <c r="B13" s="238">
        <v>1</v>
      </c>
      <c r="C13" s="237" t="s">
        <v>357</v>
      </c>
      <c r="D13" s="237">
        <v>11720</v>
      </c>
    </row>
    <row r="14" spans="1:4" x14ac:dyDescent="0.2">
      <c r="A14" s="237">
        <v>1015</v>
      </c>
      <c r="B14" s="238">
        <v>1</v>
      </c>
      <c r="C14" s="237" t="s">
        <v>365</v>
      </c>
      <c r="D14" s="237">
        <v>1015</v>
      </c>
    </row>
    <row r="15" spans="1:4" x14ac:dyDescent="0.2">
      <c r="A15" s="237">
        <v>30302</v>
      </c>
      <c r="B15" s="238">
        <v>1</v>
      </c>
      <c r="C15" s="237" t="s">
        <v>317</v>
      </c>
      <c r="D15" s="237">
        <v>30302</v>
      </c>
    </row>
    <row r="16" spans="1:4" x14ac:dyDescent="0.2">
      <c r="A16" s="237">
        <v>30301</v>
      </c>
      <c r="B16" s="238">
        <v>1</v>
      </c>
      <c r="C16" s="237" t="s">
        <v>316</v>
      </c>
      <c r="D16" s="237">
        <v>30301</v>
      </c>
    </row>
    <row r="17" spans="1:4" x14ac:dyDescent="0.2">
      <c r="A17" s="237">
        <v>4019</v>
      </c>
      <c r="B17" s="238">
        <v>1</v>
      </c>
      <c r="C17" s="237" t="s">
        <v>311</v>
      </c>
      <c r="D17" s="237">
        <v>4019</v>
      </c>
    </row>
    <row r="18" spans="1:4" x14ac:dyDescent="0.2">
      <c r="A18" s="237">
        <v>5015</v>
      </c>
      <c r="B18" s="238">
        <v>2</v>
      </c>
      <c r="C18" s="237" t="s">
        <v>298</v>
      </c>
      <c r="D18" s="237">
        <v>5015</v>
      </c>
    </row>
    <row r="19" spans="1:4" x14ac:dyDescent="0.2">
      <c r="A19" s="237">
        <v>1017</v>
      </c>
      <c r="B19" s="238">
        <v>1</v>
      </c>
      <c r="C19" s="377" t="s">
        <v>712</v>
      </c>
      <c r="D19" s="237">
        <v>1017</v>
      </c>
    </row>
    <row r="20" spans="1:4" x14ac:dyDescent="0.2">
      <c r="A20" s="237">
        <v>1013</v>
      </c>
      <c r="B20" s="238">
        <v>1</v>
      </c>
      <c r="C20" s="377" t="s">
        <v>713</v>
      </c>
      <c r="D20" s="237">
        <v>1013</v>
      </c>
    </row>
    <row r="21" spans="1:4" x14ac:dyDescent="0.2">
      <c r="A21" s="237">
        <v>1014</v>
      </c>
      <c r="B21" s="238">
        <v>1</v>
      </c>
      <c r="C21" s="377" t="s">
        <v>714</v>
      </c>
      <c r="D21" s="237">
        <v>1014</v>
      </c>
    </row>
    <row r="22" spans="1:4" x14ac:dyDescent="0.2">
      <c r="A22" s="237">
        <v>2012</v>
      </c>
      <c r="B22" s="238">
        <v>1</v>
      </c>
      <c r="C22" s="237" t="s">
        <v>335</v>
      </c>
      <c r="D22" s="237">
        <v>2012</v>
      </c>
    </row>
    <row r="23" spans="1:4" x14ac:dyDescent="0.2">
      <c r="A23" s="237">
        <v>1014</v>
      </c>
      <c r="B23" s="238">
        <v>1</v>
      </c>
      <c r="C23" s="237" t="s">
        <v>366</v>
      </c>
      <c r="D23" s="237">
        <v>1014</v>
      </c>
    </row>
    <row r="24" spans="1:4" x14ac:dyDescent="0.2">
      <c r="A24" s="237">
        <v>30400</v>
      </c>
      <c r="B24" s="238">
        <v>1</v>
      </c>
      <c r="C24" s="237" t="s">
        <v>319</v>
      </c>
      <c r="D24" s="237">
        <v>30400</v>
      </c>
    </row>
    <row r="25" spans="1:4" x14ac:dyDescent="0.2">
      <c r="A25" s="237">
        <v>30500</v>
      </c>
      <c r="B25" s="238">
        <v>1</v>
      </c>
      <c r="C25" s="237" t="s">
        <v>320</v>
      </c>
      <c r="D25" s="237">
        <v>30500</v>
      </c>
    </row>
    <row r="26" spans="1:4" x14ac:dyDescent="0.2">
      <c r="A26" s="237">
        <v>30600</v>
      </c>
      <c r="B26" s="238">
        <v>1</v>
      </c>
      <c r="C26" s="237" t="s">
        <v>321</v>
      </c>
      <c r="D26" s="237">
        <v>30600</v>
      </c>
    </row>
    <row r="27" spans="1:4" x14ac:dyDescent="0.2">
      <c r="A27" s="237">
        <v>20105</v>
      </c>
      <c r="B27" s="238">
        <v>1</v>
      </c>
      <c r="C27" s="237" t="s">
        <v>331</v>
      </c>
      <c r="D27" s="237">
        <v>20105</v>
      </c>
    </row>
    <row r="28" spans="1:4" x14ac:dyDescent="0.2">
      <c r="A28" s="237">
        <v>20705</v>
      </c>
      <c r="B28" s="238">
        <v>1</v>
      </c>
      <c r="C28" s="237" t="s">
        <v>352</v>
      </c>
      <c r="D28" s="237">
        <v>20705</v>
      </c>
    </row>
    <row r="29" spans="1:4" x14ac:dyDescent="0.2">
      <c r="A29" s="237">
        <v>20303</v>
      </c>
      <c r="B29" s="238">
        <v>1</v>
      </c>
      <c r="C29" s="237" t="s">
        <v>341</v>
      </c>
      <c r="D29" s="237">
        <v>20303</v>
      </c>
    </row>
    <row r="30" spans="1:4" x14ac:dyDescent="0.2">
      <c r="A30" s="237">
        <v>20204</v>
      </c>
      <c r="B30" s="238">
        <v>1</v>
      </c>
      <c r="C30" s="237" t="s">
        <v>338</v>
      </c>
      <c r="D30" s="237">
        <v>20204</v>
      </c>
    </row>
    <row r="31" spans="1:4" x14ac:dyDescent="0.2">
      <c r="A31" s="237">
        <v>201001</v>
      </c>
      <c r="B31" s="238">
        <v>1</v>
      </c>
      <c r="C31" s="237" t="s">
        <v>326</v>
      </c>
      <c r="D31" s="237">
        <v>201001</v>
      </c>
    </row>
    <row r="32" spans="1:4" x14ac:dyDescent="0.2">
      <c r="A32" s="237">
        <v>20107</v>
      </c>
      <c r="B32" s="238">
        <v>1</v>
      </c>
      <c r="C32" s="237" t="s">
        <v>333</v>
      </c>
      <c r="D32" s="237">
        <v>20107</v>
      </c>
    </row>
    <row r="33" spans="1:4" x14ac:dyDescent="0.2">
      <c r="A33" s="237">
        <v>20703</v>
      </c>
      <c r="B33" s="238">
        <v>1</v>
      </c>
      <c r="C33" s="237" t="s">
        <v>350</v>
      </c>
      <c r="D33" s="237">
        <v>20703</v>
      </c>
    </row>
    <row r="34" spans="1:4" x14ac:dyDescent="0.2">
      <c r="A34" s="237">
        <v>20203</v>
      </c>
      <c r="B34" s="238">
        <v>1</v>
      </c>
      <c r="C34" s="240" t="s">
        <v>337</v>
      </c>
      <c r="D34" s="237">
        <v>20203</v>
      </c>
    </row>
    <row r="35" spans="1:4" x14ac:dyDescent="0.2">
      <c r="A35" s="237">
        <v>20401</v>
      </c>
      <c r="B35" s="238">
        <v>1</v>
      </c>
      <c r="C35" s="237" t="s">
        <v>342</v>
      </c>
      <c r="D35" s="237">
        <v>20401</v>
      </c>
    </row>
    <row r="36" spans="1:4" x14ac:dyDescent="0.2">
      <c r="A36" s="237">
        <v>20101</v>
      </c>
      <c r="B36" s="238">
        <v>1</v>
      </c>
      <c r="C36" s="237" t="s">
        <v>327</v>
      </c>
      <c r="D36" s="237">
        <v>20101</v>
      </c>
    </row>
    <row r="37" spans="1:4" x14ac:dyDescent="0.2">
      <c r="A37" s="237">
        <v>20106</v>
      </c>
      <c r="B37" s="238">
        <v>1</v>
      </c>
      <c r="C37" s="237" t="s">
        <v>332</v>
      </c>
      <c r="D37" s="237">
        <v>20106</v>
      </c>
    </row>
    <row r="38" spans="1:4" x14ac:dyDescent="0.2">
      <c r="A38" s="237">
        <v>20103</v>
      </c>
      <c r="B38" s="238">
        <v>1</v>
      </c>
      <c r="C38" s="237" t="s">
        <v>329</v>
      </c>
      <c r="D38" s="237">
        <v>20103</v>
      </c>
    </row>
    <row r="39" spans="1:4" x14ac:dyDescent="0.2">
      <c r="A39" s="237">
        <v>20406</v>
      </c>
      <c r="B39" s="238">
        <v>1</v>
      </c>
      <c r="C39" s="237" t="s">
        <v>347</v>
      </c>
      <c r="D39" s="237">
        <v>20406</v>
      </c>
    </row>
    <row r="40" spans="1:4" x14ac:dyDescent="0.2">
      <c r="A40" s="237">
        <v>20405</v>
      </c>
      <c r="B40" s="238">
        <v>1</v>
      </c>
      <c r="C40" s="237" t="s">
        <v>346</v>
      </c>
      <c r="D40" s="237">
        <v>20405</v>
      </c>
    </row>
    <row r="41" spans="1:4" x14ac:dyDescent="0.2">
      <c r="A41" s="237">
        <v>20704</v>
      </c>
      <c r="B41" s="238">
        <v>1</v>
      </c>
      <c r="C41" s="237" t="s">
        <v>351</v>
      </c>
      <c r="D41" s="237">
        <v>20704</v>
      </c>
    </row>
    <row r="42" spans="1:4" x14ac:dyDescent="0.2">
      <c r="A42" s="237">
        <v>20202</v>
      </c>
      <c r="B42" s="238">
        <v>1</v>
      </c>
      <c r="C42" s="237" t="s">
        <v>711</v>
      </c>
      <c r="D42" s="237">
        <v>20202</v>
      </c>
    </row>
    <row r="43" spans="1:4" x14ac:dyDescent="0.2">
      <c r="A43" s="237">
        <v>20801</v>
      </c>
      <c r="B43" s="238">
        <v>1</v>
      </c>
      <c r="C43" s="237" t="s">
        <v>353</v>
      </c>
      <c r="D43" s="237">
        <v>20801</v>
      </c>
    </row>
    <row r="44" spans="1:4" x14ac:dyDescent="0.2">
      <c r="A44" s="237">
        <v>20102</v>
      </c>
      <c r="B44" s="238">
        <v>1</v>
      </c>
      <c r="C44" s="237" t="s">
        <v>328</v>
      </c>
      <c r="D44" s="237">
        <v>20102</v>
      </c>
    </row>
    <row r="45" spans="1:4" x14ac:dyDescent="0.2">
      <c r="A45" s="237">
        <v>20901</v>
      </c>
      <c r="B45" s="238">
        <v>1</v>
      </c>
      <c r="C45" s="237" t="s">
        <v>354</v>
      </c>
      <c r="D45" s="237">
        <v>20901</v>
      </c>
    </row>
    <row r="46" spans="1:4" x14ac:dyDescent="0.2">
      <c r="A46" s="237">
        <v>20104</v>
      </c>
      <c r="B46" s="238">
        <v>1</v>
      </c>
      <c r="C46" s="237" t="s">
        <v>330</v>
      </c>
      <c r="D46" s="237">
        <v>20104</v>
      </c>
    </row>
    <row r="47" spans="1:4" x14ac:dyDescent="0.2">
      <c r="A47" s="237">
        <v>20301</v>
      </c>
      <c r="B47" s="238">
        <v>1</v>
      </c>
      <c r="C47" s="237" t="s">
        <v>339</v>
      </c>
      <c r="D47" s="237">
        <v>20301</v>
      </c>
    </row>
    <row r="48" spans="1:4" x14ac:dyDescent="0.2">
      <c r="A48" s="237">
        <v>20201</v>
      </c>
      <c r="B48" s="238">
        <v>1</v>
      </c>
      <c r="C48" s="237" t="s">
        <v>336</v>
      </c>
      <c r="D48" s="237">
        <v>20201</v>
      </c>
    </row>
    <row r="49" spans="1:4" x14ac:dyDescent="0.2">
      <c r="A49" s="237">
        <v>20701</v>
      </c>
      <c r="B49" s="238">
        <v>1</v>
      </c>
      <c r="C49" s="237" t="s">
        <v>348</v>
      </c>
      <c r="D49" s="237">
        <v>20701</v>
      </c>
    </row>
    <row r="50" spans="1:4" x14ac:dyDescent="0.2">
      <c r="A50" s="237">
        <v>20404</v>
      </c>
      <c r="B50" s="238">
        <v>1</v>
      </c>
      <c r="C50" s="237" t="s">
        <v>345</v>
      </c>
      <c r="D50" s="237">
        <v>20404</v>
      </c>
    </row>
    <row r="51" spans="1:4" x14ac:dyDescent="0.2">
      <c r="A51" s="237">
        <v>20302</v>
      </c>
      <c r="B51" s="238">
        <v>1</v>
      </c>
      <c r="C51" s="237" t="s">
        <v>340</v>
      </c>
      <c r="D51" s="237">
        <v>20302</v>
      </c>
    </row>
    <row r="52" spans="1:4" x14ac:dyDescent="0.2">
      <c r="A52" s="237">
        <v>20402</v>
      </c>
      <c r="B52" s="238">
        <v>1</v>
      </c>
      <c r="C52" s="237" t="s">
        <v>343</v>
      </c>
      <c r="D52" s="237">
        <v>20402</v>
      </c>
    </row>
    <row r="53" spans="1:4" x14ac:dyDescent="0.2">
      <c r="A53" s="237">
        <v>20702</v>
      </c>
      <c r="B53" s="238">
        <v>1</v>
      </c>
      <c r="C53" s="237" t="s">
        <v>349</v>
      </c>
      <c r="D53" s="237">
        <v>20702</v>
      </c>
    </row>
    <row r="54" spans="1:4" x14ac:dyDescent="0.2">
      <c r="A54" s="237">
        <v>5013</v>
      </c>
      <c r="B54" s="238">
        <v>1</v>
      </c>
      <c r="C54" s="237" t="s">
        <v>301</v>
      </c>
      <c r="D54" s="237">
        <v>5013</v>
      </c>
    </row>
    <row r="55" spans="1:4" x14ac:dyDescent="0.2">
      <c r="A55" s="237">
        <v>30800</v>
      </c>
      <c r="B55" s="238">
        <v>1</v>
      </c>
      <c r="C55" s="237" t="s">
        <v>323</v>
      </c>
      <c r="D55" s="237">
        <v>30800</v>
      </c>
    </row>
    <row r="56" spans="1:4" x14ac:dyDescent="0.2">
      <c r="A56" s="237">
        <v>20403</v>
      </c>
      <c r="B56" s="238">
        <v>1</v>
      </c>
      <c r="C56" s="237" t="s">
        <v>344</v>
      </c>
      <c r="D56" s="237">
        <v>20403</v>
      </c>
    </row>
    <row r="57" spans="1:4" x14ac:dyDescent="0.2">
      <c r="A57" s="237">
        <v>30101</v>
      </c>
      <c r="B57" s="238">
        <v>1</v>
      </c>
      <c r="C57" s="237" t="s">
        <v>314</v>
      </c>
      <c r="D57" s="237">
        <v>30101</v>
      </c>
    </row>
    <row r="58" spans="1:4" x14ac:dyDescent="0.2">
      <c r="A58" s="237">
        <v>1013</v>
      </c>
      <c r="B58" s="238">
        <v>1</v>
      </c>
      <c r="C58" s="237" t="s">
        <v>367</v>
      </c>
      <c r="D58" s="237">
        <v>1013</v>
      </c>
    </row>
    <row r="59" spans="1:4" x14ac:dyDescent="0.2">
      <c r="A59" s="237">
        <v>30201</v>
      </c>
      <c r="B59" s="238">
        <v>1</v>
      </c>
      <c r="C59" s="237" t="s">
        <v>315</v>
      </c>
      <c r="D59" s="237">
        <v>30201</v>
      </c>
    </row>
    <row r="60" spans="1:4" x14ac:dyDescent="0.2">
      <c r="A60" s="237">
        <v>1016</v>
      </c>
      <c r="B60" s="238">
        <v>1</v>
      </c>
      <c r="C60" s="237" t="s">
        <v>364</v>
      </c>
      <c r="D60" s="237">
        <v>1016</v>
      </c>
    </row>
    <row r="61" spans="1:4" x14ac:dyDescent="0.2">
      <c r="A61" s="237">
        <v>4014</v>
      </c>
      <c r="B61" s="238">
        <v>1</v>
      </c>
      <c r="C61" s="237" t="s">
        <v>306</v>
      </c>
      <c r="D61" s="237">
        <v>4014</v>
      </c>
    </row>
    <row r="62" spans="1:4" x14ac:dyDescent="0.2">
      <c r="A62" s="237">
        <v>4018</v>
      </c>
      <c r="B62" s="238">
        <v>1</v>
      </c>
      <c r="C62" s="237" t="s">
        <v>310</v>
      </c>
      <c r="D62" s="237">
        <v>4018</v>
      </c>
    </row>
    <row r="63" spans="1:4" x14ac:dyDescent="0.2">
      <c r="A63" s="237">
        <v>4015</v>
      </c>
      <c r="B63" s="238">
        <v>1</v>
      </c>
      <c r="C63" s="237" t="s">
        <v>309</v>
      </c>
      <c r="D63" s="237">
        <v>4015</v>
      </c>
    </row>
    <row r="64" spans="1:4" x14ac:dyDescent="0.2">
      <c r="A64" s="237">
        <v>4016</v>
      </c>
      <c r="B64" s="238">
        <v>1</v>
      </c>
      <c r="C64" s="237" t="s">
        <v>307</v>
      </c>
      <c r="D64" s="237">
        <v>4016</v>
      </c>
    </row>
    <row r="65" spans="1:4" x14ac:dyDescent="0.2">
      <c r="A65" s="237">
        <v>4011</v>
      </c>
      <c r="B65" s="238">
        <v>1</v>
      </c>
      <c r="C65" s="237" t="s">
        <v>303</v>
      </c>
      <c r="D65" s="237">
        <v>4011</v>
      </c>
    </row>
    <row r="66" spans="1:4" x14ac:dyDescent="0.2">
      <c r="A66" s="237">
        <v>4020</v>
      </c>
      <c r="B66" s="238">
        <v>1</v>
      </c>
      <c r="C66" s="237" t="s">
        <v>312</v>
      </c>
      <c r="D66" s="237">
        <v>4020</v>
      </c>
    </row>
    <row r="67" spans="1:4" x14ac:dyDescent="0.2">
      <c r="A67" s="237">
        <v>4013</v>
      </c>
      <c r="B67" s="238">
        <v>1</v>
      </c>
      <c r="C67" s="237" t="s">
        <v>305</v>
      </c>
      <c r="D67" s="237">
        <v>4013</v>
      </c>
    </row>
    <row r="68" spans="1:4" x14ac:dyDescent="0.2">
      <c r="A68" s="237">
        <v>5011</v>
      </c>
      <c r="B68" s="238">
        <v>2</v>
      </c>
      <c r="C68" s="237" t="s">
        <v>296</v>
      </c>
      <c r="D68" s="237">
        <v>5011</v>
      </c>
    </row>
    <row r="69" spans="1:4" x14ac:dyDescent="0.2">
      <c r="A69" s="237">
        <v>5011</v>
      </c>
      <c r="B69" s="238">
        <v>1</v>
      </c>
      <c r="C69" s="237" t="s">
        <v>295</v>
      </c>
      <c r="D69" s="237">
        <v>5011</v>
      </c>
    </row>
    <row r="70" spans="1:4" x14ac:dyDescent="0.2">
      <c r="A70" s="237">
        <v>30900</v>
      </c>
      <c r="B70" s="238">
        <v>1</v>
      </c>
      <c r="C70" s="237" t="s">
        <v>324</v>
      </c>
      <c r="D70" s="237">
        <v>30900</v>
      </c>
    </row>
    <row r="71" spans="1:4" x14ac:dyDescent="0.2">
      <c r="A71" s="237">
        <v>4017</v>
      </c>
      <c r="B71" s="238">
        <v>1</v>
      </c>
      <c r="C71" s="237" t="s">
        <v>308</v>
      </c>
      <c r="D71" s="237">
        <v>4017</v>
      </c>
    </row>
    <row r="72" spans="1:4" x14ac:dyDescent="0.2">
      <c r="A72" s="237">
        <v>11214</v>
      </c>
      <c r="B72" s="238">
        <v>1</v>
      </c>
      <c r="C72" s="237" t="s">
        <v>369</v>
      </c>
      <c r="D72" s="237">
        <v>11214</v>
      </c>
    </row>
    <row r="73" spans="1:4" x14ac:dyDescent="0.2">
      <c r="A73" s="237">
        <v>11411</v>
      </c>
      <c r="B73" s="238">
        <v>1</v>
      </c>
      <c r="C73" s="237" t="s">
        <v>360</v>
      </c>
      <c r="D73" s="237">
        <v>11411</v>
      </c>
    </row>
    <row r="74" spans="1:4" x14ac:dyDescent="0.2">
      <c r="A74" s="237">
        <v>11213</v>
      </c>
      <c r="B74" s="238">
        <v>1</v>
      </c>
      <c r="C74" s="237" t="s">
        <v>370</v>
      </c>
      <c r="D74" s="237">
        <v>11213</v>
      </c>
    </row>
    <row r="75" spans="1:4" x14ac:dyDescent="0.2">
      <c r="A75" s="237">
        <v>11711</v>
      </c>
      <c r="B75" s="238">
        <v>1</v>
      </c>
      <c r="C75" s="237" t="s">
        <v>358</v>
      </c>
      <c r="D75" s="237">
        <v>11711</v>
      </c>
    </row>
    <row r="76" spans="1:4" x14ac:dyDescent="0.2">
      <c r="A76" s="237">
        <v>11412</v>
      </c>
      <c r="B76" s="238">
        <v>1</v>
      </c>
      <c r="C76" s="237" t="s">
        <v>359</v>
      </c>
      <c r="D76" s="237">
        <v>11412</v>
      </c>
    </row>
    <row r="77" spans="1:4" x14ac:dyDescent="0.2">
      <c r="A77" s="237">
        <v>11352</v>
      </c>
      <c r="B77" s="238">
        <v>1</v>
      </c>
      <c r="C77" s="237" t="s">
        <v>362</v>
      </c>
      <c r="D77" s="237">
        <v>11352</v>
      </c>
    </row>
    <row r="78" spans="1:4" x14ac:dyDescent="0.2">
      <c r="A78" s="237">
        <v>11353</v>
      </c>
      <c r="B78" s="238">
        <v>1</v>
      </c>
      <c r="C78" s="237" t="s">
        <v>361</v>
      </c>
      <c r="D78" s="237">
        <v>11353</v>
      </c>
    </row>
    <row r="79" spans="1:4" x14ac:dyDescent="0.2">
      <c r="A79" s="237">
        <v>11112</v>
      </c>
      <c r="B79" s="238">
        <v>1</v>
      </c>
      <c r="C79" s="237" t="s">
        <v>372</v>
      </c>
      <c r="D79" s="237">
        <v>11112</v>
      </c>
    </row>
    <row r="80" spans="1:4" x14ac:dyDescent="0.2">
      <c r="A80" s="237">
        <v>11111</v>
      </c>
      <c r="B80" s="238">
        <v>1</v>
      </c>
      <c r="C80" s="237" t="s">
        <v>373</v>
      </c>
      <c r="D80" s="237">
        <v>11111</v>
      </c>
    </row>
    <row r="81" spans="1:4" x14ac:dyDescent="0.2">
      <c r="A81" s="237">
        <v>11114</v>
      </c>
      <c r="B81" s="238">
        <v>1</v>
      </c>
      <c r="C81" s="237" t="s">
        <v>371</v>
      </c>
      <c r="D81" s="237">
        <v>11114</v>
      </c>
    </row>
    <row r="82" spans="1:4" x14ac:dyDescent="0.2">
      <c r="A82" s="237">
        <v>11254</v>
      </c>
      <c r="B82" s="238">
        <v>1</v>
      </c>
      <c r="C82" s="237" t="s">
        <v>363</v>
      </c>
      <c r="D82" s="237">
        <v>11254</v>
      </c>
    </row>
    <row r="83" spans="1:4" x14ac:dyDescent="0.2">
      <c r="A83" s="237">
        <v>11251</v>
      </c>
      <c r="B83" s="238">
        <v>1</v>
      </c>
      <c r="C83" s="237" t="s">
        <v>368</v>
      </c>
      <c r="D83" s="237">
        <v>11251</v>
      </c>
    </row>
    <row r="84" spans="1:4" x14ac:dyDescent="0.2">
      <c r="A84" s="237">
        <v>11750</v>
      </c>
      <c r="B84" s="238">
        <v>1</v>
      </c>
      <c r="C84" s="237" t="s">
        <v>355</v>
      </c>
      <c r="D84" s="237">
        <v>11750</v>
      </c>
    </row>
    <row r="85" spans="1:4" x14ac:dyDescent="0.2">
      <c r="A85" s="237">
        <v>5010</v>
      </c>
      <c r="B85" s="238">
        <v>1</v>
      </c>
      <c r="C85" s="237" t="s">
        <v>294</v>
      </c>
      <c r="D85" s="237">
        <v>5010</v>
      </c>
    </row>
    <row r="86" spans="1:4" x14ac:dyDescent="0.2">
      <c r="A86" s="237">
        <v>4021</v>
      </c>
      <c r="B86" s="238">
        <v>1</v>
      </c>
      <c r="C86" s="237" t="s">
        <v>313</v>
      </c>
      <c r="D86" s="237">
        <v>4021</v>
      </c>
    </row>
    <row r="87" spans="1:4" x14ac:dyDescent="0.2">
      <c r="A87" s="237">
        <v>5015</v>
      </c>
      <c r="B87" s="238">
        <v>4</v>
      </c>
      <c r="C87" s="237" t="s">
        <v>300</v>
      </c>
      <c r="D87" s="237">
        <v>5015</v>
      </c>
    </row>
    <row r="88" spans="1:4" x14ac:dyDescent="0.2">
      <c r="A88" s="237">
        <v>5015</v>
      </c>
      <c r="B88" s="238">
        <v>1</v>
      </c>
      <c r="C88" s="237" t="s">
        <v>297</v>
      </c>
      <c r="D88" s="237">
        <v>5015</v>
      </c>
    </row>
    <row r="89" spans="1:4" x14ac:dyDescent="0.2">
      <c r="A89" s="237">
        <v>2011</v>
      </c>
      <c r="B89" s="238">
        <v>1</v>
      </c>
      <c r="C89" s="237" t="s">
        <v>334</v>
      </c>
      <c r="D89" s="237">
        <v>2011</v>
      </c>
    </row>
    <row r="90" spans="1:4" x14ac:dyDescent="0.2">
      <c r="A90" s="237">
        <v>30102</v>
      </c>
      <c r="B90" s="238">
        <v>1</v>
      </c>
      <c r="C90" s="237" t="s">
        <v>376</v>
      </c>
      <c r="D90" s="237">
        <v>30102</v>
      </c>
    </row>
    <row r="91" spans="1:4" x14ac:dyDescent="0.2">
      <c r="A91" s="237">
        <v>4012</v>
      </c>
      <c r="B91" s="238">
        <v>1</v>
      </c>
      <c r="C91" s="237" t="s">
        <v>304</v>
      </c>
      <c r="D91" s="237">
        <v>4012</v>
      </c>
    </row>
    <row r="92" spans="1:4" x14ac:dyDescent="0.2">
      <c r="A92" s="237">
        <v>1010</v>
      </c>
      <c r="B92" s="238">
        <v>1</v>
      </c>
      <c r="C92" s="237" t="s">
        <v>682</v>
      </c>
      <c r="D92" s="237">
        <v>1010</v>
      </c>
    </row>
    <row r="93" spans="1:4" x14ac:dyDescent="0.2">
      <c r="A93" s="237">
        <v>4010</v>
      </c>
      <c r="B93" s="238">
        <v>1</v>
      </c>
      <c r="C93" s="237" t="s">
        <v>683</v>
      </c>
      <c r="D93" s="237">
        <v>4010</v>
      </c>
    </row>
    <row r="94" spans="1:4" x14ac:dyDescent="0.2">
      <c r="A94" s="237">
        <v>2010</v>
      </c>
      <c r="B94" s="238">
        <v>1</v>
      </c>
      <c r="C94" s="237" t="s">
        <v>325</v>
      </c>
      <c r="D94" s="237">
        <v>2010</v>
      </c>
    </row>
    <row r="95" spans="1:4" x14ac:dyDescent="0.2">
      <c r="A95" s="237">
        <v>3010</v>
      </c>
      <c r="B95" s="238">
        <v>1</v>
      </c>
      <c r="C95" s="237" t="s">
        <v>684</v>
      </c>
      <c r="D95" s="237">
        <v>3010</v>
      </c>
    </row>
  </sheetData>
  <sortState xmlns:xlrd2="http://schemas.microsoft.com/office/spreadsheetml/2017/richdata2" ref="A5:D91">
    <sortCondition ref="C5:C9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
  <sheetViews>
    <sheetView workbookViewId="0"/>
  </sheetViews>
  <sheetFormatPr baseColWidth="10" defaultColWidth="11.42578125" defaultRowHeight="12.75" x14ac:dyDescent="0.2"/>
  <cols>
    <col min="1" max="1" width="11.42578125" style="250"/>
    <col min="2" max="2" width="18.5703125" style="250" customWidth="1"/>
    <col min="3" max="3" width="13.28515625" style="282" customWidth="1"/>
    <col min="4" max="4" width="46" style="250" customWidth="1"/>
    <col min="5" max="5" width="12.140625" style="250" customWidth="1"/>
    <col min="6" max="6" width="23.140625" style="250" customWidth="1"/>
    <col min="7" max="7" width="37.5703125" style="250" customWidth="1"/>
    <col min="8" max="8" width="23.5703125" style="250" customWidth="1"/>
    <col min="9" max="9" width="44.7109375" style="250" customWidth="1"/>
    <col min="10" max="10" width="29.42578125" style="250" customWidth="1"/>
    <col min="11" max="11" width="28.140625" style="250" customWidth="1"/>
    <col min="12" max="12" width="58.85546875" style="250" customWidth="1"/>
    <col min="13" max="14" width="36.28515625" style="283" customWidth="1"/>
    <col min="15" max="15" width="34.7109375" style="283" customWidth="1"/>
    <col min="16" max="16" width="11.42578125" style="283" customWidth="1"/>
    <col min="17" max="17" width="16.28515625" style="283" bestFit="1" customWidth="1"/>
    <col min="18" max="18" width="34" style="283" customWidth="1"/>
    <col min="19" max="20" width="14" style="250" bestFit="1" customWidth="1"/>
    <col min="21" max="16384" width="11.42578125" style="250"/>
  </cols>
  <sheetData>
    <row r="1" spans="1:20" ht="78" customHeight="1" x14ac:dyDescent="0.2">
      <c r="A1" s="249" t="s">
        <v>433</v>
      </c>
      <c r="B1" s="249" t="s">
        <v>428</v>
      </c>
      <c r="C1" s="249" t="s">
        <v>0</v>
      </c>
      <c r="D1" s="249" t="s">
        <v>429</v>
      </c>
      <c r="E1" s="249" t="s">
        <v>430</v>
      </c>
      <c r="F1" s="249" t="s">
        <v>431</v>
      </c>
      <c r="G1" s="249" t="s">
        <v>432</v>
      </c>
      <c r="H1" s="249" t="s">
        <v>433</v>
      </c>
      <c r="I1" s="249" t="s">
        <v>434</v>
      </c>
      <c r="J1" s="249" t="s">
        <v>435</v>
      </c>
      <c r="K1" s="249" t="s">
        <v>436</v>
      </c>
      <c r="L1" s="249" t="s">
        <v>437</v>
      </c>
      <c r="M1" s="249" t="s">
        <v>438</v>
      </c>
      <c r="N1" s="249" t="s">
        <v>439</v>
      </c>
      <c r="O1" s="249" t="s">
        <v>440</v>
      </c>
      <c r="P1" s="249" t="s">
        <v>441</v>
      </c>
      <c r="Q1" s="249" t="s">
        <v>442</v>
      </c>
      <c r="R1" s="249" t="s">
        <v>64</v>
      </c>
    </row>
    <row r="2" spans="1:20" s="260" customFormat="1" ht="89.25" customHeight="1" x14ac:dyDescent="0.2">
      <c r="A2" s="254" t="s">
        <v>447</v>
      </c>
      <c r="B2" s="251">
        <v>7001</v>
      </c>
      <c r="C2" s="252">
        <v>1</v>
      </c>
      <c r="D2" s="253" t="s">
        <v>443</v>
      </c>
      <c r="E2" s="254" t="s">
        <v>444</v>
      </c>
      <c r="F2" s="254" t="s">
        <v>445</v>
      </c>
      <c r="G2" s="253" t="s">
        <v>446</v>
      </c>
      <c r="H2" s="254" t="s">
        <v>447</v>
      </c>
      <c r="I2" s="255" t="s">
        <v>446</v>
      </c>
      <c r="J2" s="253" t="s">
        <v>448</v>
      </c>
      <c r="K2" s="253" t="s">
        <v>450</v>
      </c>
      <c r="L2" s="253" t="s">
        <v>451</v>
      </c>
      <c r="M2" s="254"/>
      <c r="N2" s="254" t="s">
        <v>287</v>
      </c>
      <c r="O2" s="256" t="s">
        <v>449</v>
      </c>
      <c r="P2" s="257">
        <v>0</v>
      </c>
      <c r="Q2" s="258" t="str">
        <f t="shared" ref="Q2:Q37" si="0">IFERROR(O2/P2,"")</f>
        <v/>
      </c>
      <c r="R2" s="259"/>
      <c r="S2" s="284"/>
      <c r="T2" s="285"/>
    </row>
    <row r="3" spans="1:20" s="260" customFormat="1" ht="87" customHeight="1" x14ac:dyDescent="0.2">
      <c r="A3" s="263" t="s">
        <v>455</v>
      </c>
      <c r="B3" s="251">
        <v>7002</v>
      </c>
      <c r="C3" s="261">
        <v>2</v>
      </c>
      <c r="D3" s="262" t="s">
        <v>443</v>
      </c>
      <c r="E3" s="263" t="s">
        <v>452</v>
      </c>
      <c r="F3" s="263" t="s">
        <v>453</v>
      </c>
      <c r="G3" s="262" t="s">
        <v>454</v>
      </c>
      <c r="H3" s="263" t="s">
        <v>455</v>
      </c>
      <c r="I3" s="262" t="s">
        <v>456</v>
      </c>
      <c r="J3" s="262" t="s">
        <v>457</v>
      </c>
      <c r="K3" s="262" t="s">
        <v>458</v>
      </c>
      <c r="L3" s="262" t="s">
        <v>459</v>
      </c>
      <c r="M3" s="263">
        <v>12</v>
      </c>
      <c r="N3" s="263">
        <v>13</v>
      </c>
      <c r="O3" s="264">
        <f t="shared" ref="O3:O24" si="1">IFERROR(IF(N3="N/A",M3,(M3/N3)),"")</f>
        <v>0.92307692307692313</v>
      </c>
      <c r="P3" s="265">
        <v>0.8</v>
      </c>
      <c r="Q3" s="265">
        <f t="shared" si="0"/>
        <v>1.1538461538461537</v>
      </c>
      <c r="R3" s="266"/>
    </row>
    <row r="4" spans="1:20" s="260" customFormat="1" ht="51" x14ac:dyDescent="0.2">
      <c r="A4" s="254" t="s">
        <v>462</v>
      </c>
      <c r="B4" s="251">
        <v>7003</v>
      </c>
      <c r="C4" s="252">
        <v>3</v>
      </c>
      <c r="D4" s="253" t="s">
        <v>388</v>
      </c>
      <c r="E4" s="254" t="s">
        <v>452</v>
      </c>
      <c r="F4" s="254" t="s">
        <v>460</v>
      </c>
      <c r="G4" s="253" t="s">
        <v>461</v>
      </c>
      <c r="H4" s="254" t="s">
        <v>462</v>
      </c>
      <c r="I4" s="253" t="s">
        <v>463</v>
      </c>
      <c r="J4" s="253" t="s">
        <v>457</v>
      </c>
      <c r="K4" s="253" t="s">
        <v>464</v>
      </c>
      <c r="L4" s="253" t="s">
        <v>465</v>
      </c>
      <c r="M4" s="254">
        <v>12</v>
      </c>
      <c r="N4" s="254">
        <v>13</v>
      </c>
      <c r="O4" s="256">
        <f t="shared" si="1"/>
        <v>0.92307692307692313</v>
      </c>
      <c r="P4" s="258">
        <v>0.5</v>
      </c>
      <c r="Q4" s="258">
        <f t="shared" si="0"/>
        <v>1.8461538461538463</v>
      </c>
      <c r="R4" s="259"/>
    </row>
    <row r="5" spans="1:20" s="260" customFormat="1" ht="51" x14ac:dyDescent="0.2">
      <c r="A5" s="254" t="s">
        <v>467</v>
      </c>
      <c r="B5" s="251">
        <v>7004</v>
      </c>
      <c r="C5" s="252">
        <v>3</v>
      </c>
      <c r="D5" s="253" t="s">
        <v>388</v>
      </c>
      <c r="E5" s="254" t="s">
        <v>466</v>
      </c>
      <c r="F5" s="254" t="s">
        <v>460</v>
      </c>
      <c r="G5" s="253" t="s">
        <v>461</v>
      </c>
      <c r="H5" s="254" t="s">
        <v>467</v>
      </c>
      <c r="I5" s="253" t="s">
        <v>468</v>
      </c>
      <c r="J5" s="253" t="s">
        <v>457</v>
      </c>
      <c r="K5" s="253" t="s">
        <v>469</v>
      </c>
      <c r="L5" s="253" t="s">
        <v>470</v>
      </c>
      <c r="M5" s="254">
        <v>13</v>
      </c>
      <c r="N5" s="254" t="s">
        <v>287</v>
      </c>
      <c r="O5" s="256">
        <f t="shared" si="1"/>
        <v>13</v>
      </c>
      <c r="P5" s="267">
        <v>13</v>
      </c>
      <c r="Q5" s="258">
        <f t="shared" si="0"/>
        <v>1</v>
      </c>
      <c r="R5" s="259"/>
    </row>
    <row r="6" spans="1:20" s="260" customFormat="1" ht="51" x14ac:dyDescent="0.2">
      <c r="A6" s="254" t="s">
        <v>471</v>
      </c>
      <c r="B6" s="251">
        <v>7005</v>
      </c>
      <c r="C6" s="252">
        <v>3</v>
      </c>
      <c r="D6" s="253" t="s">
        <v>388</v>
      </c>
      <c r="E6" s="254" t="s">
        <v>466</v>
      </c>
      <c r="F6" s="254" t="s">
        <v>460</v>
      </c>
      <c r="G6" s="253" t="s">
        <v>461</v>
      </c>
      <c r="H6" s="254" t="s">
        <v>471</v>
      </c>
      <c r="I6" s="253" t="s">
        <v>472</v>
      </c>
      <c r="J6" s="253" t="s">
        <v>457</v>
      </c>
      <c r="K6" s="253" t="s">
        <v>473</v>
      </c>
      <c r="L6" s="253" t="s">
        <v>474</v>
      </c>
      <c r="M6" s="254">
        <v>1</v>
      </c>
      <c r="N6" s="254" t="s">
        <v>287</v>
      </c>
      <c r="O6" s="256">
        <f>IFERROR(IF(N6="N/A",M6,(M6/N6)),"")</f>
        <v>1</v>
      </c>
      <c r="P6" s="267">
        <v>3</v>
      </c>
      <c r="Q6" s="258">
        <f>IFERROR(O6/P6,"")</f>
        <v>0.33333333333333331</v>
      </c>
      <c r="R6" s="259"/>
    </row>
    <row r="7" spans="1:20" s="260" customFormat="1" ht="51" x14ac:dyDescent="0.2">
      <c r="A7" s="254" t="s">
        <v>475</v>
      </c>
      <c r="B7" s="251">
        <v>7006</v>
      </c>
      <c r="C7" s="252">
        <v>3</v>
      </c>
      <c r="D7" s="253" t="s">
        <v>388</v>
      </c>
      <c r="E7" s="254" t="s">
        <v>466</v>
      </c>
      <c r="F7" s="254" t="s">
        <v>460</v>
      </c>
      <c r="G7" s="253" t="s">
        <v>461</v>
      </c>
      <c r="H7" s="254" t="s">
        <v>475</v>
      </c>
      <c r="I7" s="253" t="s">
        <v>476</v>
      </c>
      <c r="J7" s="253" t="s">
        <v>457</v>
      </c>
      <c r="K7" s="253" t="s">
        <v>477</v>
      </c>
      <c r="L7" s="253" t="s">
        <v>478</v>
      </c>
      <c r="M7" s="254">
        <v>148</v>
      </c>
      <c r="N7" s="254">
        <v>499</v>
      </c>
      <c r="O7" s="256">
        <f t="shared" si="1"/>
        <v>0.29659318637274551</v>
      </c>
      <c r="P7" s="258">
        <v>0.1</v>
      </c>
      <c r="Q7" s="258">
        <f t="shared" si="0"/>
        <v>2.9659318637274548</v>
      </c>
      <c r="R7" s="259"/>
    </row>
    <row r="8" spans="1:20" s="260" customFormat="1" ht="63.75" x14ac:dyDescent="0.2">
      <c r="A8" s="263" t="s">
        <v>481</v>
      </c>
      <c r="B8" s="251">
        <v>7007</v>
      </c>
      <c r="C8" s="261">
        <v>4</v>
      </c>
      <c r="D8" s="262" t="s">
        <v>388</v>
      </c>
      <c r="E8" s="263" t="s">
        <v>452</v>
      </c>
      <c r="F8" s="263" t="s">
        <v>479</v>
      </c>
      <c r="G8" s="262" t="s">
        <v>480</v>
      </c>
      <c r="H8" s="263" t="s">
        <v>481</v>
      </c>
      <c r="I8" s="262" t="s">
        <v>482</v>
      </c>
      <c r="J8" s="262" t="s">
        <v>457</v>
      </c>
      <c r="K8" s="262" t="s">
        <v>483</v>
      </c>
      <c r="L8" s="262" t="s">
        <v>484</v>
      </c>
      <c r="M8" s="263">
        <v>8</v>
      </c>
      <c r="N8" s="263">
        <v>13</v>
      </c>
      <c r="O8" s="264">
        <f t="shared" si="1"/>
        <v>0.61538461538461542</v>
      </c>
      <c r="P8" s="265">
        <v>0.6</v>
      </c>
      <c r="Q8" s="265">
        <f t="shared" si="0"/>
        <v>1.0256410256410258</v>
      </c>
      <c r="R8" s="266"/>
    </row>
    <row r="9" spans="1:20" s="260" customFormat="1" ht="51" x14ac:dyDescent="0.2">
      <c r="A9" s="263" t="s">
        <v>485</v>
      </c>
      <c r="B9" s="251">
        <v>7008</v>
      </c>
      <c r="C9" s="261">
        <v>4</v>
      </c>
      <c r="D9" s="262" t="s">
        <v>388</v>
      </c>
      <c r="E9" s="263" t="s">
        <v>452</v>
      </c>
      <c r="F9" s="263" t="s">
        <v>479</v>
      </c>
      <c r="G9" s="262" t="s">
        <v>480</v>
      </c>
      <c r="H9" s="263" t="s">
        <v>485</v>
      </c>
      <c r="I9" s="262" t="s">
        <v>486</v>
      </c>
      <c r="J9" s="262" t="s">
        <v>457</v>
      </c>
      <c r="K9" s="262" t="s">
        <v>487</v>
      </c>
      <c r="L9" s="262" t="s">
        <v>488</v>
      </c>
      <c r="M9" s="263">
        <v>6</v>
      </c>
      <c r="N9" s="263">
        <v>13</v>
      </c>
      <c r="O9" s="264">
        <f t="shared" si="1"/>
        <v>0.46153846153846156</v>
      </c>
      <c r="P9" s="265">
        <v>0.7</v>
      </c>
      <c r="Q9" s="265">
        <f t="shared" si="0"/>
        <v>0.65934065934065944</v>
      </c>
      <c r="R9" s="266"/>
    </row>
    <row r="10" spans="1:20" s="260" customFormat="1" ht="51" x14ac:dyDescent="0.2">
      <c r="A10" s="263" t="s">
        <v>489</v>
      </c>
      <c r="B10" s="251">
        <v>7009</v>
      </c>
      <c r="C10" s="261">
        <v>4</v>
      </c>
      <c r="D10" s="262" t="s">
        <v>388</v>
      </c>
      <c r="E10" s="263" t="s">
        <v>452</v>
      </c>
      <c r="F10" s="263" t="s">
        <v>479</v>
      </c>
      <c r="G10" s="262" t="s">
        <v>480</v>
      </c>
      <c r="H10" s="263" t="s">
        <v>489</v>
      </c>
      <c r="I10" s="262" t="s">
        <v>490</v>
      </c>
      <c r="J10" s="262" t="s">
        <v>457</v>
      </c>
      <c r="K10" s="262" t="s">
        <v>491</v>
      </c>
      <c r="L10" s="262" t="s">
        <v>492</v>
      </c>
      <c r="M10" s="268" t="s">
        <v>493</v>
      </c>
      <c r="N10" s="263">
        <v>420</v>
      </c>
      <c r="O10" s="264" t="str">
        <f t="shared" si="1"/>
        <v/>
      </c>
      <c r="P10" s="265">
        <v>0.93</v>
      </c>
      <c r="Q10" s="265" t="str">
        <f t="shared" si="0"/>
        <v/>
      </c>
      <c r="R10" s="266"/>
    </row>
    <row r="11" spans="1:20" s="260" customFormat="1" ht="63.75" x14ac:dyDescent="0.2">
      <c r="A11" s="254" t="s">
        <v>496</v>
      </c>
      <c r="B11" s="251">
        <v>7010</v>
      </c>
      <c r="C11" s="252">
        <v>5</v>
      </c>
      <c r="D11" s="253" t="s">
        <v>388</v>
      </c>
      <c r="E11" s="254" t="s">
        <v>452</v>
      </c>
      <c r="F11" s="254" t="s">
        <v>494</v>
      </c>
      <c r="G11" s="253" t="s">
        <v>495</v>
      </c>
      <c r="H11" s="254" t="s">
        <v>496</v>
      </c>
      <c r="I11" s="253" t="s">
        <v>497</v>
      </c>
      <c r="J11" s="253" t="s">
        <v>457</v>
      </c>
      <c r="K11" s="253" t="s">
        <v>498</v>
      </c>
      <c r="L11" s="253" t="s">
        <v>499</v>
      </c>
      <c r="M11" s="254">
        <v>18</v>
      </c>
      <c r="N11" s="254">
        <v>476</v>
      </c>
      <c r="O11" s="256">
        <f t="shared" si="1"/>
        <v>3.7815126050420166E-2</v>
      </c>
      <c r="P11" s="269">
        <v>0.1</v>
      </c>
      <c r="Q11" s="258">
        <f t="shared" si="0"/>
        <v>0.37815126050420161</v>
      </c>
      <c r="R11" s="259"/>
    </row>
    <row r="12" spans="1:20" s="260" customFormat="1" ht="63.75" x14ac:dyDescent="0.2">
      <c r="A12" s="254" t="s">
        <v>500</v>
      </c>
      <c r="B12" s="251">
        <v>7011</v>
      </c>
      <c r="C12" s="252">
        <v>5</v>
      </c>
      <c r="D12" s="253" t="s">
        <v>388</v>
      </c>
      <c r="E12" s="254" t="s">
        <v>452</v>
      </c>
      <c r="F12" s="254" t="s">
        <v>494</v>
      </c>
      <c r="G12" s="253" t="s">
        <v>495</v>
      </c>
      <c r="H12" s="254" t="s">
        <v>500</v>
      </c>
      <c r="I12" s="253" t="s">
        <v>501</v>
      </c>
      <c r="J12" s="253" t="s">
        <v>457</v>
      </c>
      <c r="K12" s="253" t="s">
        <v>502</v>
      </c>
      <c r="L12" s="253" t="s">
        <v>503</v>
      </c>
      <c r="M12" s="254">
        <v>143</v>
      </c>
      <c r="N12" s="254">
        <v>265</v>
      </c>
      <c r="O12" s="256">
        <f t="shared" si="1"/>
        <v>0.53962264150943395</v>
      </c>
      <c r="P12" s="258">
        <v>0.55000000000000004</v>
      </c>
      <c r="Q12" s="258">
        <f t="shared" si="0"/>
        <v>0.98113207547169801</v>
      </c>
      <c r="R12" s="259"/>
    </row>
    <row r="13" spans="1:20" s="260" customFormat="1" ht="51" x14ac:dyDescent="0.2">
      <c r="A13" s="263" t="s">
        <v>507</v>
      </c>
      <c r="B13" s="251">
        <v>7012</v>
      </c>
      <c r="C13" s="261">
        <v>6</v>
      </c>
      <c r="D13" s="262" t="s">
        <v>389</v>
      </c>
      <c r="E13" s="263" t="s">
        <v>504</v>
      </c>
      <c r="F13" s="263" t="s">
        <v>505</v>
      </c>
      <c r="G13" s="262" t="s">
        <v>506</v>
      </c>
      <c r="H13" s="263" t="s">
        <v>507</v>
      </c>
      <c r="I13" s="262" t="s">
        <v>508</v>
      </c>
      <c r="J13" s="262" t="s">
        <v>509</v>
      </c>
      <c r="K13" s="262" t="s">
        <v>510</v>
      </c>
      <c r="L13" s="270" t="s">
        <v>511</v>
      </c>
      <c r="M13" s="263"/>
      <c r="N13" s="263"/>
      <c r="O13" s="264" t="str">
        <f t="shared" si="1"/>
        <v/>
      </c>
      <c r="P13" s="271">
        <v>1</v>
      </c>
      <c r="Q13" s="265" t="str">
        <f t="shared" si="0"/>
        <v/>
      </c>
      <c r="R13" s="266"/>
    </row>
    <row r="14" spans="1:20" s="260" customFormat="1" ht="38.25" x14ac:dyDescent="0.2">
      <c r="A14" s="254" t="s">
        <v>514</v>
      </c>
      <c r="B14" s="251">
        <v>7013</v>
      </c>
      <c r="C14" s="252">
        <v>7</v>
      </c>
      <c r="D14" s="253" t="s">
        <v>389</v>
      </c>
      <c r="E14" s="254" t="s">
        <v>504</v>
      </c>
      <c r="F14" s="254" t="s">
        <v>512</v>
      </c>
      <c r="G14" s="253" t="s">
        <v>513</v>
      </c>
      <c r="H14" s="254" t="s">
        <v>514</v>
      </c>
      <c r="I14" s="253" t="s">
        <v>515</v>
      </c>
      <c r="J14" s="253" t="s">
        <v>509</v>
      </c>
      <c r="K14" s="253" t="s">
        <v>516</v>
      </c>
      <c r="L14" s="272" t="s">
        <v>517</v>
      </c>
      <c r="M14" s="254" t="s">
        <v>518</v>
      </c>
      <c r="N14" s="254"/>
      <c r="O14" s="256" t="str">
        <f t="shared" si="1"/>
        <v/>
      </c>
      <c r="P14" s="269">
        <v>0.02</v>
      </c>
      <c r="Q14" s="258" t="str">
        <f t="shared" si="0"/>
        <v/>
      </c>
      <c r="R14" s="259"/>
    </row>
    <row r="15" spans="1:20" s="260" customFormat="1" ht="63.75" x14ac:dyDescent="0.2">
      <c r="A15" s="254" t="s">
        <v>519</v>
      </c>
      <c r="B15" s="251">
        <v>7014</v>
      </c>
      <c r="C15" s="252">
        <v>7</v>
      </c>
      <c r="D15" s="253" t="s">
        <v>389</v>
      </c>
      <c r="E15" s="254" t="s">
        <v>504</v>
      </c>
      <c r="F15" s="254" t="s">
        <v>512</v>
      </c>
      <c r="G15" s="253" t="s">
        <v>513</v>
      </c>
      <c r="H15" s="254" t="s">
        <v>519</v>
      </c>
      <c r="I15" s="253" t="s">
        <v>520</v>
      </c>
      <c r="J15" s="253" t="s">
        <v>509</v>
      </c>
      <c r="K15" s="253" t="s">
        <v>521</v>
      </c>
      <c r="L15" s="272" t="s">
        <v>522</v>
      </c>
      <c r="M15" s="254">
        <v>108</v>
      </c>
      <c r="N15" s="254">
        <v>0</v>
      </c>
      <c r="O15" s="256" t="str">
        <f t="shared" si="1"/>
        <v/>
      </c>
      <c r="P15" s="269">
        <v>0.02</v>
      </c>
      <c r="Q15" s="258" t="str">
        <f t="shared" si="0"/>
        <v/>
      </c>
      <c r="R15" s="259"/>
    </row>
    <row r="16" spans="1:20" s="260" customFormat="1" ht="38.25" x14ac:dyDescent="0.2">
      <c r="A16" s="263" t="s">
        <v>525</v>
      </c>
      <c r="B16" s="251">
        <v>7015</v>
      </c>
      <c r="C16" s="261">
        <v>8</v>
      </c>
      <c r="D16" s="262" t="s">
        <v>389</v>
      </c>
      <c r="E16" s="263" t="s">
        <v>504</v>
      </c>
      <c r="F16" s="263" t="s">
        <v>523</v>
      </c>
      <c r="G16" s="262" t="s">
        <v>524</v>
      </c>
      <c r="H16" s="263" t="s">
        <v>525</v>
      </c>
      <c r="I16" s="262" t="s">
        <v>526</v>
      </c>
      <c r="J16" s="262" t="s">
        <v>509</v>
      </c>
      <c r="K16" s="262" t="s">
        <v>527</v>
      </c>
      <c r="L16" s="273" t="s">
        <v>528</v>
      </c>
      <c r="M16" s="274">
        <v>14</v>
      </c>
      <c r="N16" s="275">
        <v>20</v>
      </c>
      <c r="O16" s="264">
        <f t="shared" si="1"/>
        <v>0.7</v>
      </c>
      <c r="P16" s="271">
        <v>0.8</v>
      </c>
      <c r="Q16" s="265">
        <f t="shared" si="0"/>
        <v>0.87499999999999989</v>
      </c>
      <c r="R16" s="276" t="s">
        <v>529</v>
      </c>
    </row>
    <row r="17" spans="1:18" s="260" customFormat="1" ht="63.75" x14ac:dyDescent="0.2">
      <c r="A17" s="263" t="s">
        <v>530</v>
      </c>
      <c r="B17" s="277">
        <v>7016</v>
      </c>
      <c r="C17" s="261">
        <v>8</v>
      </c>
      <c r="D17" s="262" t="s">
        <v>389</v>
      </c>
      <c r="E17" s="263" t="s">
        <v>504</v>
      </c>
      <c r="F17" s="263" t="s">
        <v>523</v>
      </c>
      <c r="G17" s="262" t="s">
        <v>524</v>
      </c>
      <c r="H17" s="263" t="s">
        <v>530</v>
      </c>
      <c r="I17" s="262" t="s">
        <v>531</v>
      </c>
      <c r="J17" s="262" t="s">
        <v>509</v>
      </c>
      <c r="K17" s="262" t="s">
        <v>532</v>
      </c>
      <c r="L17" s="273" t="s">
        <v>533</v>
      </c>
      <c r="M17" s="263">
        <v>445</v>
      </c>
      <c r="N17" s="263" t="s">
        <v>287</v>
      </c>
      <c r="O17" s="264">
        <f t="shared" si="1"/>
        <v>445</v>
      </c>
      <c r="P17" s="275">
        <v>209</v>
      </c>
      <c r="Q17" s="265">
        <f t="shared" si="0"/>
        <v>2.1291866028708135</v>
      </c>
      <c r="R17" s="266"/>
    </row>
    <row r="18" spans="1:18" s="260" customFormat="1" ht="63.75" x14ac:dyDescent="0.2">
      <c r="A18" s="263" t="s">
        <v>534</v>
      </c>
      <c r="B18" s="251">
        <v>7017</v>
      </c>
      <c r="C18" s="261">
        <v>8</v>
      </c>
      <c r="D18" s="262" t="s">
        <v>389</v>
      </c>
      <c r="E18" s="263" t="s">
        <v>504</v>
      </c>
      <c r="F18" s="263" t="s">
        <v>523</v>
      </c>
      <c r="G18" s="262" t="s">
        <v>524</v>
      </c>
      <c r="H18" s="263" t="s">
        <v>534</v>
      </c>
      <c r="I18" s="262" t="s">
        <v>535</v>
      </c>
      <c r="J18" s="262" t="s">
        <v>509</v>
      </c>
      <c r="K18" s="262" t="s">
        <v>536</v>
      </c>
      <c r="L18" s="273" t="s">
        <v>537</v>
      </c>
      <c r="M18" s="263" t="s">
        <v>538</v>
      </c>
      <c r="N18" s="263"/>
      <c r="O18" s="264" t="str">
        <f t="shared" si="1"/>
        <v/>
      </c>
      <c r="P18" s="271">
        <v>0.02</v>
      </c>
      <c r="Q18" s="265" t="str">
        <f t="shared" si="0"/>
        <v/>
      </c>
      <c r="R18" s="266"/>
    </row>
    <row r="19" spans="1:18" s="260" customFormat="1" ht="89.25" x14ac:dyDescent="0.2">
      <c r="A19" s="254" t="s">
        <v>543</v>
      </c>
      <c r="B19" s="251">
        <v>7018</v>
      </c>
      <c r="C19" s="252">
        <v>9</v>
      </c>
      <c r="D19" s="253" t="s">
        <v>539</v>
      </c>
      <c r="E19" s="254" t="s">
        <v>540</v>
      </c>
      <c r="F19" s="254" t="s">
        <v>541</v>
      </c>
      <c r="G19" s="253" t="s">
        <v>542</v>
      </c>
      <c r="H19" s="254" t="s">
        <v>543</v>
      </c>
      <c r="I19" s="253" t="s">
        <v>544</v>
      </c>
      <c r="J19" s="253" t="s">
        <v>545</v>
      </c>
      <c r="K19" s="253" t="s">
        <v>546</v>
      </c>
      <c r="L19" s="253" t="s">
        <v>547</v>
      </c>
      <c r="M19" s="278">
        <v>943308194</v>
      </c>
      <c r="N19" s="278">
        <v>2324936452</v>
      </c>
      <c r="O19" s="256">
        <f t="shared" si="1"/>
        <v>0.40573504415078954</v>
      </c>
      <c r="P19" s="269">
        <v>0.05</v>
      </c>
      <c r="Q19" s="258">
        <f t="shared" si="0"/>
        <v>8.1147008830157894</v>
      </c>
      <c r="R19" s="259"/>
    </row>
    <row r="20" spans="1:18" s="260" customFormat="1" ht="51" x14ac:dyDescent="0.2">
      <c r="A20" s="254" t="s">
        <v>548</v>
      </c>
      <c r="B20" s="251">
        <v>7019</v>
      </c>
      <c r="C20" s="252">
        <v>9</v>
      </c>
      <c r="D20" s="253" t="s">
        <v>539</v>
      </c>
      <c r="E20" s="254" t="s">
        <v>540</v>
      </c>
      <c r="F20" s="254" t="s">
        <v>541</v>
      </c>
      <c r="G20" s="253" t="s">
        <v>542</v>
      </c>
      <c r="H20" s="254" t="s">
        <v>548</v>
      </c>
      <c r="I20" s="253" t="s">
        <v>549</v>
      </c>
      <c r="J20" s="253" t="s">
        <v>457</v>
      </c>
      <c r="K20" s="253" t="s">
        <v>550</v>
      </c>
      <c r="L20" s="253" t="s">
        <v>551</v>
      </c>
      <c r="M20" s="254"/>
      <c r="N20" s="254"/>
      <c r="O20" s="256" t="str">
        <f t="shared" si="1"/>
        <v/>
      </c>
      <c r="P20" s="254">
        <v>0</v>
      </c>
      <c r="Q20" s="258" t="str">
        <f t="shared" si="0"/>
        <v/>
      </c>
      <c r="R20" s="259"/>
    </row>
    <row r="21" spans="1:18" s="260" customFormat="1" ht="51" x14ac:dyDescent="0.2">
      <c r="A21" s="263" t="s">
        <v>555</v>
      </c>
      <c r="B21" s="251">
        <v>7020</v>
      </c>
      <c r="C21" s="261">
        <v>10</v>
      </c>
      <c r="D21" s="262" t="s">
        <v>539</v>
      </c>
      <c r="E21" s="263" t="s">
        <v>552</v>
      </c>
      <c r="F21" s="263" t="s">
        <v>553</v>
      </c>
      <c r="G21" s="262" t="s">
        <v>554</v>
      </c>
      <c r="H21" s="263" t="s">
        <v>555</v>
      </c>
      <c r="I21" s="262" t="s">
        <v>556</v>
      </c>
      <c r="J21" s="262" t="s">
        <v>545</v>
      </c>
      <c r="K21" s="262" t="s">
        <v>557</v>
      </c>
      <c r="L21" s="273" t="s">
        <v>558</v>
      </c>
      <c r="M21" s="263"/>
      <c r="N21" s="263">
        <v>13</v>
      </c>
      <c r="O21" s="264">
        <f t="shared" si="1"/>
        <v>0</v>
      </c>
      <c r="P21" s="271">
        <v>0.7</v>
      </c>
      <c r="Q21" s="265">
        <f t="shared" si="0"/>
        <v>0</v>
      </c>
      <c r="R21" s="266"/>
    </row>
    <row r="22" spans="1:18" s="260" customFormat="1" ht="51" x14ac:dyDescent="0.2">
      <c r="A22" s="254" t="s">
        <v>561</v>
      </c>
      <c r="B22" s="251">
        <v>7021</v>
      </c>
      <c r="C22" s="252">
        <v>11</v>
      </c>
      <c r="D22" s="253" t="s">
        <v>539</v>
      </c>
      <c r="E22" s="254" t="s">
        <v>552</v>
      </c>
      <c r="F22" s="254" t="s">
        <v>559</v>
      </c>
      <c r="G22" s="253" t="s">
        <v>560</v>
      </c>
      <c r="H22" s="254" t="s">
        <v>561</v>
      </c>
      <c r="I22" s="253" t="s">
        <v>562</v>
      </c>
      <c r="J22" s="253" t="s">
        <v>545</v>
      </c>
      <c r="K22" s="253" t="s">
        <v>563</v>
      </c>
      <c r="L22" s="253" t="s">
        <v>564</v>
      </c>
      <c r="M22" s="254">
        <v>1315</v>
      </c>
      <c r="N22" s="254">
        <v>13262</v>
      </c>
      <c r="O22" s="256">
        <f t="shared" si="1"/>
        <v>9.9155481827778613E-2</v>
      </c>
      <c r="P22" s="269">
        <v>0.1</v>
      </c>
      <c r="Q22" s="258">
        <f t="shared" si="0"/>
        <v>0.99155481827778613</v>
      </c>
      <c r="R22" s="259"/>
    </row>
    <row r="23" spans="1:18" s="260" customFormat="1" ht="38.25" x14ac:dyDescent="0.2">
      <c r="A23" s="254" t="s">
        <v>565</v>
      </c>
      <c r="B23" s="251">
        <v>7022</v>
      </c>
      <c r="C23" s="252">
        <v>11</v>
      </c>
      <c r="D23" s="253" t="s">
        <v>539</v>
      </c>
      <c r="E23" s="254" t="s">
        <v>552</v>
      </c>
      <c r="F23" s="254" t="s">
        <v>559</v>
      </c>
      <c r="G23" s="253" t="s">
        <v>560</v>
      </c>
      <c r="H23" s="254" t="s">
        <v>565</v>
      </c>
      <c r="I23" s="253" t="s">
        <v>566</v>
      </c>
      <c r="J23" s="253" t="s">
        <v>545</v>
      </c>
      <c r="K23" s="253" t="s">
        <v>567</v>
      </c>
      <c r="L23" s="272" t="s">
        <v>568</v>
      </c>
      <c r="M23" s="254">
        <v>12</v>
      </c>
      <c r="N23" s="254">
        <v>13</v>
      </c>
      <c r="O23" s="256">
        <f t="shared" si="1"/>
        <v>0.92307692307692313</v>
      </c>
      <c r="P23" s="269">
        <v>1</v>
      </c>
      <c r="Q23" s="258">
        <f t="shared" si="0"/>
        <v>0.92307692307692313</v>
      </c>
      <c r="R23" s="259"/>
    </row>
    <row r="24" spans="1:18" s="260" customFormat="1" ht="76.5" x14ac:dyDescent="0.2">
      <c r="A24" s="254" t="s">
        <v>569</v>
      </c>
      <c r="B24" s="251">
        <v>7023</v>
      </c>
      <c r="C24" s="252">
        <v>11</v>
      </c>
      <c r="D24" s="253" t="s">
        <v>539</v>
      </c>
      <c r="E24" s="254" t="s">
        <v>552</v>
      </c>
      <c r="F24" s="254" t="s">
        <v>559</v>
      </c>
      <c r="G24" s="253" t="s">
        <v>560</v>
      </c>
      <c r="H24" s="254" t="s">
        <v>569</v>
      </c>
      <c r="I24" s="253" t="s">
        <v>570</v>
      </c>
      <c r="J24" s="253" t="s">
        <v>545</v>
      </c>
      <c r="K24" s="253" t="s">
        <v>571</v>
      </c>
      <c r="L24" s="253" t="s">
        <v>572</v>
      </c>
      <c r="M24" s="254" t="s">
        <v>538</v>
      </c>
      <c r="N24" s="254"/>
      <c r="O24" s="256" t="str">
        <f t="shared" si="1"/>
        <v/>
      </c>
      <c r="P24" s="269">
        <v>0.05</v>
      </c>
      <c r="Q24" s="258" t="str">
        <f t="shared" si="0"/>
        <v/>
      </c>
      <c r="R24" s="259"/>
    </row>
    <row r="25" spans="1:18" s="260" customFormat="1" ht="76.5" x14ac:dyDescent="0.2">
      <c r="A25" s="263" t="s">
        <v>576</v>
      </c>
      <c r="B25" s="251">
        <v>7024</v>
      </c>
      <c r="C25" s="261">
        <v>12</v>
      </c>
      <c r="D25" s="262" t="s">
        <v>573</v>
      </c>
      <c r="E25" s="263" t="s">
        <v>552</v>
      </c>
      <c r="F25" s="263" t="s">
        <v>574</v>
      </c>
      <c r="G25" s="262" t="s">
        <v>575</v>
      </c>
      <c r="H25" s="263" t="s">
        <v>576</v>
      </c>
      <c r="I25" s="262" t="s">
        <v>577</v>
      </c>
      <c r="J25" s="262" t="s">
        <v>578</v>
      </c>
      <c r="K25" s="262" t="s">
        <v>579</v>
      </c>
      <c r="L25" s="273" t="s">
        <v>580</v>
      </c>
      <c r="M25" s="263">
        <v>259</v>
      </c>
      <c r="N25" s="263">
        <v>1362</v>
      </c>
      <c r="O25" s="271">
        <f>IFERROR(IF(N25="N/A",M25,(M25/N25)-1),"")</f>
        <v>-0.80983847283406751</v>
      </c>
      <c r="P25" s="279">
        <v>0.1</v>
      </c>
      <c r="Q25" s="265">
        <f t="shared" si="0"/>
        <v>-8.0983847283406742</v>
      </c>
      <c r="R25" s="266"/>
    </row>
    <row r="26" spans="1:18" s="260" customFormat="1" ht="99" customHeight="1" x14ac:dyDescent="0.2">
      <c r="A26" s="254" t="s">
        <v>584</v>
      </c>
      <c r="B26" s="251">
        <v>7025</v>
      </c>
      <c r="C26" s="252">
        <v>13</v>
      </c>
      <c r="D26" s="253" t="s">
        <v>573</v>
      </c>
      <c r="E26" s="254" t="s">
        <v>581</v>
      </c>
      <c r="F26" s="254" t="s">
        <v>582</v>
      </c>
      <c r="G26" s="253" t="s">
        <v>583</v>
      </c>
      <c r="H26" s="254" t="s">
        <v>584</v>
      </c>
      <c r="I26" s="253" t="s">
        <v>585</v>
      </c>
      <c r="J26" s="253" t="s">
        <v>586</v>
      </c>
      <c r="K26" s="253" t="s">
        <v>587</v>
      </c>
      <c r="L26" s="272" t="s">
        <v>588</v>
      </c>
      <c r="M26" s="254">
        <v>6</v>
      </c>
      <c r="N26" s="254">
        <v>6</v>
      </c>
      <c r="O26" s="256">
        <f>IFERROR(IF(N26="N/A",M26,(M26/N26)),"")</f>
        <v>1</v>
      </c>
      <c r="P26" s="269">
        <v>1</v>
      </c>
      <c r="Q26" s="258">
        <f t="shared" si="0"/>
        <v>1</v>
      </c>
      <c r="R26" s="259"/>
    </row>
    <row r="27" spans="1:18" s="260" customFormat="1" ht="128.25" customHeight="1" x14ac:dyDescent="0.2">
      <c r="A27" s="263" t="s">
        <v>593</v>
      </c>
      <c r="B27" s="251">
        <v>7026</v>
      </c>
      <c r="C27" s="261">
        <v>14</v>
      </c>
      <c r="D27" s="262" t="s">
        <v>589</v>
      </c>
      <c r="E27" s="263" t="s">
        <v>590</v>
      </c>
      <c r="F27" s="263" t="s">
        <v>591</v>
      </c>
      <c r="G27" s="262" t="s">
        <v>592</v>
      </c>
      <c r="H27" s="263" t="s">
        <v>593</v>
      </c>
      <c r="I27" s="262" t="s">
        <v>594</v>
      </c>
      <c r="J27" s="262" t="s">
        <v>545</v>
      </c>
      <c r="K27" s="262" t="s">
        <v>595</v>
      </c>
      <c r="L27" s="262" t="s">
        <v>596</v>
      </c>
      <c r="M27" s="263">
        <v>9</v>
      </c>
      <c r="N27" s="263">
        <v>13</v>
      </c>
      <c r="O27" s="264">
        <f>IFERROR(IF(N27="N/A",M27,(M27/N27)),"")</f>
        <v>0.69230769230769229</v>
      </c>
      <c r="P27" s="271">
        <v>1</v>
      </c>
      <c r="Q27" s="265">
        <f t="shared" si="0"/>
        <v>0.69230769230769229</v>
      </c>
      <c r="R27" s="276" t="s">
        <v>597</v>
      </c>
    </row>
    <row r="28" spans="1:18" s="260" customFormat="1" ht="132" customHeight="1" x14ac:dyDescent="0.2">
      <c r="A28" s="254" t="s">
        <v>602</v>
      </c>
      <c r="B28" s="251">
        <v>7027</v>
      </c>
      <c r="C28" s="252">
        <v>15</v>
      </c>
      <c r="D28" s="253" t="s">
        <v>598</v>
      </c>
      <c r="E28" s="254" t="s">
        <v>599</v>
      </c>
      <c r="F28" s="254" t="s">
        <v>600</v>
      </c>
      <c r="G28" s="253" t="s">
        <v>601</v>
      </c>
      <c r="H28" s="254" t="s">
        <v>602</v>
      </c>
      <c r="I28" s="253" t="s">
        <v>603</v>
      </c>
      <c r="J28" s="253" t="s">
        <v>604</v>
      </c>
      <c r="K28" s="253" t="s">
        <v>605</v>
      </c>
      <c r="L28" s="272" t="s">
        <v>606</v>
      </c>
      <c r="M28" s="256"/>
      <c r="N28" s="256"/>
      <c r="O28" s="256" t="s">
        <v>449</v>
      </c>
      <c r="P28" s="257">
        <v>0</v>
      </c>
      <c r="Q28" s="258" t="str">
        <f t="shared" si="0"/>
        <v/>
      </c>
      <c r="R28" s="280" t="s">
        <v>597</v>
      </c>
    </row>
    <row r="29" spans="1:18" s="260" customFormat="1" ht="124.5" customHeight="1" x14ac:dyDescent="0.2">
      <c r="A29" s="263" t="s">
        <v>609</v>
      </c>
      <c r="B29" s="251">
        <v>7028</v>
      </c>
      <c r="C29" s="261">
        <v>16</v>
      </c>
      <c r="D29" s="262" t="s">
        <v>598</v>
      </c>
      <c r="E29" s="263" t="s">
        <v>599</v>
      </c>
      <c r="F29" s="263" t="s">
        <v>607</v>
      </c>
      <c r="G29" s="262" t="s">
        <v>608</v>
      </c>
      <c r="H29" s="263" t="s">
        <v>609</v>
      </c>
      <c r="I29" s="262" t="s">
        <v>610</v>
      </c>
      <c r="J29" s="262" t="s">
        <v>611</v>
      </c>
      <c r="K29" s="262" t="s">
        <v>612</v>
      </c>
      <c r="L29" s="273" t="s">
        <v>613</v>
      </c>
      <c r="M29" s="263">
        <v>94</v>
      </c>
      <c r="N29" s="263" t="s">
        <v>287</v>
      </c>
      <c r="O29" s="271">
        <f>IFERROR(IF(N29="N/A",(M29/100),(M29/N29)),"")</f>
        <v>0.94</v>
      </c>
      <c r="P29" s="279">
        <v>0.85</v>
      </c>
      <c r="Q29" s="265">
        <f t="shared" si="0"/>
        <v>1.1058823529411765</v>
      </c>
      <c r="R29" s="276" t="s">
        <v>597</v>
      </c>
    </row>
    <row r="30" spans="1:18" s="260" customFormat="1" ht="63.75" x14ac:dyDescent="0.2">
      <c r="A30" s="263" t="s">
        <v>614</v>
      </c>
      <c r="B30" s="251">
        <v>7029</v>
      </c>
      <c r="C30" s="261">
        <v>16</v>
      </c>
      <c r="D30" s="262" t="s">
        <v>598</v>
      </c>
      <c r="E30" s="263" t="s">
        <v>599</v>
      </c>
      <c r="F30" s="263" t="s">
        <v>607</v>
      </c>
      <c r="G30" s="262" t="s">
        <v>608</v>
      </c>
      <c r="H30" s="263" t="s">
        <v>614</v>
      </c>
      <c r="I30" s="262" t="s">
        <v>615</v>
      </c>
      <c r="J30" s="262" t="s">
        <v>611</v>
      </c>
      <c r="K30" s="262" t="s">
        <v>616</v>
      </c>
      <c r="L30" s="273" t="s">
        <v>617</v>
      </c>
      <c r="M30" s="263">
        <v>4</v>
      </c>
      <c r="N30" s="263">
        <v>14</v>
      </c>
      <c r="O30" s="264">
        <f>IFERROR(IF(N30="N/A",M30,(M30/N30)),"")</f>
        <v>0.2857142857142857</v>
      </c>
      <c r="P30" s="271">
        <v>0.55000000000000004</v>
      </c>
      <c r="Q30" s="265">
        <f t="shared" si="0"/>
        <v>0.51948051948051943</v>
      </c>
      <c r="R30" s="266"/>
    </row>
    <row r="31" spans="1:18" s="260" customFormat="1" ht="75.75" customHeight="1" x14ac:dyDescent="0.2">
      <c r="A31" s="263" t="s">
        <v>618</v>
      </c>
      <c r="B31" s="251">
        <v>7030</v>
      </c>
      <c r="C31" s="261">
        <v>16</v>
      </c>
      <c r="D31" s="262" t="s">
        <v>598</v>
      </c>
      <c r="E31" s="263" t="s">
        <v>599</v>
      </c>
      <c r="F31" s="263" t="s">
        <v>607</v>
      </c>
      <c r="G31" s="262" t="s">
        <v>608</v>
      </c>
      <c r="H31" s="263" t="s">
        <v>618</v>
      </c>
      <c r="I31" s="262" t="s">
        <v>619</v>
      </c>
      <c r="J31" s="262" t="s">
        <v>611</v>
      </c>
      <c r="K31" s="262" t="s">
        <v>620</v>
      </c>
      <c r="L31" s="273" t="s">
        <v>621</v>
      </c>
      <c r="M31" s="263">
        <v>265</v>
      </c>
      <c r="N31" s="263">
        <v>678</v>
      </c>
      <c r="O31" s="264">
        <f>IFERROR(IF(N31="N/A",M31,(M31/N31)),"")</f>
        <v>0.39085545722713866</v>
      </c>
      <c r="P31" s="271">
        <v>0.05</v>
      </c>
      <c r="Q31" s="265">
        <f t="shared" si="0"/>
        <v>7.8171091445427727</v>
      </c>
      <c r="R31" s="266"/>
    </row>
    <row r="32" spans="1:18" s="260" customFormat="1" ht="63.75" x14ac:dyDescent="0.2">
      <c r="A32" s="254" t="s">
        <v>625</v>
      </c>
      <c r="B32" s="251">
        <v>7031</v>
      </c>
      <c r="C32" s="252">
        <v>17</v>
      </c>
      <c r="D32" s="253" t="s">
        <v>622</v>
      </c>
      <c r="E32" s="254" t="s">
        <v>452</v>
      </c>
      <c r="F32" s="254" t="s">
        <v>623</v>
      </c>
      <c r="G32" s="253" t="s">
        <v>624</v>
      </c>
      <c r="H32" s="254" t="s">
        <v>625</v>
      </c>
      <c r="I32" s="253" t="s">
        <v>626</v>
      </c>
      <c r="J32" s="253" t="s">
        <v>627</v>
      </c>
      <c r="K32" s="253" t="s">
        <v>628</v>
      </c>
      <c r="L32" s="253" t="s">
        <v>629</v>
      </c>
      <c r="M32" s="254"/>
      <c r="N32" s="254"/>
      <c r="O32" s="256" t="s">
        <v>449</v>
      </c>
      <c r="P32" s="254">
        <v>0</v>
      </c>
      <c r="Q32" s="269" t="str">
        <f t="shared" si="0"/>
        <v/>
      </c>
      <c r="R32" s="259"/>
    </row>
    <row r="33" spans="1:18" s="260" customFormat="1" ht="63.75" x14ac:dyDescent="0.2">
      <c r="A33" s="254" t="s">
        <v>630</v>
      </c>
      <c r="B33" s="251">
        <v>7032</v>
      </c>
      <c r="C33" s="252">
        <v>17</v>
      </c>
      <c r="D33" s="253" t="s">
        <v>622</v>
      </c>
      <c r="E33" s="254" t="s">
        <v>452</v>
      </c>
      <c r="F33" s="254" t="s">
        <v>623</v>
      </c>
      <c r="G33" s="253" t="s">
        <v>624</v>
      </c>
      <c r="H33" s="254" t="s">
        <v>630</v>
      </c>
      <c r="I33" s="253" t="s">
        <v>631</v>
      </c>
      <c r="J33" s="253" t="s">
        <v>627</v>
      </c>
      <c r="K33" s="253" t="s">
        <v>632</v>
      </c>
      <c r="L33" s="253" t="s">
        <v>633</v>
      </c>
      <c r="M33" s="254">
        <v>48</v>
      </c>
      <c r="N33" s="254">
        <v>66</v>
      </c>
      <c r="O33" s="256">
        <f>IFERROR(IF(N33="N/A",M33,(M33/N33)),"")</f>
        <v>0.72727272727272729</v>
      </c>
      <c r="P33" s="258">
        <v>1</v>
      </c>
      <c r="Q33" s="258">
        <f t="shared" si="0"/>
        <v>0.72727272727272729</v>
      </c>
      <c r="R33" s="259"/>
    </row>
    <row r="34" spans="1:18" s="260" customFormat="1" ht="63.75" x14ac:dyDescent="0.2">
      <c r="A34" s="254" t="s">
        <v>634</v>
      </c>
      <c r="B34" s="251">
        <v>7033</v>
      </c>
      <c r="C34" s="252">
        <v>17</v>
      </c>
      <c r="D34" s="253" t="s">
        <v>622</v>
      </c>
      <c r="E34" s="254" t="s">
        <v>452</v>
      </c>
      <c r="F34" s="254" t="s">
        <v>623</v>
      </c>
      <c r="G34" s="253" t="s">
        <v>624</v>
      </c>
      <c r="H34" s="254" t="s">
        <v>634</v>
      </c>
      <c r="I34" s="253" t="s">
        <v>635</v>
      </c>
      <c r="J34" s="253" t="s">
        <v>627</v>
      </c>
      <c r="K34" s="253" t="s">
        <v>636</v>
      </c>
      <c r="L34" s="253" t="s">
        <v>637</v>
      </c>
      <c r="M34" s="254">
        <v>20437</v>
      </c>
      <c r="N34" s="254">
        <v>10796</v>
      </c>
      <c r="O34" s="256">
        <f>IFERROR(IF(N34="N/A",M34,((M34/N34)-1)),"")</f>
        <v>0.89301593182660244</v>
      </c>
      <c r="P34" s="269">
        <v>0.05</v>
      </c>
      <c r="Q34" s="258">
        <f t="shared" si="0"/>
        <v>17.860318636532046</v>
      </c>
      <c r="R34" s="259"/>
    </row>
    <row r="35" spans="1:18" s="260" customFormat="1" ht="86.25" customHeight="1" x14ac:dyDescent="0.2">
      <c r="A35" s="263" t="s">
        <v>642</v>
      </c>
      <c r="B35" s="251">
        <v>7034</v>
      </c>
      <c r="C35" s="261">
        <v>18</v>
      </c>
      <c r="D35" s="262" t="s">
        <v>638</v>
      </c>
      <c r="E35" s="263" t="s">
        <v>639</v>
      </c>
      <c r="F35" s="263" t="s">
        <v>640</v>
      </c>
      <c r="G35" s="262" t="s">
        <v>641</v>
      </c>
      <c r="H35" s="263" t="s">
        <v>642</v>
      </c>
      <c r="I35" s="262" t="s">
        <v>643</v>
      </c>
      <c r="J35" s="262" t="s">
        <v>644</v>
      </c>
      <c r="K35" s="262" t="s">
        <v>645</v>
      </c>
      <c r="L35" s="273" t="s">
        <v>646</v>
      </c>
      <c r="M35" s="263">
        <v>9</v>
      </c>
      <c r="N35" s="263">
        <v>0</v>
      </c>
      <c r="O35" s="271" t="str">
        <f>IFERROR(IF(N35="N/A",M35,(M35/N35)),"")</f>
        <v/>
      </c>
      <c r="P35" s="271">
        <v>1</v>
      </c>
      <c r="Q35" s="265" t="str">
        <f t="shared" si="0"/>
        <v/>
      </c>
      <c r="R35" s="266"/>
    </row>
    <row r="36" spans="1:18" s="260" customFormat="1" ht="119.25" customHeight="1" x14ac:dyDescent="0.2">
      <c r="A36" s="254" t="s">
        <v>650</v>
      </c>
      <c r="B36" s="251">
        <v>7035</v>
      </c>
      <c r="C36" s="252">
        <v>19</v>
      </c>
      <c r="D36" s="253" t="s">
        <v>638</v>
      </c>
      <c r="E36" s="254" t="s">
        <v>647</v>
      </c>
      <c r="F36" s="254" t="s">
        <v>648</v>
      </c>
      <c r="G36" s="253" t="s">
        <v>649</v>
      </c>
      <c r="H36" s="254" t="s">
        <v>650</v>
      </c>
      <c r="I36" s="253" t="s">
        <v>651</v>
      </c>
      <c r="J36" s="253" t="s">
        <v>652</v>
      </c>
      <c r="K36" s="253" t="s">
        <v>653</v>
      </c>
      <c r="L36" s="253" t="s">
        <v>654</v>
      </c>
      <c r="M36" s="254"/>
      <c r="N36" s="254" t="s">
        <v>287</v>
      </c>
      <c r="O36" s="256" t="s">
        <v>449</v>
      </c>
      <c r="P36" s="257">
        <v>0</v>
      </c>
      <c r="Q36" s="258" t="str">
        <f t="shared" si="0"/>
        <v/>
      </c>
      <c r="R36" s="259"/>
    </row>
    <row r="37" spans="1:18" s="260" customFormat="1" ht="76.5" x14ac:dyDescent="0.2">
      <c r="A37" s="254" t="s">
        <v>655</v>
      </c>
      <c r="B37" s="251">
        <v>7036</v>
      </c>
      <c r="C37" s="252">
        <v>19</v>
      </c>
      <c r="D37" s="253" t="s">
        <v>638</v>
      </c>
      <c r="E37" s="254" t="s">
        <v>647</v>
      </c>
      <c r="F37" s="254" t="s">
        <v>648</v>
      </c>
      <c r="G37" s="253" t="s">
        <v>649</v>
      </c>
      <c r="H37" s="254" t="s">
        <v>655</v>
      </c>
      <c r="I37" s="253" t="s">
        <v>656</v>
      </c>
      <c r="J37" s="253" t="s">
        <v>657</v>
      </c>
      <c r="K37" s="253" t="s">
        <v>658</v>
      </c>
      <c r="L37" s="272" t="s">
        <v>659</v>
      </c>
      <c r="M37" s="281" t="s">
        <v>660</v>
      </c>
      <c r="N37" s="281"/>
      <c r="O37" s="269" t="str">
        <f>IFERROR(IF(N37="N/A",M37,(M37-N37)),"")</f>
        <v/>
      </c>
      <c r="P37" s="269">
        <v>0.1</v>
      </c>
      <c r="Q37" s="258" t="str">
        <f t="shared" si="0"/>
        <v/>
      </c>
      <c r="R37" s="259"/>
    </row>
    <row r="38" spans="1:18" x14ac:dyDescent="0.2">
      <c r="A38" s="250" t="s">
        <v>287</v>
      </c>
    </row>
  </sheetData>
  <autoFilter ref="A1:T37" xr:uid="{00000000-0009-0000-0000-000007000000}"/>
  <conditionalFormatting sqref="A2:A37">
    <cfRule type="duplicateValues" dxfId="1" priority="22"/>
  </conditionalFormatting>
  <conditionalFormatting sqref="F2:F37">
    <cfRule type="duplicateValues" dxfId="0" priority="24"/>
  </conditionalFormatting>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B1:H45"/>
  <sheetViews>
    <sheetView workbookViewId="0">
      <selection activeCell="H21" sqref="H21"/>
    </sheetView>
  </sheetViews>
  <sheetFormatPr baseColWidth="10" defaultColWidth="11.42578125" defaultRowHeight="12.75" x14ac:dyDescent="0.2"/>
  <cols>
    <col min="1" max="1" width="2" style="406" customWidth="1"/>
    <col min="2" max="2" width="8.140625" style="406" customWidth="1"/>
    <col min="3" max="3" width="35.28515625" style="406" bestFit="1" customWidth="1"/>
    <col min="4" max="4" width="23" style="406" customWidth="1"/>
    <col min="5" max="5" width="9.85546875" style="406" customWidth="1"/>
    <col min="6" max="6" width="10.85546875" style="406" customWidth="1"/>
    <col min="7" max="7" width="11.140625" style="406" customWidth="1"/>
    <col min="8" max="8" width="17.5703125" style="406" bestFit="1" customWidth="1"/>
    <col min="9" max="16384" width="11.42578125" style="406"/>
  </cols>
  <sheetData>
    <row r="1" spans="2:7" customFormat="1" ht="6" customHeight="1" thickBot="1" x14ac:dyDescent="0.25"/>
    <row r="2" spans="2:7" customFormat="1" x14ac:dyDescent="0.2">
      <c r="B2" s="514" t="s">
        <v>288</v>
      </c>
      <c r="C2" s="515"/>
      <c r="D2" s="515"/>
      <c r="E2" s="515"/>
      <c r="F2" s="515"/>
      <c r="G2" s="516"/>
    </row>
    <row r="3" spans="2:7" customFormat="1" x14ac:dyDescent="0.2">
      <c r="B3" s="517" t="s">
        <v>1219</v>
      </c>
      <c r="C3" s="518"/>
      <c r="D3" s="518"/>
      <c r="E3" s="518"/>
      <c r="F3" s="518"/>
      <c r="G3" s="519"/>
    </row>
    <row r="4" spans="2:7" customFormat="1" ht="13.5" thickBot="1" x14ac:dyDescent="0.25">
      <c r="B4" s="517" t="s">
        <v>1220</v>
      </c>
      <c r="C4" s="518"/>
      <c r="D4" s="518"/>
      <c r="E4" s="518"/>
      <c r="F4" s="518"/>
      <c r="G4" s="519"/>
    </row>
    <row r="5" spans="2:7" customFormat="1" ht="13.5" thickBot="1" x14ac:dyDescent="0.25">
      <c r="B5" s="520"/>
      <c r="C5" s="521"/>
      <c r="D5" s="521"/>
      <c r="E5" s="521"/>
      <c r="F5" s="521"/>
      <c r="G5" s="522"/>
    </row>
    <row r="6" spans="2:7" customFormat="1" ht="12.75" customHeight="1" x14ac:dyDescent="0.2">
      <c r="B6" s="82" t="s">
        <v>53</v>
      </c>
      <c r="C6" s="70"/>
      <c r="D6" s="70"/>
      <c r="E6" s="83" t="s">
        <v>14</v>
      </c>
      <c r="F6" s="80"/>
      <c r="G6" s="81"/>
    </row>
    <row r="7" spans="2:7" customFormat="1" ht="12.75" customHeight="1" x14ac:dyDescent="0.2">
      <c r="B7" s="526">
        <f>+PERSONAL!B7</f>
        <v>0</v>
      </c>
      <c r="C7" s="527"/>
      <c r="D7" s="527"/>
      <c r="E7" s="85" t="s">
        <v>866</v>
      </c>
      <c r="F7" s="235" t="str">
        <f>+PERSONAL!F7</f>
        <v>AÑO:</v>
      </c>
      <c r="G7" s="84"/>
    </row>
    <row r="8" spans="2:7" customFormat="1" ht="25.5" customHeight="1" x14ac:dyDescent="0.2">
      <c r="B8" s="86" t="s">
        <v>427</v>
      </c>
      <c r="C8" s="528" t="str">
        <f>+PERSONAL!C8</f>
        <v xml:space="preserve">PLAN DE MEJORAMIENTO </v>
      </c>
      <c r="D8" s="528"/>
      <c r="E8" s="248"/>
      <c r="F8" s="529"/>
      <c r="G8" s="530"/>
    </row>
    <row r="9" spans="2:7" customFormat="1" ht="7.5" customHeight="1" x14ac:dyDescent="0.2">
      <c r="B9" s="523"/>
      <c r="C9" s="524"/>
      <c r="D9" s="524"/>
      <c r="E9" s="524"/>
      <c r="F9" s="524"/>
      <c r="G9" s="525"/>
    </row>
    <row r="10" spans="2:7" customFormat="1" x14ac:dyDescent="0.2">
      <c r="B10" s="508"/>
      <c r="C10" s="509"/>
      <c r="D10" s="509"/>
      <c r="E10" s="509"/>
      <c r="F10" s="509"/>
      <c r="G10" s="510"/>
    </row>
    <row r="11" spans="2:7" customFormat="1" ht="13.5" thickBot="1" x14ac:dyDescent="0.25"/>
    <row r="12" spans="2:7" customFormat="1" x14ac:dyDescent="0.2">
      <c r="B12" s="511" t="s">
        <v>743</v>
      </c>
      <c r="C12" s="512"/>
      <c r="D12" s="512"/>
      <c r="E12" s="512"/>
      <c r="F12" s="512"/>
      <c r="G12" s="513"/>
    </row>
    <row r="13" spans="2:7" customFormat="1" x14ac:dyDescent="0.2">
      <c r="B13" s="536" t="s">
        <v>871</v>
      </c>
      <c r="C13" s="537"/>
      <c r="D13" s="537"/>
      <c r="E13" s="537"/>
      <c r="F13" s="537"/>
      <c r="G13" s="538"/>
    </row>
    <row r="14" spans="2:7" customFormat="1" x14ac:dyDescent="0.2">
      <c r="B14" s="539"/>
      <c r="C14" s="540"/>
      <c r="D14" s="540"/>
      <c r="E14" s="540"/>
      <c r="F14" s="540"/>
      <c r="G14" s="541"/>
    </row>
    <row r="15" spans="2:7" customFormat="1" x14ac:dyDescent="0.2">
      <c r="B15" s="539"/>
      <c r="C15" s="540"/>
      <c r="D15" s="540"/>
      <c r="E15" s="540"/>
      <c r="F15" s="540"/>
      <c r="G15" s="541"/>
    </row>
    <row r="16" spans="2:7" customFormat="1" x14ac:dyDescent="0.2">
      <c r="B16" s="542"/>
      <c r="C16" s="543"/>
      <c r="D16" s="543"/>
      <c r="E16" s="543"/>
      <c r="F16" s="543"/>
      <c r="G16" s="544"/>
    </row>
    <row r="17" spans="2:8" customFormat="1" ht="13.5" thickBot="1" x14ac:dyDescent="0.25"/>
    <row r="18" spans="2:8" customFormat="1" ht="13.5" thickBot="1" x14ac:dyDescent="0.25">
      <c r="B18" s="511" t="s">
        <v>724</v>
      </c>
      <c r="C18" s="512"/>
      <c r="D18" s="512"/>
      <c r="E18" s="512"/>
      <c r="F18" s="512"/>
      <c r="G18" s="513"/>
    </row>
    <row r="19" spans="2:8" customFormat="1" ht="13.5" thickBot="1" x14ac:dyDescent="0.25">
      <c r="B19" s="511"/>
      <c r="C19" s="512"/>
      <c r="D19" s="512"/>
      <c r="E19" s="512"/>
      <c r="F19" s="512"/>
      <c r="G19" s="513"/>
    </row>
    <row r="20" spans="2:8" customFormat="1" x14ac:dyDescent="0.2">
      <c r="B20" s="48" t="s">
        <v>0</v>
      </c>
      <c r="C20" s="49" t="s">
        <v>744</v>
      </c>
      <c r="D20" s="49" t="s">
        <v>716</v>
      </c>
      <c r="E20" s="49" t="s">
        <v>279</v>
      </c>
      <c r="F20" s="50" t="s">
        <v>5</v>
      </c>
      <c r="G20" s="51" t="s">
        <v>7</v>
      </c>
      <c r="H20" s="389" t="s">
        <v>882</v>
      </c>
    </row>
    <row r="21" spans="2:8" ht="24" x14ac:dyDescent="0.2">
      <c r="B21" s="396">
        <v>1</v>
      </c>
      <c r="C21" s="298" t="s">
        <v>732</v>
      </c>
      <c r="D21" s="393" t="s">
        <v>878</v>
      </c>
      <c r="E21" s="299">
        <v>100</v>
      </c>
      <c r="F21" s="300">
        <v>150000</v>
      </c>
      <c r="G21" s="397">
        <f>(E21*F21)*1.51852</f>
        <v>22777800</v>
      </c>
      <c r="H21" s="398"/>
    </row>
    <row r="22" spans="2:8" x14ac:dyDescent="0.2">
      <c r="B22" s="396">
        <f>+B21+1</f>
        <v>2</v>
      </c>
      <c r="C22" s="298"/>
      <c r="D22" s="295"/>
      <c r="E22" s="299"/>
      <c r="F22" s="300"/>
      <c r="G22" s="397">
        <f t="shared" ref="G22:G44" si="0">(E22*F22)*1.51852</f>
        <v>0</v>
      </c>
      <c r="H22" s="398"/>
    </row>
    <row r="23" spans="2:8" x14ac:dyDescent="0.2">
      <c r="B23" s="396">
        <f>+B22+1</f>
        <v>3</v>
      </c>
      <c r="C23" s="298"/>
      <c r="D23" s="295"/>
      <c r="E23" s="299"/>
      <c r="F23" s="300"/>
      <c r="G23" s="397">
        <f t="shared" si="0"/>
        <v>0</v>
      </c>
      <c r="H23" s="398"/>
    </row>
    <row r="24" spans="2:8" x14ac:dyDescent="0.2">
      <c r="B24" s="396">
        <f t="shared" ref="B24:B44" si="1">+B23+1</f>
        <v>4</v>
      </c>
      <c r="C24" s="298"/>
      <c r="D24" s="295"/>
      <c r="E24" s="299"/>
      <c r="F24" s="300"/>
      <c r="G24" s="397">
        <f t="shared" si="0"/>
        <v>0</v>
      </c>
      <c r="H24" s="398"/>
    </row>
    <row r="25" spans="2:8" x14ac:dyDescent="0.2">
      <c r="B25" s="396">
        <f t="shared" si="1"/>
        <v>5</v>
      </c>
      <c r="C25" s="298"/>
      <c r="D25" s="295"/>
      <c r="E25" s="299"/>
      <c r="F25" s="300"/>
      <c r="G25" s="397">
        <f t="shared" si="0"/>
        <v>0</v>
      </c>
      <c r="H25" s="398"/>
    </row>
    <row r="26" spans="2:8" x14ac:dyDescent="0.2">
      <c r="B26" s="396">
        <f t="shared" si="1"/>
        <v>6</v>
      </c>
      <c r="C26" s="298"/>
      <c r="D26" s="295"/>
      <c r="E26" s="299"/>
      <c r="F26" s="300"/>
      <c r="G26" s="397">
        <f t="shared" si="0"/>
        <v>0</v>
      </c>
      <c r="H26" s="398"/>
    </row>
    <row r="27" spans="2:8" x14ac:dyDescent="0.2">
      <c r="B27" s="396">
        <f t="shared" si="1"/>
        <v>7</v>
      </c>
      <c r="C27" s="298"/>
      <c r="D27" s="295"/>
      <c r="E27" s="299"/>
      <c r="F27" s="300"/>
      <c r="G27" s="397">
        <f t="shared" si="0"/>
        <v>0</v>
      </c>
      <c r="H27" s="398"/>
    </row>
    <row r="28" spans="2:8" x14ac:dyDescent="0.2">
      <c r="B28" s="396">
        <f t="shared" si="1"/>
        <v>8</v>
      </c>
      <c r="C28" s="298"/>
      <c r="D28" s="295"/>
      <c r="E28" s="299"/>
      <c r="F28" s="300"/>
      <c r="G28" s="397">
        <f t="shared" si="0"/>
        <v>0</v>
      </c>
      <c r="H28" s="398"/>
    </row>
    <row r="29" spans="2:8" x14ac:dyDescent="0.2">
      <c r="B29" s="396">
        <f t="shared" si="1"/>
        <v>9</v>
      </c>
      <c r="C29" s="298"/>
      <c r="D29" s="295"/>
      <c r="E29" s="299"/>
      <c r="F29" s="300"/>
      <c r="G29" s="397">
        <f t="shared" si="0"/>
        <v>0</v>
      </c>
      <c r="H29" s="398"/>
    </row>
    <row r="30" spans="2:8" x14ac:dyDescent="0.2">
      <c r="B30" s="396">
        <f t="shared" si="1"/>
        <v>10</v>
      </c>
      <c r="C30" s="298"/>
      <c r="D30" s="295"/>
      <c r="E30" s="299"/>
      <c r="F30" s="300"/>
      <c r="G30" s="397">
        <f t="shared" si="0"/>
        <v>0</v>
      </c>
      <c r="H30" s="398"/>
    </row>
    <row r="31" spans="2:8" x14ac:dyDescent="0.2">
      <c r="B31" s="396">
        <f t="shared" si="1"/>
        <v>11</v>
      </c>
      <c r="C31" s="298"/>
      <c r="D31" s="295"/>
      <c r="E31" s="299"/>
      <c r="F31" s="300"/>
      <c r="G31" s="397">
        <f t="shared" si="0"/>
        <v>0</v>
      </c>
      <c r="H31" s="398"/>
    </row>
    <row r="32" spans="2:8" x14ac:dyDescent="0.2">
      <c r="B32" s="396">
        <f t="shared" si="1"/>
        <v>12</v>
      </c>
      <c r="C32" s="298"/>
      <c r="D32" s="295"/>
      <c r="E32" s="299"/>
      <c r="F32" s="300"/>
      <c r="G32" s="397">
        <f t="shared" si="0"/>
        <v>0</v>
      </c>
      <c r="H32" s="398"/>
    </row>
    <row r="33" spans="2:8" x14ac:dyDescent="0.2">
      <c r="B33" s="396">
        <f t="shared" si="1"/>
        <v>13</v>
      </c>
      <c r="C33" s="298"/>
      <c r="D33" s="295"/>
      <c r="E33" s="299"/>
      <c r="F33" s="300"/>
      <c r="G33" s="397">
        <f t="shared" si="0"/>
        <v>0</v>
      </c>
      <c r="H33" s="398"/>
    </row>
    <row r="34" spans="2:8" x14ac:dyDescent="0.2">
      <c r="B34" s="396">
        <f t="shared" si="1"/>
        <v>14</v>
      </c>
      <c r="C34" s="298"/>
      <c r="D34" s="295"/>
      <c r="E34" s="299"/>
      <c r="F34" s="300"/>
      <c r="G34" s="397">
        <f t="shared" si="0"/>
        <v>0</v>
      </c>
      <c r="H34" s="398"/>
    </row>
    <row r="35" spans="2:8" x14ac:dyDescent="0.2">
      <c r="B35" s="396">
        <f t="shared" si="1"/>
        <v>15</v>
      </c>
      <c r="C35" s="298"/>
      <c r="D35" s="295"/>
      <c r="E35" s="299"/>
      <c r="F35" s="300"/>
      <c r="G35" s="397">
        <f t="shared" si="0"/>
        <v>0</v>
      </c>
      <c r="H35" s="398"/>
    </row>
    <row r="36" spans="2:8" x14ac:dyDescent="0.2">
      <c r="B36" s="396">
        <f t="shared" si="1"/>
        <v>16</v>
      </c>
      <c r="C36" s="298"/>
      <c r="D36" s="295"/>
      <c r="E36" s="299"/>
      <c r="F36" s="300"/>
      <c r="G36" s="397">
        <f t="shared" si="0"/>
        <v>0</v>
      </c>
      <c r="H36" s="398"/>
    </row>
    <row r="37" spans="2:8" x14ac:dyDescent="0.2">
      <c r="B37" s="396">
        <f t="shared" si="1"/>
        <v>17</v>
      </c>
      <c r="C37" s="298"/>
      <c r="D37" s="295"/>
      <c r="E37" s="299"/>
      <c r="F37" s="300"/>
      <c r="G37" s="397">
        <f t="shared" si="0"/>
        <v>0</v>
      </c>
      <c r="H37" s="398"/>
    </row>
    <row r="38" spans="2:8" x14ac:dyDescent="0.2">
      <c r="B38" s="396">
        <f t="shared" si="1"/>
        <v>18</v>
      </c>
      <c r="C38" s="298"/>
      <c r="D38" s="295"/>
      <c r="E38" s="299"/>
      <c r="F38" s="300"/>
      <c r="G38" s="397">
        <f t="shared" si="0"/>
        <v>0</v>
      </c>
      <c r="H38" s="398"/>
    </row>
    <row r="39" spans="2:8" x14ac:dyDescent="0.2">
      <c r="B39" s="396">
        <f t="shared" si="1"/>
        <v>19</v>
      </c>
      <c r="C39" s="298"/>
      <c r="D39" s="295"/>
      <c r="E39" s="299"/>
      <c r="F39" s="300"/>
      <c r="G39" s="397">
        <f t="shared" si="0"/>
        <v>0</v>
      </c>
      <c r="H39" s="398"/>
    </row>
    <row r="40" spans="2:8" x14ac:dyDescent="0.2">
      <c r="B40" s="396">
        <f t="shared" si="1"/>
        <v>20</v>
      </c>
      <c r="C40" s="298"/>
      <c r="D40" s="295"/>
      <c r="E40" s="299"/>
      <c r="F40" s="300"/>
      <c r="G40" s="397">
        <f t="shared" si="0"/>
        <v>0</v>
      </c>
      <c r="H40" s="398"/>
    </row>
    <row r="41" spans="2:8" x14ac:dyDescent="0.2">
      <c r="B41" s="396">
        <f t="shared" si="1"/>
        <v>21</v>
      </c>
      <c r="C41" s="298"/>
      <c r="D41" s="295"/>
      <c r="E41" s="299"/>
      <c r="F41" s="300"/>
      <c r="G41" s="397">
        <f t="shared" si="0"/>
        <v>0</v>
      </c>
      <c r="H41" s="398"/>
    </row>
    <row r="42" spans="2:8" x14ac:dyDescent="0.2">
      <c r="B42" s="396">
        <f t="shared" si="1"/>
        <v>22</v>
      </c>
      <c r="C42" s="298"/>
      <c r="D42" s="295"/>
      <c r="E42" s="299"/>
      <c r="F42" s="300"/>
      <c r="G42" s="397">
        <f t="shared" si="0"/>
        <v>0</v>
      </c>
      <c r="H42" s="398"/>
    </row>
    <row r="43" spans="2:8" x14ac:dyDescent="0.2">
      <c r="B43" s="396">
        <f t="shared" si="1"/>
        <v>23</v>
      </c>
      <c r="C43" s="298"/>
      <c r="D43" s="295"/>
      <c r="E43" s="299"/>
      <c r="F43" s="300"/>
      <c r="G43" s="397">
        <f t="shared" si="0"/>
        <v>0</v>
      </c>
      <c r="H43" s="398"/>
    </row>
    <row r="44" spans="2:8" x14ac:dyDescent="0.2">
      <c r="B44" s="396">
        <f t="shared" si="1"/>
        <v>24</v>
      </c>
      <c r="C44" s="298"/>
      <c r="D44" s="295"/>
      <c r="E44" s="299"/>
      <c r="F44" s="300"/>
      <c r="G44" s="397">
        <f t="shared" si="0"/>
        <v>0</v>
      </c>
      <c r="H44" s="398"/>
    </row>
    <row r="45" spans="2:8" ht="13.5" thickBot="1" x14ac:dyDescent="0.25">
      <c r="B45" s="399"/>
      <c r="C45" s="400" t="s">
        <v>16</v>
      </c>
      <c r="D45" s="401"/>
      <c r="E45" s="401"/>
      <c r="F45" s="402"/>
      <c r="G45" s="403">
        <f>SUM(G21:G44)</f>
        <v>22777800</v>
      </c>
      <c r="H45" s="419"/>
    </row>
  </sheetData>
  <sheetProtection insertColumns="0" insertRows="0"/>
  <mergeCells count="13">
    <mergeCell ref="B18:G18"/>
    <mergeCell ref="B19:G19"/>
    <mergeCell ref="B13:G16"/>
    <mergeCell ref="B9:G9"/>
    <mergeCell ref="B10:G10"/>
    <mergeCell ref="B12:G12"/>
    <mergeCell ref="C8:D8"/>
    <mergeCell ref="F8:G8"/>
    <mergeCell ref="B2:G2"/>
    <mergeCell ref="B3:G3"/>
    <mergeCell ref="B4:G4"/>
    <mergeCell ref="B5:G5"/>
    <mergeCell ref="B7:D7"/>
  </mergeCell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'2025'!$A$213:$A$230</xm:f>
          </x14:formula1>
          <xm:sqref>C21:C44</xm:sqref>
        </x14:dataValidation>
        <x14:dataValidation type="list" allowBlank="1" showInputMessage="1" showErrorMessage="1" xr:uid="{00000000-0002-0000-0800-000001000000}">
          <x14:formula1>
            <xm:f>PM!$B$11:$B$29</xm:f>
          </x14:formula1>
          <xm:sqref>H21:H44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B1:O53"/>
  <sheetViews>
    <sheetView workbookViewId="0">
      <selection activeCell="H17" sqref="H17"/>
    </sheetView>
  </sheetViews>
  <sheetFormatPr baseColWidth="10" defaultColWidth="11.42578125" defaultRowHeight="12.75" x14ac:dyDescent="0.2"/>
  <cols>
    <col min="1" max="1" width="2" style="406" customWidth="1"/>
    <col min="2" max="2" width="8.140625" style="406" customWidth="1"/>
    <col min="3" max="3" width="35.28515625" style="406" bestFit="1" customWidth="1"/>
    <col min="4" max="4" width="23" style="406" customWidth="1"/>
    <col min="5" max="5" width="9.85546875" style="406" customWidth="1"/>
    <col min="6" max="6" width="10.85546875" style="406" customWidth="1"/>
    <col min="7" max="7" width="11.140625" style="406" customWidth="1"/>
    <col min="8" max="8" width="17.5703125" style="406" bestFit="1" customWidth="1"/>
    <col min="9" max="16384" width="11.42578125" style="406"/>
  </cols>
  <sheetData>
    <row r="1" spans="2:8" customFormat="1" ht="6" customHeight="1" thickBot="1" x14ac:dyDescent="0.25"/>
    <row r="2" spans="2:8" customFormat="1" x14ac:dyDescent="0.2">
      <c r="B2" s="514" t="s">
        <v>288</v>
      </c>
      <c r="C2" s="515"/>
      <c r="D2" s="515"/>
      <c r="E2" s="515"/>
      <c r="F2" s="515"/>
      <c r="G2" s="516"/>
    </row>
    <row r="3" spans="2:8" customFormat="1" x14ac:dyDescent="0.2">
      <c r="B3" s="517" t="s">
        <v>1219</v>
      </c>
      <c r="C3" s="518"/>
      <c r="D3" s="518"/>
      <c r="E3" s="518"/>
      <c r="F3" s="518"/>
      <c r="G3" s="519"/>
    </row>
    <row r="4" spans="2:8" customFormat="1" ht="13.5" thickBot="1" x14ac:dyDescent="0.25">
      <c r="B4" s="517" t="s">
        <v>1220</v>
      </c>
      <c r="C4" s="518"/>
      <c r="D4" s="518"/>
      <c r="E4" s="518"/>
      <c r="F4" s="518"/>
      <c r="G4" s="519"/>
    </row>
    <row r="5" spans="2:8" customFormat="1" ht="13.5" thickBot="1" x14ac:dyDescent="0.25">
      <c r="B5" s="520"/>
      <c r="C5" s="521"/>
      <c r="D5" s="521"/>
      <c r="E5" s="521"/>
      <c r="F5" s="521"/>
      <c r="G5" s="522"/>
    </row>
    <row r="6" spans="2:8" customFormat="1" ht="12.75" customHeight="1" x14ac:dyDescent="0.2">
      <c r="B6" s="82" t="s">
        <v>53</v>
      </c>
      <c r="C6" s="70"/>
      <c r="D6" s="70"/>
      <c r="E6" s="83" t="s">
        <v>14</v>
      </c>
      <c r="F6" s="80"/>
      <c r="G6" s="81"/>
    </row>
    <row r="7" spans="2:8" customFormat="1" ht="12.75" customHeight="1" x14ac:dyDescent="0.2">
      <c r="B7" s="526">
        <f>+'ADQUISICIÓN DE ACTIVOS'!B7:D7</f>
        <v>0</v>
      </c>
      <c r="C7" s="527"/>
      <c r="D7" s="527"/>
      <c r="E7" s="85" t="s">
        <v>866</v>
      </c>
      <c r="F7" s="235" t="str">
        <f>+'ADQUISICIÓN DE ACTIVOS'!F7</f>
        <v>AÑO:</v>
      </c>
      <c r="G7" s="84"/>
    </row>
    <row r="8" spans="2:8" customFormat="1" ht="25.5" customHeight="1" x14ac:dyDescent="0.2">
      <c r="B8" s="86" t="s">
        <v>427</v>
      </c>
      <c r="C8" s="528" t="str">
        <f>+'ADQUISICIÓN DE ACTIVOS'!C8:D8</f>
        <v xml:space="preserve">PLAN DE MEJORAMIENTO </v>
      </c>
      <c r="D8" s="528"/>
      <c r="E8" s="248"/>
      <c r="F8" s="529"/>
      <c r="G8" s="530"/>
    </row>
    <row r="9" spans="2:8" customFormat="1" ht="7.5" customHeight="1" x14ac:dyDescent="0.2">
      <c r="B9" s="523"/>
      <c r="C9" s="524"/>
      <c r="D9" s="524"/>
      <c r="E9" s="524"/>
      <c r="F9" s="524"/>
      <c r="G9" s="525"/>
    </row>
    <row r="10" spans="2:8" customFormat="1" ht="13.5" thickBot="1" x14ac:dyDescent="0.25">
      <c r="B10" s="508" t="s">
        <v>857</v>
      </c>
      <c r="C10" s="509"/>
      <c r="D10" s="509"/>
      <c r="E10" s="509"/>
      <c r="F10" s="509"/>
      <c r="G10" s="510"/>
    </row>
    <row r="11" spans="2:8" customFormat="1" x14ac:dyDescent="0.2">
      <c r="B11" s="545" t="s">
        <v>275</v>
      </c>
      <c r="C11" s="546"/>
      <c r="D11" s="546"/>
      <c r="E11" s="546"/>
      <c r="F11" s="546"/>
      <c r="G11" s="547"/>
    </row>
    <row r="12" spans="2:8" customFormat="1" x14ac:dyDescent="0.2">
      <c r="B12" s="548"/>
      <c r="C12" s="549"/>
      <c r="D12" s="549"/>
      <c r="E12" s="549"/>
      <c r="F12" s="549"/>
      <c r="G12" s="550"/>
    </row>
    <row r="13" spans="2:8" customFormat="1" x14ac:dyDescent="0.2">
      <c r="B13" s="548"/>
      <c r="C13" s="549"/>
      <c r="D13" s="549"/>
      <c r="E13" s="549"/>
      <c r="F13" s="549"/>
      <c r="G13" s="550"/>
    </row>
    <row r="14" spans="2:8" customFormat="1" ht="13.5" thickBot="1" x14ac:dyDescent="0.25">
      <c r="B14" s="551"/>
      <c r="C14" s="552"/>
      <c r="D14" s="552"/>
      <c r="E14" s="552"/>
      <c r="F14" s="552"/>
      <c r="G14" s="553"/>
    </row>
    <row r="15" spans="2:8" customFormat="1" ht="16.5" thickBot="1" x14ac:dyDescent="0.3">
      <c r="B15" s="554" t="s">
        <v>259</v>
      </c>
      <c r="C15" s="555"/>
      <c r="D15" s="555"/>
      <c r="E15" s="555"/>
      <c r="F15" s="555"/>
      <c r="G15" s="556"/>
    </row>
    <row r="16" spans="2:8" customFormat="1" x14ac:dyDescent="0.2">
      <c r="B16" s="48" t="s">
        <v>0</v>
      </c>
      <c r="C16" s="49" t="s">
        <v>1</v>
      </c>
      <c r="D16" s="49" t="s">
        <v>716</v>
      </c>
      <c r="E16" s="49" t="s">
        <v>279</v>
      </c>
      <c r="F16" s="50" t="s">
        <v>5</v>
      </c>
      <c r="G16" s="51" t="s">
        <v>7</v>
      </c>
      <c r="H16" s="389" t="s">
        <v>882</v>
      </c>
    </row>
    <row r="17" spans="2:15" x14ac:dyDescent="0.2">
      <c r="B17" s="396">
        <v>1</v>
      </c>
      <c r="C17" s="295"/>
      <c r="D17" s="295"/>
      <c r="E17" s="299"/>
      <c r="F17" s="300">
        <f>IFERROR(VLOOKUP(C17,'2025'!$A$233:$B$235,2,0),0)</f>
        <v>0</v>
      </c>
      <c r="G17" s="397">
        <f>(E17*F17)</f>
        <v>0</v>
      </c>
      <c r="H17" s="398"/>
    </row>
    <row r="18" spans="2:15" x14ac:dyDescent="0.2">
      <c r="B18" s="396">
        <f>+B17+1</f>
        <v>2</v>
      </c>
      <c r="C18" s="295"/>
      <c r="D18" s="295"/>
      <c r="E18" s="299"/>
      <c r="F18" s="300">
        <f>IFERROR(VLOOKUP(C18,'2025'!$A$233:$B$235,2,0),0)</f>
        <v>0</v>
      </c>
      <c r="G18" s="397">
        <f t="shared" ref="G18:G52" si="0">(E18*F18)</f>
        <v>0</v>
      </c>
      <c r="H18" s="398"/>
    </row>
    <row r="19" spans="2:15" x14ac:dyDescent="0.2">
      <c r="B19" s="396">
        <f t="shared" ref="B19:B52" si="1">+B18+1</f>
        <v>3</v>
      </c>
      <c r="C19" s="295"/>
      <c r="D19" s="295"/>
      <c r="E19" s="299"/>
      <c r="F19" s="300">
        <f>IFERROR(VLOOKUP(C19,'2025'!$A$233:$B$235,2,0),0)</f>
        <v>0</v>
      </c>
      <c r="G19" s="397">
        <f t="shared" si="0"/>
        <v>0</v>
      </c>
      <c r="H19" s="398"/>
    </row>
    <row r="20" spans="2:15" x14ac:dyDescent="0.2">
      <c r="B20" s="396">
        <f>+B19+1</f>
        <v>4</v>
      </c>
      <c r="C20" s="295"/>
      <c r="D20" s="295"/>
      <c r="E20" s="299"/>
      <c r="F20" s="300">
        <f>IFERROR(VLOOKUP(C20,'2025'!$A$233:$B$235,2,0),0)</f>
        <v>0</v>
      </c>
      <c r="G20" s="397">
        <f t="shared" si="0"/>
        <v>0</v>
      </c>
      <c r="H20" s="398"/>
      <c r="I20" s="414"/>
      <c r="J20" s="414"/>
      <c r="K20" s="414"/>
      <c r="L20" s="414"/>
      <c r="M20" s="414"/>
      <c r="N20" s="414"/>
      <c r="O20" s="414"/>
    </row>
    <row r="21" spans="2:15" x14ac:dyDescent="0.2">
      <c r="B21" s="396">
        <f t="shared" si="1"/>
        <v>5</v>
      </c>
      <c r="C21" s="295"/>
      <c r="D21" s="295"/>
      <c r="E21" s="299"/>
      <c r="F21" s="300">
        <f>IFERROR(VLOOKUP(C21,'2025'!$A$233:$B$235,2,0),0)</f>
        <v>0</v>
      </c>
      <c r="G21" s="397">
        <f t="shared" si="0"/>
        <v>0</v>
      </c>
      <c r="H21" s="398"/>
      <c r="I21" s="414"/>
      <c r="J21" s="414"/>
      <c r="K21" s="414"/>
      <c r="L21" s="414"/>
      <c r="M21" s="414"/>
      <c r="N21" s="414"/>
      <c r="O21" s="414"/>
    </row>
    <row r="22" spans="2:15" x14ac:dyDescent="0.2">
      <c r="B22" s="396">
        <f t="shared" si="1"/>
        <v>6</v>
      </c>
      <c r="C22" s="295"/>
      <c r="D22" s="295"/>
      <c r="E22" s="299"/>
      <c r="F22" s="300">
        <f>IFERROR(VLOOKUP(C22,'2025'!$A$233:$B$235,2,0),0)</f>
        <v>0</v>
      </c>
      <c r="G22" s="397">
        <f t="shared" si="0"/>
        <v>0</v>
      </c>
      <c r="H22" s="398"/>
      <c r="I22" s="414"/>
      <c r="J22" s="414"/>
      <c r="K22" s="414"/>
      <c r="L22" s="414"/>
      <c r="M22" s="414"/>
      <c r="N22" s="414"/>
      <c r="O22" s="414"/>
    </row>
    <row r="23" spans="2:15" x14ac:dyDescent="0.2">
      <c r="B23" s="396">
        <f t="shared" si="1"/>
        <v>7</v>
      </c>
      <c r="C23" s="295"/>
      <c r="D23" s="295"/>
      <c r="E23" s="299"/>
      <c r="F23" s="300">
        <f>IFERROR(VLOOKUP(C23,'2025'!$A$233:$B$235,2,0),0)</f>
        <v>0</v>
      </c>
      <c r="G23" s="397">
        <f t="shared" si="0"/>
        <v>0</v>
      </c>
      <c r="H23" s="398"/>
      <c r="I23" s="414"/>
      <c r="J23" s="414"/>
      <c r="K23" s="414"/>
      <c r="L23" s="414"/>
      <c r="M23" s="414"/>
      <c r="N23" s="414"/>
      <c r="O23" s="414"/>
    </row>
    <row r="24" spans="2:15" x14ac:dyDescent="0.2">
      <c r="B24" s="396">
        <f t="shared" si="1"/>
        <v>8</v>
      </c>
      <c r="C24" s="295"/>
      <c r="D24" s="295"/>
      <c r="E24" s="299"/>
      <c r="F24" s="300">
        <f>IFERROR(VLOOKUP(C24,'2025'!$A$233:$B$235,2,0),0)</f>
        <v>0</v>
      </c>
      <c r="G24" s="397">
        <f t="shared" si="0"/>
        <v>0</v>
      </c>
      <c r="H24" s="398"/>
      <c r="I24" s="414"/>
      <c r="J24" s="414"/>
      <c r="K24" s="414"/>
      <c r="L24" s="414"/>
      <c r="M24" s="414"/>
      <c r="N24" s="414"/>
      <c r="O24" s="414"/>
    </row>
    <row r="25" spans="2:15" x14ac:dyDescent="0.2">
      <c r="B25" s="396">
        <f t="shared" si="1"/>
        <v>9</v>
      </c>
      <c r="C25" s="295"/>
      <c r="D25" s="295"/>
      <c r="E25" s="299"/>
      <c r="F25" s="300">
        <f>IFERROR(VLOOKUP(C25,'2025'!$A$233:$B$235,2,0),0)</f>
        <v>0</v>
      </c>
      <c r="G25" s="397">
        <f t="shared" si="0"/>
        <v>0</v>
      </c>
      <c r="H25" s="398"/>
      <c r="I25" s="414"/>
      <c r="J25" s="414"/>
      <c r="K25" s="414"/>
      <c r="L25" s="414"/>
      <c r="M25" s="414"/>
      <c r="N25" s="414"/>
      <c r="O25" s="414"/>
    </row>
    <row r="26" spans="2:15" x14ac:dyDescent="0.2">
      <c r="B26" s="396">
        <f t="shared" si="1"/>
        <v>10</v>
      </c>
      <c r="C26" s="295"/>
      <c r="D26" s="295"/>
      <c r="E26" s="299"/>
      <c r="F26" s="300">
        <f>IFERROR(VLOOKUP(C26,'2025'!$A$233:$B$235,2,0),0)</f>
        <v>0</v>
      </c>
      <c r="G26" s="397">
        <f t="shared" si="0"/>
        <v>0</v>
      </c>
      <c r="H26" s="398"/>
      <c r="I26" s="414"/>
      <c r="J26" s="414"/>
      <c r="K26" s="414"/>
      <c r="L26" s="414"/>
      <c r="M26" s="414"/>
      <c r="N26" s="414"/>
      <c r="O26" s="414"/>
    </row>
    <row r="27" spans="2:15" x14ac:dyDescent="0.2">
      <c r="B27" s="396">
        <f t="shared" si="1"/>
        <v>11</v>
      </c>
      <c r="C27" s="295"/>
      <c r="D27" s="295"/>
      <c r="E27" s="299"/>
      <c r="F27" s="300">
        <f>IFERROR(VLOOKUP(C27,'2025'!$A$233:$B$235,2,0),0)</f>
        <v>0</v>
      </c>
      <c r="G27" s="397">
        <f t="shared" si="0"/>
        <v>0</v>
      </c>
      <c r="H27" s="398"/>
      <c r="I27" s="414"/>
      <c r="J27" s="414"/>
      <c r="K27" s="414"/>
      <c r="L27" s="414"/>
      <c r="M27" s="414"/>
      <c r="N27" s="414"/>
      <c r="O27" s="414"/>
    </row>
    <row r="28" spans="2:15" x14ac:dyDescent="0.2">
      <c r="B28" s="396">
        <f t="shared" si="1"/>
        <v>12</v>
      </c>
      <c r="C28" s="295"/>
      <c r="D28" s="295"/>
      <c r="E28" s="299"/>
      <c r="F28" s="300">
        <f>IFERROR(VLOOKUP(C28,'2025'!$A$233:$B$235,2,0),0)</f>
        <v>0</v>
      </c>
      <c r="G28" s="397">
        <f t="shared" si="0"/>
        <v>0</v>
      </c>
      <c r="H28" s="398"/>
      <c r="I28" s="414"/>
      <c r="J28" s="414"/>
      <c r="K28" s="414"/>
      <c r="L28" s="414"/>
      <c r="M28" s="414"/>
      <c r="N28" s="414"/>
      <c r="O28" s="414"/>
    </row>
    <row r="29" spans="2:15" x14ac:dyDescent="0.2">
      <c r="B29" s="396">
        <f t="shared" si="1"/>
        <v>13</v>
      </c>
      <c r="C29" s="295"/>
      <c r="D29" s="295"/>
      <c r="E29" s="299"/>
      <c r="F29" s="300">
        <f>IFERROR(VLOOKUP(C29,'2025'!$A$233:$B$235,2,0),0)</f>
        <v>0</v>
      </c>
      <c r="G29" s="397">
        <f t="shared" si="0"/>
        <v>0</v>
      </c>
      <c r="H29" s="398"/>
      <c r="I29" s="414"/>
      <c r="J29" s="414"/>
      <c r="K29" s="414"/>
      <c r="L29" s="414"/>
      <c r="M29" s="414"/>
      <c r="N29" s="414"/>
      <c r="O29" s="414"/>
    </row>
    <row r="30" spans="2:15" x14ac:dyDescent="0.2">
      <c r="B30" s="396">
        <f t="shared" si="1"/>
        <v>14</v>
      </c>
      <c r="C30" s="295"/>
      <c r="D30" s="295"/>
      <c r="E30" s="299"/>
      <c r="F30" s="300">
        <f>IFERROR(VLOOKUP(C30,'2025'!$A$233:$B$235,2,0),0)</f>
        <v>0</v>
      </c>
      <c r="G30" s="397">
        <f t="shared" si="0"/>
        <v>0</v>
      </c>
      <c r="H30" s="398"/>
      <c r="I30" s="414"/>
      <c r="J30" s="414"/>
      <c r="K30" s="414"/>
      <c r="L30" s="414"/>
      <c r="M30" s="414"/>
      <c r="N30" s="414"/>
      <c r="O30" s="414"/>
    </row>
    <row r="31" spans="2:15" x14ac:dyDescent="0.2">
      <c r="B31" s="396">
        <f t="shared" si="1"/>
        <v>15</v>
      </c>
      <c r="C31" s="295"/>
      <c r="D31" s="295"/>
      <c r="E31" s="299"/>
      <c r="F31" s="300">
        <f>IFERROR(VLOOKUP(C31,'2025'!$A$233:$B$235,2,0),0)</f>
        <v>0</v>
      </c>
      <c r="G31" s="397">
        <f t="shared" si="0"/>
        <v>0</v>
      </c>
      <c r="H31" s="398"/>
      <c r="I31" s="414"/>
      <c r="J31" s="414"/>
      <c r="K31" s="414"/>
      <c r="L31" s="414"/>
      <c r="M31" s="414"/>
      <c r="N31" s="414"/>
      <c r="O31" s="414"/>
    </row>
    <row r="32" spans="2:15" x14ac:dyDescent="0.2">
      <c r="B32" s="396">
        <f t="shared" si="1"/>
        <v>16</v>
      </c>
      <c r="C32" s="295"/>
      <c r="D32" s="295"/>
      <c r="E32" s="299"/>
      <c r="F32" s="300">
        <f>IFERROR(VLOOKUP(C32,'2025'!$A$233:$B$235,2,0),0)</f>
        <v>0</v>
      </c>
      <c r="G32" s="397">
        <f t="shared" si="0"/>
        <v>0</v>
      </c>
      <c r="H32" s="398"/>
      <c r="I32" s="414"/>
      <c r="J32" s="414"/>
      <c r="K32" s="414"/>
      <c r="L32" s="414"/>
      <c r="M32" s="414"/>
      <c r="N32" s="414"/>
      <c r="O32" s="414"/>
    </row>
    <row r="33" spans="2:15" x14ac:dyDescent="0.2">
      <c r="B33" s="396">
        <f t="shared" si="1"/>
        <v>17</v>
      </c>
      <c r="C33" s="295"/>
      <c r="D33" s="295"/>
      <c r="E33" s="299"/>
      <c r="F33" s="300">
        <f>IFERROR(VLOOKUP(C33,'2025'!$A$233:$B$235,2,0),0)</f>
        <v>0</v>
      </c>
      <c r="G33" s="397">
        <f t="shared" si="0"/>
        <v>0</v>
      </c>
      <c r="H33" s="398"/>
      <c r="I33" s="414"/>
      <c r="J33" s="414"/>
      <c r="K33" s="414"/>
      <c r="L33" s="414"/>
      <c r="M33" s="414"/>
      <c r="N33" s="414"/>
      <c r="O33" s="414"/>
    </row>
    <row r="34" spans="2:15" x14ac:dyDescent="0.2">
      <c r="B34" s="396">
        <f t="shared" si="1"/>
        <v>18</v>
      </c>
      <c r="C34" s="295"/>
      <c r="D34" s="295"/>
      <c r="E34" s="299"/>
      <c r="F34" s="300">
        <f>IFERROR(VLOOKUP(C34,'2025'!$A$233:$B$235,2,0),0)</f>
        <v>0</v>
      </c>
      <c r="G34" s="397">
        <f t="shared" si="0"/>
        <v>0</v>
      </c>
      <c r="H34" s="398"/>
      <c r="I34" s="414"/>
      <c r="J34" s="414"/>
      <c r="K34" s="414"/>
      <c r="L34" s="414"/>
      <c r="M34" s="414"/>
      <c r="N34" s="414"/>
      <c r="O34" s="414"/>
    </row>
    <row r="35" spans="2:15" x14ac:dyDescent="0.2">
      <c r="B35" s="396">
        <f t="shared" si="1"/>
        <v>19</v>
      </c>
      <c r="C35" s="295"/>
      <c r="D35" s="295"/>
      <c r="E35" s="299"/>
      <c r="F35" s="300">
        <f>IFERROR(VLOOKUP(C35,'2025'!$A$233:$B$235,2,0),0)</f>
        <v>0</v>
      </c>
      <c r="G35" s="397">
        <f t="shared" si="0"/>
        <v>0</v>
      </c>
      <c r="H35" s="398"/>
      <c r="I35" s="414"/>
      <c r="J35" s="414"/>
      <c r="K35" s="414"/>
      <c r="L35" s="414"/>
      <c r="M35" s="414"/>
      <c r="N35" s="414"/>
      <c r="O35" s="414"/>
    </row>
    <row r="36" spans="2:15" x14ac:dyDescent="0.2">
      <c r="B36" s="396">
        <f t="shared" si="1"/>
        <v>20</v>
      </c>
      <c r="C36" s="295"/>
      <c r="D36" s="295"/>
      <c r="E36" s="299"/>
      <c r="F36" s="300">
        <f>IFERROR(VLOOKUP(C36,'2025'!$A$233:$B$235,2,0),0)</f>
        <v>0</v>
      </c>
      <c r="G36" s="397">
        <f t="shared" si="0"/>
        <v>0</v>
      </c>
      <c r="H36" s="398"/>
      <c r="I36" s="414"/>
      <c r="J36" s="414"/>
      <c r="K36" s="414"/>
      <c r="L36" s="414"/>
      <c r="M36" s="414"/>
      <c r="N36" s="414"/>
      <c r="O36" s="414"/>
    </row>
    <row r="37" spans="2:15" x14ac:dyDescent="0.2">
      <c r="B37" s="396">
        <f t="shared" si="1"/>
        <v>21</v>
      </c>
      <c r="C37" s="295"/>
      <c r="D37" s="295"/>
      <c r="E37" s="299"/>
      <c r="F37" s="300">
        <f>IFERROR(VLOOKUP(C37,'2025'!$A$233:$B$235,2,0),0)</f>
        <v>0</v>
      </c>
      <c r="G37" s="397">
        <f t="shared" si="0"/>
        <v>0</v>
      </c>
      <c r="H37" s="398"/>
      <c r="I37" s="414"/>
      <c r="J37" s="414"/>
      <c r="K37" s="414"/>
      <c r="L37" s="414"/>
      <c r="M37" s="414"/>
      <c r="N37" s="414"/>
      <c r="O37" s="414"/>
    </row>
    <row r="38" spans="2:15" x14ac:dyDescent="0.2">
      <c r="B38" s="396">
        <f t="shared" si="1"/>
        <v>22</v>
      </c>
      <c r="C38" s="295"/>
      <c r="D38" s="295"/>
      <c r="E38" s="299"/>
      <c r="F38" s="300">
        <f>IFERROR(VLOOKUP(C38,'2025'!$A$233:$B$235,2,0),0)</f>
        <v>0</v>
      </c>
      <c r="G38" s="397">
        <f t="shared" si="0"/>
        <v>0</v>
      </c>
      <c r="H38" s="398"/>
      <c r="I38" s="414"/>
      <c r="J38" s="414"/>
      <c r="K38" s="414"/>
      <c r="L38" s="414"/>
      <c r="M38" s="414"/>
      <c r="N38" s="414"/>
      <c r="O38" s="414"/>
    </row>
    <row r="39" spans="2:15" x14ac:dyDescent="0.2">
      <c r="B39" s="396">
        <f t="shared" si="1"/>
        <v>23</v>
      </c>
      <c r="C39" s="295"/>
      <c r="D39" s="295"/>
      <c r="E39" s="299"/>
      <c r="F39" s="300">
        <f>IFERROR(VLOOKUP(C39,'2025'!$A$233:$B$235,2,0),0)</f>
        <v>0</v>
      </c>
      <c r="G39" s="397">
        <f t="shared" si="0"/>
        <v>0</v>
      </c>
      <c r="H39" s="398"/>
      <c r="I39" s="414"/>
      <c r="J39" s="414"/>
      <c r="K39" s="414"/>
      <c r="L39" s="414"/>
      <c r="M39" s="414"/>
      <c r="N39" s="414"/>
      <c r="O39" s="414"/>
    </row>
    <row r="40" spans="2:15" x14ac:dyDescent="0.2">
      <c r="B40" s="396">
        <f t="shared" si="1"/>
        <v>24</v>
      </c>
      <c r="C40" s="295"/>
      <c r="D40" s="295"/>
      <c r="E40" s="299"/>
      <c r="F40" s="300">
        <f>IFERROR(VLOOKUP(C40,'2025'!$A$233:$B$235,2,0),0)</f>
        <v>0</v>
      </c>
      <c r="G40" s="397">
        <f t="shared" si="0"/>
        <v>0</v>
      </c>
      <c r="H40" s="398"/>
      <c r="I40" s="414"/>
      <c r="J40" s="414"/>
      <c r="K40" s="414"/>
      <c r="L40" s="414"/>
      <c r="M40" s="414"/>
      <c r="N40" s="414"/>
      <c r="O40" s="414"/>
    </row>
    <row r="41" spans="2:15" x14ac:dyDescent="0.2">
      <c r="B41" s="396">
        <f t="shared" si="1"/>
        <v>25</v>
      </c>
      <c r="C41" s="295"/>
      <c r="D41" s="295"/>
      <c r="E41" s="299"/>
      <c r="F41" s="300">
        <f>IFERROR(VLOOKUP(C41,'2025'!$A$233:$B$235,2,0),0)</f>
        <v>0</v>
      </c>
      <c r="G41" s="397">
        <f t="shared" si="0"/>
        <v>0</v>
      </c>
      <c r="H41" s="398"/>
      <c r="I41" s="414"/>
      <c r="J41" s="414"/>
      <c r="K41" s="414"/>
      <c r="L41" s="414"/>
      <c r="M41" s="414"/>
      <c r="N41" s="414"/>
      <c r="O41" s="414"/>
    </row>
    <row r="42" spans="2:15" x14ac:dyDescent="0.2">
      <c r="B42" s="396">
        <f t="shared" si="1"/>
        <v>26</v>
      </c>
      <c r="C42" s="295"/>
      <c r="D42" s="295"/>
      <c r="E42" s="299"/>
      <c r="F42" s="300">
        <f>IFERROR(VLOOKUP(C42,'2025'!$A$233:$B$235,2,0),0)</f>
        <v>0</v>
      </c>
      <c r="G42" s="397">
        <f t="shared" si="0"/>
        <v>0</v>
      </c>
      <c r="H42" s="398"/>
      <c r="I42" s="414"/>
      <c r="J42" s="414"/>
      <c r="K42" s="414"/>
      <c r="L42" s="414"/>
      <c r="M42" s="414"/>
      <c r="N42" s="414"/>
      <c r="O42" s="414"/>
    </row>
    <row r="43" spans="2:15" x14ac:dyDescent="0.2">
      <c r="B43" s="396">
        <f t="shared" si="1"/>
        <v>27</v>
      </c>
      <c r="C43" s="295"/>
      <c r="D43" s="295"/>
      <c r="E43" s="299"/>
      <c r="F43" s="300">
        <f>IFERROR(VLOOKUP(C43,'2025'!$A$233:$B$235,2,0),0)</f>
        <v>0</v>
      </c>
      <c r="G43" s="397">
        <f t="shared" si="0"/>
        <v>0</v>
      </c>
      <c r="H43" s="398"/>
      <c r="I43" s="414"/>
      <c r="J43" s="414"/>
      <c r="K43" s="414"/>
      <c r="L43" s="414"/>
      <c r="M43" s="414"/>
      <c r="N43" s="414"/>
      <c r="O43" s="414"/>
    </row>
    <row r="44" spans="2:15" x14ac:dyDescent="0.2">
      <c r="B44" s="396">
        <f t="shared" si="1"/>
        <v>28</v>
      </c>
      <c r="C44" s="295"/>
      <c r="D44" s="295"/>
      <c r="E44" s="299"/>
      <c r="F44" s="300">
        <f>IFERROR(VLOOKUP(C44,'2025'!$A$233:$B$235,2,0),0)</f>
        <v>0</v>
      </c>
      <c r="G44" s="397">
        <f t="shared" si="0"/>
        <v>0</v>
      </c>
      <c r="H44" s="398"/>
      <c r="I44" s="414"/>
      <c r="J44" s="414"/>
      <c r="K44" s="414"/>
      <c r="L44" s="414"/>
      <c r="M44" s="414"/>
      <c r="N44" s="414"/>
      <c r="O44" s="414"/>
    </row>
    <row r="45" spans="2:15" x14ac:dyDescent="0.2">
      <c r="B45" s="396">
        <f t="shared" si="1"/>
        <v>29</v>
      </c>
      <c r="C45" s="295"/>
      <c r="D45" s="295"/>
      <c r="E45" s="299"/>
      <c r="F45" s="300">
        <f>IFERROR(VLOOKUP(C45,'2025'!$A$233:$B$235,2,0),0)</f>
        <v>0</v>
      </c>
      <c r="G45" s="397">
        <f t="shared" si="0"/>
        <v>0</v>
      </c>
      <c r="H45" s="398"/>
      <c r="I45" s="414"/>
      <c r="J45" s="414"/>
      <c r="K45" s="414"/>
      <c r="L45" s="414"/>
      <c r="M45" s="414"/>
      <c r="N45" s="414"/>
      <c r="O45" s="414"/>
    </row>
    <row r="46" spans="2:15" x14ac:dyDescent="0.2">
      <c r="B46" s="396">
        <f t="shared" si="1"/>
        <v>30</v>
      </c>
      <c r="C46" s="295"/>
      <c r="D46" s="295"/>
      <c r="E46" s="299"/>
      <c r="F46" s="300">
        <f>IFERROR(VLOOKUP(C46,'2025'!$A$233:$B$235,2,0),0)</f>
        <v>0</v>
      </c>
      <c r="G46" s="397">
        <f t="shared" si="0"/>
        <v>0</v>
      </c>
      <c r="H46" s="398"/>
      <c r="I46" s="414"/>
      <c r="J46" s="414"/>
      <c r="K46" s="414"/>
      <c r="L46" s="414"/>
      <c r="M46" s="414"/>
      <c r="N46" s="414"/>
      <c r="O46" s="414"/>
    </row>
    <row r="47" spans="2:15" x14ac:dyDescent="0.2">
      <c r="B47" s="396">
        <f t="shared" si="1"/>
        <v>31</v>
      </c>
      <c r="C47" s="295"/>
      <c r="D47" s="295"/>
      <c r="E47" s="299"/>
      <c r="F47" s="300">
        <f>IFERROR(VLOOKUP(C47,'2025'!$A$233:$B$235,2,0),0)</f>
        <v>0</v>
      </c>
      <c r="G47" s="397">
        <f t="shared" si="0"/>
        <v>0</v>
      </c>
      <c r="H47" s="398"/>
      <c r="I47" s="414"/>
      <c r="J47" s="414"/>
      <c r="K47" s="414"/>
      <c r="L47" s="414"/>
      <c r="M47" s="414"/>
      <c r="N47" s="414"/>
      <c r="O47" s="414"/>
    </row>
    <row r="48" spans="2:15" x14ac:dyDescent="0.2">
      <c r="B48" s="396">
        <f t="shared" si="1"/>
        <v>32</v>
      </c>
      <c r="C48" s="295"/>
      <c r="D48" s="295"/>
      <c r="E48" s="299"/>
      <c r="F48" s="300">
        <f>IFERROR(VLOOKUP(C48,'2025'!$A$233:$B$235,2,0),0)</f>
        <v>0</v>
      </c>
      <c r="G48" s="397">
        <f t="shared" si="0"/>
        <v>0</v>
      </c>
      <c r="H48" s="398"/>
      <c r="I48" s="414"/>
      <c r="J48" s="414"/>
      <c r="K48" s="414"/>
      <c r="L48" s="414"/>
      <c r="M48" s="414"/>
      <c r="N48" s="414"/>
      <c r="O48" s="414"/>
    </row>
    <row r="49" spans="2:15" x14ac:dyDescent="0.2">
      <c r="B49" s="396">
        <f t="shared" si="1"/>
        <v>33</v>
      </c>
      <c r="C49" s="295"/>
      <c r="D49" s="295"/>
      <c r="E49" s="299"/>
      <c r="F49" s="300">
        <f>IFERROR(VLOOKUP(C49,'2025'!$A$233:$B$235,2,0),0)</f>
        <v>0</v>
      </c>
      <c r="G49" s="397">
        <f t="shared" si="0"/>
        <v>0</v>
      </c>
      <c r="H49" s="398"/>
      <c r="I49" s="414"/>
      <c r="J49" s="414"/>
      <c r="K49" s="414"/>
      <c r="L49" s="414"/>
      <c r="M49" s="414"/>
      <c r="N49" s="414"/>
      <c r="O49" s="414"/>
    </row>
    <row r="50" spans="2:15" x14ac:dyDescent="0.2">
      <c r="B50" s="396">
        <f t="shared" si="1"/>
        <v>34</v>
      </c>
      <c r="C50" s="295"/>
      <c r="D50" s="295"/>
      <c r="E50" s="299"/>
      <c r="F50" s="300">
        <f>IFERROR(VLOOKUP(C50,'2025'!$A$233:$B$235,2,0),0)</f>
        <v>0</v>
      </c>
      <c r="G50" s="397">
        <f t="shared" si="0"/>
        <v>0</v>
      </c>
      <c r="H50" s="398"/>
      <c r="I50" s="414"/>
      <c r="J50" s="414"/>
      <c r="K50" s="414"/>
      <c r="L50" s="414"/>
      <c r="M50" s="414"/>
      <c r="N50" s="414"/>
      <c r="O50" s="414"/>
    </row>
    <row r="51" spans="2:15" x14ac:dyDescent="0.2">
      <c r="B51" s="396">
        <f t="shared" si="1"/>
        <v>35</v>
      </c>
      <c r="C51" s="295"/>
      <c r="D51" s="295"/>
      <c r="E51" s="299"/>
      <c r="F51" s="300">
        <f>IFERROR(VLOOKUP(C51,'2025'!$A$233:$B$235,2,0),0)</f>
        <v>0</v>
      </c>
      <c r="G51" s="397">
        <f t="shared" si="0"/>
        <v>0</v>
      </c>
      <c r="H51" s="398"/>
      <c r="I51" s="414"/>
      <c r="J51" s="414"/>
      <c r="K51" s="414"/>
      <c r="L51" s="414"/>
      <c r="M51" s="414"/>
      <c r="N51" s="414"/>
      <c r="O51" s="414"/>
    </row>
    <row r="52" spans="2:15" x14ac:dyDescent="0.2">
      <c r="B52" s="396">
        <f t="shared" si="1"/>
        <v>36</v>
      </c>
      <c r="C52" s="295"/>
      <c r="D52" s="295"/>
      <c r="E52" s="299"/>
      <c r="F52" s="300">
        <f>IFERROR(VLOOKUP(C52,'2025'!$A$233:$B$235,2,0),0)</f>
        <v>0</v>
      </c>
      <c r="G52" s="397">
        <f t="shared" si="0"/>
        <v>0</v>
      </c>
      <c r="H52" s="398"/>
      <c r="I52" s="414"/>
      <c r="J52" s="414"/>
      <c r="K52" s="414"/>
      <c r="L52" s="414"/>
      <c r="M52" s="414"/>
      <c r="N52" s="414"/>
      <c r="O52" s="414"/>
    </row>
    <row r="53" spans="2:15" ht="13.5" thickBot="1" x14ac:dyDescent="0.25">
      <c r="B53" s="399"/>
      <c r="C53" s="400" t="s">
        <v>16</v>
      </c>
      <c r="D53" s="401"/>
      <c r="E53" s="401"/>
      <c r="F53" s="402"/>
      <c r="G53" s="403">
        <f>SUM(G17:G52)</f>
        <v>0</v>
      </c>
    </row>
  </sheetData>
  <sheetProtection insertColumns="0" insertRows="0"/>
  <mergeCells count="11">
    <mergeCell ref="B11:G14"/>
    <mergeCell ref="B15:G15"/>
    <mergeCell ref="B9:G9"/>
    <mergeCell ref="B10:G10"/>
    <mergeCell ref="B2:G2"/>
    <mergeCell ref="B3:G3"/>
    <mergeCell ref="B4:G4"/>
    <mergeCell ref="B5:G5"/>
    <mergeCell ref="B7:D7"/>
    <mergeCell ref="C8:D8"/>
    <mergeCell ref="F8:G8"/>
  </mergeCell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'2025'!$A$233:$A$235</xm:f>
          </x14:formula1>
          <xm:sqref>C17:C52</xm:sqref>
        </x14:dataValidation>
        <x14:dataValidation type="list" allowBlank="1" showInputMessage="1" showErrorMessage="1" xr:uid="{00000000-0002-0000-0900-000001000000}">
          <x14:formula1>
            <xm:f>PM!$B$11:$B$29</xm:f>
          </x14:formula1>
          <xm:sqref>H17:H52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B1:H48"/>
  <sheetViews>
    <sheetView workbookViewId="0">
      <selection activeCell="H19" sqref="H19"/>
    </sheetView>
  </sheetViews>
  <sheetFormatPr baseColWidth="10" defaultColWidth="11.42578125" defaultRowHeight="12.75" x14ac:dyDescent="0.2"/>
  <cols>
    <col min="1" max="1" width="2" style="406" customWidth="1"/>
    <col min="2" max="2" width="8.140625" style="406" customWidth="1"/>
    <col min="3" max="3" width="35.28515625" style="406" bestFit="1" customWidth="1"/>
    <col min="4" max="4" width="23" style="406" customWidth="1"/>
    <col min="5" max="5" width="9.85546875" style="406" customWidth="1"/>
    <col min="6" max="6" width="10.85546875" style="406" customWidth="1"/>
    <col min="7" max="7" width="11.140625" style="406" customWidth="1"/>
    <col min="8" max="8" width="17.5703125" style="406" bestFit="1" customWidth="1"/>
    <col min="9" max="16384" width="11.42578125" style="406"/>
  </cols>
  <sheetData>
    <row r="1" spans="2:7" customFormat="1" ht="6" customHeight="1" thickBot="1" x14ac:dyDescent="0.25"/>
    <row r="2" spans="2:7" customFormat="1" x14ac:dyDescent="0.2">
      <c r="B2" s="514" t="s">
        <v>288</v>
      </c>
      <c r="C2" s="515"/>
      <c r="D2" s="515"/>
      <c r="E2" s="515"/>
      <c r="F2" s="515"/>
      <c r="G2" s="516"/>
    </row>
    <row r="3" spans="2:7" customFormat="1" x14ac:dyDescent="0.2">
      <c r="B3" s="517" t="s">
        <v>1219</v>
      </c>
      <c r="C3" s="518"/>
      <c r="D3" s="518"/>
      <c r="E3" s="518"/>
      <c r="F3" s="518"/>
      <c r="G3" s="519"/>
    </row>
    <row r="4" spans="2:7" customFormat="1" ht="13.5" thickBot="1" x14ac:dyDescent="0.25">
      <c r="B4" s="517" t="s">
        <v>1220</v>
      </c>
      <c r="C4" s="518"/>
      <c r="D4" s="518"/>
      <c r="E4" s="518"/>
      <c r="F4" s="518"/>
      <c r="G4" s="519"/>
    </row>
    <row r="5" spans="2:7" customFormat="1" ht="13.5" thickBot="1" x14ac:dyDescent="0.25">
      <c r="B5" s="520"/>
      <c r="C5" s="521"/>
      <c r="D5" s="521"/>
      <c r="E5" s="521"/>
      <c r="F5" s="521"/>
      <c r="G5" s="522"/>
    </row>
    <row r="6" spans="2:7" customFormat="1" ht="12.75" customHeight="1" x14ac:dyDescent="0.2">
      <c r="B6" s="82" t="s">
        <v>53</v>
      </c>
      <c r="C6" s="70"/>
      <c r="D6" s="70"/>
      <c r="E6" s="83" t="s">
        <v>14</v>
      </c>
      <c r="F6" s="80"/>
      <c r="G6" s="81"/>
    </row>
    <row r="7" spans="2:7" customFormat="1" ht="12.75" customHeight="1" x14ac:dyDescent="0.2">
      <c r="B7" s="526">
        <f>+PUBLICIDAD!B7</f>
        <v>0</v>
      </c>
      <c r="C7" s="527"/>
      <c r="D7" s="527"/>
      <c r="E7" s="85" t="s">
        <v>866</v>
      </c>
      <c r="F7" s="235" t="str">
        <f>+PUBLICIDAD!F7</f>
        <v>AÑO:</v>
      </c>
      <c r="G7" s="84"/>
    </row>
    <row r="8" spans="2:7" customFormat="1" ht="25.5" customHeight="1" x14ac:dyDescent="0.2">
      <c r="B8" s="86" t="s">
        <v>427</v>
      </c>
      <c r="C8" s="528" t="str">
        <f>+PUBLICIDAD!C8</f>
        <v xml:space="preserve">PLAN DE MEJORAMIENTO </v>
      </c>
      <c r="D8" s="528"/>
      <c r="E8" s="248"/>
      <c r="F8" s="529"/>
      <c r="G8" s="530"/>
    </row>
    <row r="9" spans="2:7" customFormat="1" ht="7.5" customHeight="1" x14ac:dyDescent="0.2">
      <c r="B9" s="523"/>
      <c r="C9" s="524"/>
      <c r="D9" s="524"/>
      <c r="E9" s="524"/>
      <c r="F9" s="524"/>
      <c r="G9" s="525"/>
    </row>
    <row r="10" spans="2:7" customFormat="1" x14ac:dyDescent="0.2">
      <c r="B10" s="508"/>
      <c r="C10" s="509"/>
      <c r="D10" s="509"/>
      <c r="E10" s="509"/>
      <c r="F10" s="509"/>
      <c r="G10" s="510"/>
    </row>
    <row r="11" spans="2:7" customFormat="1" x14ac:dyDescent="0.2"/>
    <row r="12" spans="2:7" customFormat="1" ht="15.75" x14ac:dyDescent="0.25">
      <c r="B12" s="554" t="s">
        <v>719</v>
      </c>
      <c r="C12" s="555"/>
      <c r="D12" s="555"/>
      <c r="E12" s="555"/>
      <c r="F12" s="555"/>
      <c r="G12" s="556"/>
    </row>
    <row r="13" spans="2:7" customFormat="1" ht="20.25" customHeight="1" x14ac:dyDescent="0.2">
      <c r="B13" s="557" t="s">
        <v>879</v>
      </c>
      <c r="C13" s="558"/>
      <c r="D13" s="558"/>
      <c r="E13" s="558"/>
      <c r="F13" s="558"/>
      <c r="G13" s="559"/>
    </row>
    <row r="14" spans="2:7" customFormat="1" ht="20.25" customHeight="1" x14ac:dyDescent="0.2">
      <c r="B14" s="560"/>
      <c r="C14" s="561"/>
      <c r="D14" s="561"/>
      <c r="E14" s="561"/>
      <c r="F14" s="561"/>
      <c r="G14" s="562"/>
    </row>
    <row r="15" spans="2:7" customFormat="1" ht="20.25" customHeight="1" x14ac:dyDescent="0.2">
      <c r="B15" s="563"/>
      <c r="C15" s="564"/>
      <c r="D15" s="564"/>
      <c r="E15" s="564"/>
      <c r="F15" s="564"/>
      <c r="G15" s="565"/>
    </row>
    <row r="16" spans="2:7" customFormat="1" x14ac:dyDescent="0.2"/>
    <row r="17" spans="2:8" customFormat="1" ht="16.5" thickBot="1" x14ac:dyDescent="0.3">
      <c r="B17" s="554" t="s">
        <v>719</v>
      </c>
      <c r="C17" s="555"/>
      <c r="D17" s="555"/>
      <c r="E17" s="555"/>
      <c r="F17" s="555"/>
      <c r="G17" s="556"/>
    </row>
    <row r="18" spans="2:8" customFormat="1" ht="12.75" customHeight="1" x14ac:dyDescent="0.2">
      <c r="B18" s="48" t="s">
        <v>0</v>
      </c>
      <c r="C18" s="49" t="s">
        <v>1</v>
      </c>
      <c r="D18" s="49" t="s">
        <v>716</v>
      </c>
      <c r="E18" s="49" t="s">
        <v>279</v>
      </c>
      <c r="F18" s="50" t="s">
        <v>5</v>
      </c>
      <c r="G18" s="51" t="s">
        <v>7</v>
      </c>
      <c r="H18" s="389" t="s">
        <v>882</v>
      </c>
    </row>
    <row r="19" spans="2:8" ht="24" x14ac:dyDescent="0.2">
      <c r="B19" s="396">
        <v>1</v>
      </c>
      <c r="C19" s="395" t="s">
        <v>880</v>
      </c>
      <c r="D19" s="393" t="s">
        <v>881</v>
      </c>
      <c r="E19" s="299">
        <v>1</v>
      </c>
      <c r="F19" s="300">
        <v>250000</v>
      </c>
      <c r="G19" s="397">
        <f>(E19*F19)</f>
        <v>250000</v>
      </c>
      <c r="H19" s="398"/>
    </row>
    <row r="20" spans="2:8" x14ac:dyDescent="0.2">
      <c r="B20" s="396">
        <f>+B19+1</f>
        <v>2</v>
      </c>
      <c r="C20" s="295"/>
      <c r="D20" s="302"/>
      <c r="E20" s="299"/>
      <c r="F20" s="300"/>
      <c r="G20" s="397">
        <f t="shared" ref="G20" si="0">(E20*F20)</f>
        <v>0</v>
      </c>
      <c r="H20" s="398"/>
    </row>
    <row r="21" spans="2:8" x14ac:dyDescent="0.2">
      <c r="B21" s="396">
        <f t="shared" ref="B21:B47" si="1">+B20+1</f>
        <v>3</v>
      </c>
      <c r="C21" s="295"/>
      <c r="D21" s="302"/>
      <c r="E21" s="299"/>
      <c r="F21" s="300"/>
      <c r="G21" s="397">
        <f t="shared" ref="G21:G47" si="2">(E21*F21)</f>
        <v>0</v>
      </c>
      <c r="H21" s="398"/>
    </row>
    <row r="22" spans="2:8" x14ac:dyDescent="0.2">
      <c r="B22" s="396">
        <f t="shared" si="1"/>
        <v>4</v>
      </c>
      <c r="C22" s="295"/>
      <c r="D22" s="302"/>
      <c r="E22" s="299"/>
      <c r="F22" s="300"/>
      <c r="G22" s="397">
        <f t="shared" si="2"/>
        <v>0</v>
      </c>
      <c r="H22" s="398"/>
    </row>
    <row r="23" spans="2:8" x14ac:dyDescent="0.2">
      <c r="B23" s="396">
        <f t="shared" si="1"/>
        <v>5</v>
      </c>
      <c r="C23" s="295"/>
      <c r="D23" s="302"/>
      <c r="E23" s="299"/>
      <c r="F23" s="300"/>
      <c r="G23" s="397">
        <f t="shared" si="2"/>
        <v>0</v>
      </c>
      <c r="H23" s="398"/>
    </row>
    <row r="24" spans="2:8" x14ac:dyDescent="0.2">
      <c r="B24" s="396">
        <f t="shared" si="1"/>
        <v>6</v>
      </c>
      <c r="C24" s="295"/>
      <c r="D24" s="302"/>
      <c r="E24" s="299"/>
      <c r="F24" s="300"/>
      <c r="G24" s="397">
        <f t="shared" si="2"/>
        <v>0</v>
      </c>
      <c r="H24" s="398"/>
    </row>
    <row r="25" spans="2:8" x14ac:dyDescent="0.2">
      <c r="B25" s="396">
        <f t="shared" si="1"/>
        <v>7</v>
      </c>
      <c r="C25" s="295"/>
      <c r="D25" s="302"/>
      <c r="E25" s="299"/>
      <c r="F25" s="300"/>
      <c r="G25" s="397">
        <f t="shared" si="2"/>
        <v>0</v>
      </c>
      <c r="H25" s="398"/>
    </row>
    <row r="26" spans="2:8" x14ac:dyDescent="0.2">
      <c r="B26" s="396">
        <f t="shared" si="1"/>
        <v>8</v>
      </c>
      <c r="C26" s="295"/>
      <c r="D26" s="302"/>
      <c r="E26" s="299"/>
      <c r="F26" s="300"/>
      <c r="G26" s="397">
        <f t="shared" si="2"/>
        <v>0</v>
      </c>
      <c r="H26" s="398"/>
    </row>
    <row r="27" spans="2:8" x14ac:dyDescent="0.2">
      <c r="B27" s="396">
        <f t="shared" si="1"/>
        <v>9</v>
      </c>
      <c r="C27" s="295"/>
      <c r="D27" s="302"/>
      <c r="E27" s="299"/>
      <c r="F27" s="300"/>
      <c r="G27" s="397">
        <f t="shared" si="2"/>
        <v>0</v>
      </c>
      <c r="H27" s="398"/>
    </row>
    <row r="28" spans="2:8" x14ac:dyDescent="0.2">
      <c r="B28" s="396">
        <f t="shared" si="1"/>
        <v>10</v>
      </c>
      <c r="C28" s="295"/>
      <c r="D28" s="302"/>
      <c r="E28" s="299"/>
      <c r="F28" s="300"/>
      <c r="G28" s="397">
        <f t="shared" si="2"/>
        <v>0</v>
      </c>
      <c r="H28" s="398"/>
    </row>
    <row r="29" spans="2:8" x14ac:dyDescent="0.2">
      <c r="B29" s="396">
        <f t="shared" si="1"/>
        <v>11</v>
      </c>
      <c r="C29" s="295"/>
      <c r="D29" s="302"/>
      <c r="E29" s="299"/>
      <c r="F29" s="300"/>
      <c r="G29" s="397">
        <f t="shared" si="2"/>
        <v>0</v>
      </c>
      <c r="H29" s="398"/>
    </row>
    <row r="30" spans="2:8" x14ac:dyDescent="0.2">
      <c r="B30" s="396">
        <f t="shared" si="1"/>
        <v>12</v>
      </c>
      <c r="C30" s="295"/>
      <c r="D30" s="302"/>
      <c r="E30" s="299"/>
      <c r="F30" s="300"/>
      <c r="G30" s="397">
        <f t="shared" si="2"/>
        <v>0</v>
      </c>
      <c r="H30" s="398"/>
    </row>
    <row r="31" spans="2:8" x14ac:dyDescent="0.2">
      <c r="B31" s="396">
        <f t="shared" si="1"/>
        <v>13</v>
      </c>
      <c r="C31" s="295"/>
      <c r="D31" s="302"/>
      <c r="E31" s="299"/>
      <c r="F31" s="300"/>
      <c r="G31" s="397">
        <f t="shared" si="2"/>
        <v>0</v>
      </c>
      <c r="H31" s="398"/>
    </row>
    <row r="32" spans="2:8" x14ac:dyDescent="0.2">
      <c r="B32" s="396">
        <f t="shared" si="1"/>
        <v>14</v>
      </c>
      <c r="C32" s="295"/>
      <c r="D32" s="302"/>
      <c r="E32" s="299"/>
      <c r="F32" s="300"/>
      <c r="G32" s="397">
        <f t="shared" si="2"/>
        <v>0</v>
      </c>
      <c r="H32" s="398"/>
    </row>
    <row r="33" spans="2:8" x14ac:dyDescent="0.2">
      <c r="B33" s="396">
        <f t="shared" si="1"/>
        <v>15</v>
      </c>
      <c r="C33" s="295"/>
      <c r="D33" s="302"/>
      <c r="E33" s="299"/>
      <c r="F33" s="300"/>
      <c r="G33" s="397">
        <f t="shared" si="2"/>
        <v>0</v>
      </c>
      <c r="H33" s="398"/>
    </row>
    <row r="34" spans="2:8" x14ac:dyDescent="0.2">
      <c r="B34" s="396">
        <f t="shared" si="1"/>
        <v>16</v>
      </c>
      <c r="C34" s="295"/>
      <c r="D34" s="302"/>
      <c r="E34" s="299"/>
      <c r="F34" s="300"/>
      <c r="G34" s="397">
        <f t="shared" si="2"/>
        <v>0</v>
      </c>
      <c r="H34" s="398"/>
    </row>
    <row r="35" spans="2:8" x14ac:dyDescent="0.2">
      <c r="B35" s="396">
        <f t="shared" si="1"/>
        <v>17</v>
      </c>
      <c r="C35" s="295"/>
      <c r="D35" s="302"/>
      <c r="E35" s="299"/>
      <c r="F35" s="300"/>
      <c r="G35" s="397">
        <f t="shared" si="2"/>
        <v>0</v>
      </c>
      <c r="H35" s="398"/>
    </row>
    <row r="36" spans="2:8" x14ac:dyDescent="0.2">
      <c r="B36" s="396">
        <f t="shared" si="1"/>
        <v>18</v>
      </c>
      <c r="C36" s="295"/>
      <c r="D36" s="302"/>
      <c r="E36" s="299"/>
      <c r="F36" s="300"/>
      <c r="G36" s="397">
        <f t="shared" si="2"/>
        <v>0</v>
      </c>
      <c r="H36" s="398"/>
    </row>
    <row r="37" spans="2:8" x14ac:dyDescent="0.2">
      <c r="B37" s="396">
        <f t="shared" si="1"/>
        <v>19</v>
      </c>
      <c r="C37" s="295"/>
      <c r="D37" s="302"/>
      <c r="E37" s="299"/>
      <c r="F37" s="300"/>
      <c r="G37" s="397">
        <f t="shared" si="2"/>
        <v>0</v>
      </c>
      <c r="H37" s="398"/>
    </row>
    <row r="38" spans="2:8" x14ac:dyDescent="0.2">
      <c r="B38" s="396">
        <f t="shared" si="1"/>
        <v>20</v>
      </c>
      <c r="C38" s="295"/>
      <c r="D38" s="302"/>
      <c r="E38" s="299"/>
      <c r="F38" s="300"/>
      <c r="G38" s="397">
        <f t="shared" si="2"/>
        <v>0</v>
      </c>
      <c r="H38" s="398"/>
    </row>
    <row r="39" spans="2:8" x14ac:dyDescent="0.2">
      <c r="B39" s="396">
        <f t="shared" si="1"/>
        <v>21</v>
      </c>
      <c r="C39" s="295"/>
      <c r="D39" s="302"/>
      <c r="E39" s="299"/>
      <c r="F39" s="300"/>
      <c r="G39" s="397">
        <f t="shared" si="2"/>
        <v>0</v>
      </c>
      <c r="H39" s="398"/>
    </row>
    <row r="40" spans="2:8" x14ac:dyDescent="0.2">
      <c r="B40" s="396">
        <f t="shared" si="1"/>
        <v>22</v>
      </c>
      <c r="C40" s="295"/>
      <c r="D40" s="302"/>
      <c r="E40" s="299"/>
      <c r="F40" s="300"/>
      <c r="G40" s="397">
        <f t="shared" si="2"/>
        <v>0</v>
      </c>
      <c r="H40" s="398"/>
    </row>
    <row r="41" spans="2:8" x14ac:dyDescent="0.2">
      <c r="B41" s="396">
        <f t="shared" si="1"/>
        <v>23</v>
      </c>
      <c r="C41" s="295"/>
      <c r="D41" s="302"/>
      <c r="E41" s="299"/>
      <c r="F41" s="300"/>
      <c r="G41" s="397">
        <f t="shared" si="2"/>
        <v>0</v>
      </c>
      <c r="H41" s="398"/>
    </row>
    <row r="42" spans="2:8" x14ac:dyDescent="0.2">
      <c r="B42" s="396">
        <f t="shared" si="1"/>
        <v>24</v>
      </c>
      <c r="C42" s="295"/>
      <c r="D42" s="302"/>
      <c r="E42" s="299"/>
      <c r="F42" s="300"/>
      <c r="G42" s="397">
        <f t="shared" si="2"/>
        <v>0</v>
      </c>
      <c r="H42" s="398"/>
    </row>
    <row r="43" spans="2:8" x14ac:dyDescent="0.2">
      <c r="B43" s="396">
        <f t="shared" si="1"/>
        <v>25</v>
      </c>
      <c r="C43" s="295"/>
      <c r="D43" s="302"/>
      <c r="E43" s="299"/>
      <c r="F43" s="300"/>
      <c r="G43" s="397">
        <f t="shared" si="2"/>
        <v>0</v>
      </c>
      <c r="H43" s="398"/>
    </row>
    <row r="44" spans="2:8" x14ac:dyDescent="0.2">
      <c r="B44" s="396">
        <f t="shared" si="1"/>
        <v>26</v>
      </c>
      <c r="C44" s="295"/>
      <c r="D44" s="302"/>
      <c r="E44" s="299"/>
      <c r="F44" s="300"/>
      <c r="G44" s="397">
        <f t="shared" si="2"/>
        <v>0</v>
      </c>
      <c r="H44" s="398"/>
    </row>
    <row r="45" spans="2:8" x14ac:dyDescent="0.2">
      <c r="B45" s="396">
        <f t="shared" si="1"/>
        <v>27</v>
      </c>
      <c r="C45" s="295"/>
      <c r="D45" s="302"/>
      <c r="E45" s="299"/>
      <c r="F45" s="300"/>
      <c r="G45" s="397">
        <f t="shared" si="2"/>
        <v>0</v>
      </c>
      <c r="H45" s="398"/>
    </row>
    <row r="46" spans="2:8" x14ac:dyDescent="0.2">
      <c r="B46" s="396">
        <f t="shared" si="1"/>
        <v>28</v>
      </c>
      <c r="C46" s="295"/>
      <c r="D46" s="302"/>
      <c r="E46" s="299"/>
      <c r="F46" s="300"/>
      <c r="G46" s="397">
        <f t="shared" si="2"/>
        <v>0</v>
      </c>
      <c r="H46" s="398"/>
    </row>
    <row r="47" spans="2:8" x14ac:dyDescent="0.2">
      <c r="B47" s="396">
        <f t="shared" si="1"/>
        <v>29</v>
      </c>
      <c r="C47" s="295"/>
      <c r="D47" s="302"/>
      <c r="E47" s="299"/>
      <c r="F47" s="300"/>
      <c r="G47" s="397">
        <f t="shared" si="2"/>
        <v>0</v>
      </c>
      <c r="H47" s="398"/>
    </row>
    <row r="48" spans="2:8" ht="13.5" thickBot="1" x14ac:dyDescent="0.25">
      <c r="B48" s="399"/>
      <c r="C48" s="400" t="s">
        <v>16</v>
      </c>
      <c r="D48" s="401"/>
      <c r="E48" s="401"/>
      <c r="F48" s="402"/>
      <c r="G48" s="403">
        <f>SUM(G19:G21)</f>
        <v>250000</v>
      </c>
      <c r="H48" s="419"/>
    </row>
  </sheetData>
  <sheetProtection insertColumns="0" insertRows="0"/>
  <mergeCells count="12">
    <mergeCell ref="B13:G15"/>
    <mergeCell ref="B17:G17"/>
    <mergeCell ref="B9:G9"/>
    <mergeCell ref="B10:G10"/>
    <mergeCell ref="B12:G12"/>
    <mergeCell ref="C8:D8"/>
    <mergeCell ref="F8:G8"/>
    <mergeCell ref="B2:G2"/>
    <mergeCell ref="B3:G3"/>
    <mergeCell ref="B4:G4"/>
    <mergeCell ref="B5:G5"/>
    <mergeCell ref="B7:D7"/>
  </mergeCell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PM!$B$11:$B$29</xm:f>
          </x14:formula1>
          <xm:sqref>H19:H47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B1:K60"/>
  <sheetViews>
    <sheetView workbookViewId="0">
      <selection activeCell="I18" sqref="I18"/>
    </sheetView>
  </sheetViews>
  <sheetFormatPr baseColWidth="10" defaultColWidth="11.42578125" defaultRowHeight="12.75" x14ac:dyDescent="0.2"/>
  <cols>
    <col min="1" max="1" width="2" style="406" customWidth="1"/>
    <col min="2" max="2" width="8.28515625" style="406" customWidth="1"/>
    <col min="3" max="3" width="36.140625" style="406" customWidth="1"/>
    <col min="4" max="4" width="12.7109375" style="406" customWidth="1"/>
    <col min="5" max="6" width="9.85546875" style="406" customWidth="1"/>
    <col min="7" max="7" width="11.28515625" style="406" customWidth="1"/>
    <col min="8" max="8" width="11.140625" style="406" customWidth="1"/>
    <col min="9" max="9" width="17.5703125" style="406" bestFit="1" customWidth="1"/>
    <col min="10" max="10" width="14.5703125" style="406" bestFit="1" customWidth="1"/>
    <col min="11" max="16384" width="11.42578125" style="406"/>
  </cols>
  <sheetData>
    <row r="1" spans="2:11" customFormat="1" ht="6" customHeight="1" thickBot="1" x14ac:dyDescent="0.25"/>
    <row r="2" spans="2:11" customFormat="1" x14ac:dyDescent="0.2">
      <c r="B2" s="514" t="s">
        <v>288</v>
      </c>
      <c r="C2" s="515"/>
      <c r="D2" s="515"/>
      <c r="E2" s="515"/>
      <c r="F2" s="515"/>
      <c r="G2" s="515"/>
      <c r="H2" s="516"/>
    </row>
    <row r="3" spans="2:11" customFormat="1" x14ac:dyDescent="0.2">
      <c r="B3" s="517" t="s">
        <v>1219</v>
      </c>
      <c r="C3" s="518"/>
      <c r="D3" s="518"/>
      <c r="E3" s="518"/>
      <c r="F3" s="518"/>
      <c r="G3" s="518"/>
      <c r="H3" s="519"/>
    </row>
    <row r="4" spans="2:11" customFormat="1" ht="13.5" thickBot="1" x14ac:dyDescent="0.25">
      <c r="B4" s="517" t="s">
        <v>1220</v>
      </c>
      <c r="C4" s="518"/>
      <c r="D4" s="518"/>
      <c r="E4" s="518"/>
      <c r="F4" s="518"/>
      <c r="G4" s="518"/>
      <c r="H4" s="519"/>
    </row>
    <row r="5" spans="2:11" customFormat="1" ht="13.5" thickBot="1" x14ac:dyDescent="0.25">
      <c r="B5" s="520"/>
      <c r="C5" s="521"/>
      <c r="D5" s="521"/>
      <c r="E5" s="521"/>
      <c r="F5" s="521"/>
      <c r="G5" s="521"/>
      <c r="H5" s="522"/>
    </row>
    <row r="6" spans="2:11" customFormat="1" ht="12.75" customHeight="1" x14ac:dyDescent="0.2">
      <c r="B6" s="82" t="s">
        <v>53</v>
      </c>
      <c r="C6" s="70"/>
      <c r="D6" s="70"/>
      <c r="E6" s="83" t="s">
        <v>14</v>
      </c>
      <c r="F6" s="83"/>
      <c r="G6" s="80"/>
      <c r="H6" s="81"/>
    </row>
    <row r="7" spans="2:11" customFormat="1" ht="12.75" customHeight="1" x14ac:dyDescent="0.2">
      <c r="B7" s="526">
        <f>+'ÚTILES Y PAPELERÍA'!B7:D7</f>
        <v>0</v>
      </c>
      <c r="C7" s="527"/>
      <c r="D7" s="527"/>
      <c r="E7" s="227" t="s">
        <v>866</v>
      </c>
      <c r="F7" s="85"/>
      <c r="G7" s="234" t="str">
        <f>+'ÚTILES Y PAPELERÍA'!F7</f>
        <v>AÑO:</v>
      </c>
      <c r="H7" s="84"/>
    </row>
    <row r="8" spans="2:11" customFormat="1" ht="31.5" customHeight="1" x14ac:dyDescent="0.2">
      <c r="B8" s="286" t="s">
        <v>427</v>
      </c>
      <c r="C8" s="528" t="str">
        <f>+'ÚTILES Y PAPELERÍA'!C8:D8</f>
        <v xml:space="preserve">PLAN DE MEJORAMIENTO </v>
      </c>
      <c r="D8" s="528"/>
      <c r="E8" s="287"/>
      <c r="F8" s="528"/>
      <c r="G8" s="528"/>
      <c r="H8" s="566"/>
    </row>
    <row r="9" spans="2:11" customFormat="1" ht="7.5" customHeight="1" thickBot="1" x14ac:dyDescent="0.25">
      <c r="B9" s="523"/>
      <c r="C9" s="524"/>
      <c r="D9" s="524"/>
      <c r="E9" s="524"/>
      <c r="F9" s="524"/>
      <c r="G9" s="524"/>
      <c r="H9" s="525"/>
    </row>
    <row r="10" spans="2:11" customFormat="1" ht="13.5" thickBot="1" x14ac:dyDescent="0.25">
      <c r="B10" s="511"/>
      <c r="C10" s="512"/>
      <c r="D10" s="512"/>
      <c r="E10" s="512"/>
      <c r="F10" s="512"/>
      <c r="G10" s="512"/>
      <c r="H10" s="513"/>
    </row>
    <row r="11" spans="2:11" customFormat="1" x14ac:dyDescent="0.2">
      <c r="B11" s="577" t="s">
        <v>280</v>
      </c>
      <c r="C11" s="578"/>
      <c r="D11" s="578"/>
      <c r="E11" s="578"/>
      <c r="F11" s="578"/>
      <c r="G11" s="578"/>
      <c r="H11" s="579"/>
    </row>
    <row r="12" spans="2:11" customFormat="1" x14ac:dyDescent="0.2">
      <c r="B12" s="567" t="s">
        <v>868</v>
      </c>
      <c r="C12" s="568"/>
      <c r="D12" s="568"/>
      <c r="E12" s="568"/>
      <c r="F12" s="568"/>
      <c r="G12" s="568"/>
      <c r="H12" s="569"/>
    </row>
    <row r="13" spans="2:11" customFormat="1" x14ac:dyDescent="0.2">
      <c r="B13" s="570"/>
      <c r="C13" s="568"/>
      <c r="D13" s="568"/>
      <c r="E13" s="568"/>
      <c r="F13" s="568"/>
      <c r="G13" s="568"/>
      <c r="H13" s="569"/>
    </row>
    <row r="14" spans="2:11" customFormat="1" x14ac:dyDescent="0.2">
      <c r="B14" s="570"/>
      <c r="C14" s="568"/>
      <c r="D14" s="568"/>
      <c r="E14" s="568"/>
      <c r="F14" s="568"/>
      <c r="G14" s="568"/>
      <c r="H14" s="569"/>
    </row>
    <row r="15" spans="2:11" customFormat="1" x14ac:dyDescent="0.2">
      <c r="B15" s="570"/>
      <c r="C15" s="568"/>
      <c r="D15" s="568"/>
      <c r="E15" s="568"/>
      <c r="F15" s="568"/>
      <c r="G15" s="568"/>
      <c r="H15" s="569"/>
    </row>
    <row r="16" spans="2:11" customFormat="1" ht="13.5" thickBot="1" x14ac:dyDescent="0.25">
      <c r="B16" s="574" t="s">
        <v>281</v>
      </c>
      <c r="C16" s="575"/>
      <c r="D16" s="575"/>
      <c r="E16" s="575"/>
      <c r="F16" s="575"/>
      <c r="G16" s="575"/>
      <c r="H16" s="576"/>
      <c r="J16" s="87"/>
      <c r="K16" s="225"/>
    </row>
    <row r="17" spans="2:11" customFormat="1" ht="24" x14ac:dyDescent="0.2">
      <c r="B17" s="220" t="s">
        <v>0</v>
      </c>
      <c r="C17" s="221" t="s">
        <v>1</v>
      </c>
      <c r="D17" s="221" t="s">
        <v>6</v>
      </c>
      <c r="E17" s="222" t="s">
        <v>867</v>
      </c>
      <c r="F17" s="222" t="s">
        <v>266</v>
      </c>
      <c r="G17" s="222" t="s">
        <v>5</v>
      </c>
      <c r="H17" s="223" t="s">
        <v>7</v>
      </c>
      <c r="I17" s="389" t="s">
        <v>882</v>
      </c>
      <c r="J17" s="87"/>
      <c r="K17" s="226"/>
    </row>
    <row r="18" spans="2:11" x14ac:dyDescent="0.2">
      <c r="B18" s="420">
        <v>1</v>
      </c>
      <c r="C18" s="296" t="s">
        <v>1198</v>
      </c>
      <c r="D18" s="295"/>
      <c r="E18" s="294">
        <v>20</v>
      </c>
      <c r="F18" s="304">
        <f>IF(AND(E18&gt;=1,E18&lt;=10),0%,IF(AND(E18&gt;=11,E18&lt;=40),10%,IF(AND(E18&gt;=41,E18&lt;=80),20%,IF(AND(E18&gt;=81,E18&lt;=130),40%,IF(AND(E18&gt;=131,E18&lt;=180),50%,IF(AND(E18&gt;=181,E18&lt;=250),60%))))))</f>
        <v>0.1</v>
      </c>
      <c r="G18" s="305">
        <f>IFERROR(VLOOKUP(C18,'2025'!$A$61:$B$86,2,0),0)</f>
        <v>747500</v>
      </c>
      <c r="H18" s="421">
        <f>+E18*G18</f>
        <v>14950000</v>
      </c>
      <c r="I18" s="398" t="s">
        <v>1224</v>
      </c>
      <c r="J18" s="423"/>
      <c r="K18" s="424"/>
    </row>
    <row r="19" spans="2:11" x14ac:dyDescent="0.2">
      <c r="B19" s="420">
        <f>1+B18</f>
        <v>2</v>
      </c>
      <c r="C19" s="296"/>
      <c r="D19" s="295"/>
      <c r="E19" s="294"/>
      <c r="F19" s="304" t="b">
        <f t="shared" ref="F19:F21" si="0">IF(AND(E19&gt;=1,E19&lt;=10),0%,IF(AND(E19&gt;=11,E19&lt;=40),10%,IF(AND(E19&gt;=41,E19&lt;=80),20%,IF(AND(E19&gt;=81,E19&lt;=130),40%,IF(AND(E19&gt;=131,E19&lt;=180),50%,IF(AND(E19&gt;=181,E19&lt;=250),60%))))))</f>
        <v>0</v>
      </c>
      <c r="G19" s="305">
        <f>IFERROR(VLOOKUP(C19,'2025'!$A$61:$B$86,2,0),0)</f>
        <v>0</v>
      </c>
      <c r="H19" s="421">
        <f>+E19*G19</f>
        <v>0</v>
      </c>
      <c r="I19" s="398"/>
      <c r="J19" s="423"/>
      <c r="K19" s="424"/>
    </row>
    <row r="20" spans="2:11" x14ac:dyDescent="0.2">
      <c r="B20" s="420">
        <f>1+B19</f>
        <v>3</v>
      </c>
      <c r="C20" s="296"/>
      <c r="D20" s="295"/>
      <c r="E20" s="294"/>
      <c r="F20" s="304" t="b">
        <f t="shared" si="0"/>
        <v>0</v>
      </c>
      <c r="G20" s="305">
        <f>IFERROR(VLOOKUP(C20,'2025'!$A$61:$B$86,2,0),0)</f>
        <v>0</v>
      </c>
      <c r="H20" s="421">
        <f>+E20*G20</f>
        <v>0</v>
      </c>
      <c r="I20" s="398"/>
      <c r="J20" s="423"/>
      <c r="K20" s="424"/>
    </row>
    <row r="21" spans="2:11" x14ac:dyDescent="0.2">
      <c r="B21" s="420">
        <f>1+B20</f>
        <v>4</v>
      </c>
      <c r="C21" s="296"/>
      <c r="D21" s="295"/>
      <c r="E21" s="294"/>
      <c r="F21" s="304" t="b">
        <f t="shared" si="0"/>
        <v>0</v>
      </c>
      <c r="G21" s="305">
        <f>IFERROR(VLOOKUP(C21,'2025'!$A$61:$B$86,2,0),0)</f>
        <v>0</v>
      </c>
      <c r="H21" s="421">
        <f>+E21*G21</f>
        <v>0</v>
      </c>
      <c r="I21" s="398"/>
      <c r="J21" s="423"/>
      <c r="K21" s="424"/>
    </row>
    <row r="22" spans="2:11" ht="13.5" thickBot="1" x14ac:dyDescent="0.25">
      <c r="B22" s="399"/>
      <c r="C22" s="400" t="s">
        <v>16</v>
      </c>
      <c r="D22" s="401"/>
      <c r="E22" s="401"/>
      <c r="F22" s="401"/>
      <c r="G22" s="402"/>
      <c r="H22" s="403">
        <f>SUM(H18:H21)</f>
        <v>14950000</v>
      </c>
      <c r="I22" s="419"/>
    </row>
    <row r="23" spans="2:11" ht="13.5" thickBot="1" x14ac:dyDescent="0.25">
      <c r="B23" s="583" t="s">
        <v>709</v>
      </c>
      <c r="C23" s="584"/>
      <c r="D23" s="584"/>
      <c r="E23" s="584"/>
      <c r="F23" s="584"/>
      <c r="G23" s="584"/>
      <c r="H23" s="585"/>
    </row>
    <row r="24" spans="2:11" ht="24" x14ac:dyDescent="0.2">
      <c r="B24" s="425" t="s">
        <v>0</v>
      </c>
      <c r="C24" s="426" t="s">
        <v>1</v>
      </c>
      <c r="D24" s="426" t="s">
        <v>6</v>
      </c>
      <c r="E24" s="427" t="s">
        <v>867</v>
      </c>
      <c r="F24" s="427" t="s">
        <v>266</v>
      </c>
      <c r="G24" s="427" t="s">
        <v>5</v>
      </c>
      <c r="H24" s="428" t="s">
        <v>7</v>
      </c>
      <c r="I24" s="412" t="s">
        <v>882</v>
      </c>
    </row>
    <row r="25" spans="2:11" x14ac:dyDescent="0.2">
      <c r="B25" s="420">
        <v>1</v>
      </c>
      <c r="C25" s="296" t="s">
        <v>1115</v>
      </c>
      <c r="D25" s="295"/>
      <c r="E25" s="294"/>
      <c r="F25" s="304" t="b">
        <f>IF(AND(E25&gt;=1,E25&lt;=10),0%,IF(AND(E25&gt;=11,E25&lt;=40),10%,IF(AND(E25&gt;=41,E25&lt;=80),20%,IF(AND(E25&gt;=81,E25&lt;=130),40%,IF(AND(E25&gt;=131,E25&lt;=180),50%,IF(AND(E25&gt;=181,E25&lt;=250),60%))))))</f>
        <v>0</v>
      </c>
      <c r="G25" s="305">
        <f>IF(F25="falso",IFERROR(VLOOKUP(C25,'2025'!$A$90:$B$91,2,0),0),IFERROR(VLOOKUP(C25,'2025'!$A$90:$B$91,2,0),0)*(1-F25))</f>
        <v>40000</v>
      </c>
      <c r="H25" s="421">
        <f>+E25*G25</f>
        <v>0</v>
      </c>
      <c r="I25" s="398"/>
    </row>
    <row r="26" spans="2:11" x14ac:dyDescent="0.2">
      <c r="B26" s="420">
        <f>1+B25</f>
        <v>2</v>
      </c>
      <c r="C26" s="296" t="s">
        <v>1116</v>
      </c>
      <c r="D26" s="295"/>
      <c r="E26" s="294"/>
      <c r="F26" s="304" t="b">
        <f>IF(AND(E26&gt;=1,E26&lt;=10),0%,IF(AND(E26&gt;=11,E26&lt;=40),10%,IF(AND(E26&gt;=41,E26&lt;=80),20%,IF(AND(E26&gt;=81,E26&lt;=130),40%,IF(AND(E26&gt;=131,E26&lt;=180),50%,IF(AND(E26&gt;=181,E26&lt;=250),60%))))))</f>
        <v>0</v>
      </c>
      <c r="G26" s="305">
        <f>IF(F26="falso",IFERROR(VLOOKUP(C26,'2025'!$A$90:$B$91,2,0),0),IFERROR(VLOOKUP(C26,'2025'!$A$90:$B$91,2,0),0)*(1-F26))</f>
        <v>50000</v>
      </c>
      <c r="H26" s="421">
        <f>+E26*G26</f>
        <v>0</v>
      </c>
      <c r="I26" s="398"/>
    </row>
    <row r="27" spans="2:11" x14ac:dyDescent="0.2">
      <c r="B27" s="420">
        <f>1+B26</f>
        <v>3</v>
      </c>
      <c r="C27" s="296" t="s">
        <v>1115</v>
      </c>
      <c r="D27" s="303"/>
      <c r="E27" s="294"/>
      <c r="F27" s="304" t="b">
        <f>IF(AND(E27&gt;=1,E27&lt;=10),0%,IF(AND(E27&gt;=11,E27&lt;=40),10%,IF(AND(E27&gt;=41,E27&lt;=80),20%,IF(AND(E27&gt;=81,E27&lt;=130),40%,IF(AND(E27&gt;=131,E27&lt;=180),50%,IF(AND(E27&gt;=181,E27&lt;=250),60%))))))</f>
        <v>0</v>
      </c>
      <c r="G27" s="305">
        <f>IF(F27="falso",IFERROR(VLOOKUP(C27,'2025'!$A$90:$B$91,2,0),0),IFERROR(VLOOKUP(C27,'2025'!$A$90:$B$91,2,0),0)*(1-F27))</f>
        <v>40000</v>
      </c>
      <c r="H27" s="421">
        <f>+E27*G27</f>
        <v>0</v>
      </c>
      <c r="I27" s="398"/>
    </row>
    <row r="28" spans="2:11" ht="13.5" thickBot="1" x14ac:dyDescent="0.25">
      <c r="B28" s="429"/>
      <c r="C28" s="400" t="s">
        <v>16</v>
      </c>
      <c r="D28" s="430"/>
      <c r="E28" s="430"/>
      <c r="F28" s="430"/>
      <c r="G28" s="431"/>
      <c r="H28" s="432">
        <f>SUM(H25:H27)</f>
        <v>0</v>
      </c>
      <c r="I28" s="422"/>
    </row>
    <row r="29" spans="2:11" ht="13.5" thickBot="1" x14ac:dyDescent="0.25">
      <c r="B29" s="580" t="s">
        <v>282</v>
      </c>
      <c r="C29" s="581"/>
      <c r="D29" s="581"/>
      <c r="E29" s="581"/>
      <c r="F29" s="581"/>
      <c r="G29" s="581"/>
      <c r="H29" s="582"/>
      <c r="I29" s="419"/>
    </row>
    <row r="30" spans="2:11" ht="24" x14ac:dyDescent="0.2">
      <c r="B30" s="408" t="s">
        <v>0</v>
      </c>
      <c r="C30" s="409" t="s">
        <v>1</v>
      </c>
      <c r="D30" s="409" t="s">
        <v>6</v>
      </c>
      <c r="E30" s="427" t="s">
        <v>867</v>
      </c>
      <c r="F30" s="427" t="s">
        <v>266</v>
      </c>
      <c r="G30" s="410" t="s">
        <v>5</v>
      </c>
      <c r="H30" s="411" t="s">
        <v>7</v>
      </c>
      <c r="I30" s="412" t="s">
        <v>882</v>
      </c>
    </row>
    <row r="31" spans="2:11" x14ac:dyDescent="0.2">
      <c r="B31" s="420">
        <v>1</v>
      </c>
      <c r="C31" s="301" t="s">
        <v>1117</v>
      </c>
      <c r="D31" s="295"/>
      <c r="E31" s="295"/>
      <c r="F31" s="304" t="b">
        <f>IF(AND(E31&gt;=1,E31&lt;=10),0%,IF(AND(E31&gt;=11,E31&lt;=40),10%,IF(AND(E31&gt;=41,E31&lt;=80),20%,IF(AND(E31&gt;=81,E31&lt;=130),40%,IF(AND(E31&gt;=131,E31&lt;=180),50%,IF(AND(E31&gt;=181,E31&lt;=250),60%))))))</f>
        <v>0</v>
      </c>
      <c r="G31" s="305">
        <f>IF(F31="falso",IFERROR(VLOOKUP(C31,'2025'!$A$92:$B$97,2,0),0),IFERROR(VLOOKUP(C31,'2025'!$A$92:$B$97,2,0),0)*(1-F31))</f>
        <v>96000</v>
      </c>
      <c r="H31" s="421">
        <f>+E31*G31</f>
        <v>0</v>
      </c>
      <c r="I31" s="398"/>
    </row>
    <row r="32" spans="2:11" ht="24" x14ac:dyDescent="0.2">
      <c r="B32" s="420">
        <f>+B31+1</f>
        <v>2</v>
      </c>
      <c r="C32" s="301" t="s">
        <v>263</v>
      </c>
      <c r="D32" s="295"/>
      <c r="E32" s="295"/>
      <c r="F32" s="304" t="b">
        <f>IF(AND(E32&gt;=1,E32&lt;=10),0%,IF(AND(E32&gt;=11,E32&lt;=40),10%,IF(AND(E32&gt;=41,E32&lt;=80),20%,IF(AND(E32&gt;=81,E32&lt;=130),40%,IF(AND(E32&gt;=131,E32&lt;=180),50%,IF(AND(E32&gt;=181,E32&lt;=250),60%))))))</f>
        <v>0</v>
      </c>
      <c r="G32" s="305">
        <f>IF(F32="falso",IFERROR(VLOOKUP(C32,'2025'!$A$92:$B$97,2,0),0),IFERROR(VLOOKUP(C32,'2025'!$A$92:$B$97,2,0),0)*(1-F32))</f>
        <v>150000</v>
      </c>
      <c r="H32" s="421">
        <f>+E32*G32</f>
        <v>0</v>
      </c>
      <c r="I32" s="398"/>
    </row>
    <row r="33" spans="2:9" x14ac:dyDescent="0.2">
      <c r="B33" s="420">
        <f>+B32+1</f>
        <v>3</v>
      </c>
      <c r="C33" s="301" t="s">
        <v>1117</v>
      </c>
      <c r="D33" s="295"/>
      <c r="E33" s="295"/>
      <c r="F33" s="304" t="b">
        <f>IF(AND(E33&gt;=1,E33&lt;=10),0%,IF(AND(E33&gt;=11,E33&lt;=40),10%,IF(AND(E33&gt;=41,E33&lt;=80),20%,IF(AND(E33&gt;=81,E33&lt;=130),40%,IF(AND(E33&gt;=131,E33&lt;=180),50%,IF(AND(E33&gt;=181,E33&lt;=250),60%))))))</f>
        <v>0</v>
      </c>
      <c r="G33" s="305">
        <f>IF(F33="falso",IFERROR(VLOOKUP(C33,'2025'!$A$92:$B$97,2,0),0),IFERROR(VLOOKUP(C33,'2025'!$A$92:$B$97,2,0),0)*(1-F33))</f>
        <v>96000</v>
      </c>
      <c r="H33" s="421">
        <f>+E33*G33</f>
        <v>0</v>
      </c>
      <c r="I33" s="398"/>
    </row>
    <row r="34" spans="2:9" x14ac:dyDescent="0.2">
      <c r="B34" s="420">
        <f>+B33+1</f>
        <v>4</v>
      </c>
      <c r="C34" s="301" t="s">
        <v>1117</v>
      </c>
      <c r="D34" s="295"/>
      <c r="E34" s="295"/>
      <c r="F34" s="304" t="b">
        <f>IF(AND(E34&gt;=1,E34&lt;=10),0%,IF(AND(E34&gt;=11,E34&lt;=40),10%,IF(AND(E34&gt;=41,E34&lt;=80),20%,IF(AND(E34&gt;=81,E34&lt;=130),40%,IF(AND(E34&gt;=131,E34&lt;=180),50%,IF(AND(E34&gt;=181,E34&lt;=250),60%))))))</f>
        <v>0</v>
      </c>
      <c r="G34" s="305">
        <f>IF(F34="falso",IFERROR(VLOOKUP(C34,'2025'!$A$92:$B$97,2,0),0),IFERROR(VLOOKUP(C34,'2025'!$A$92:$B$97,2,0),0)*(1-F34))</f>
        <v>96000</v>
      </c>
      <c r="H34" s="421">
        <f>E34*G34</f>
        <v>0</v>
      </c>
      <c r="I34" s="398"/>
    </row>
    <row r="35" spans="2:9" ht="13.5" thickBot="1" x14ac:dyDescent="0.25">
      <c r="B35" s="399"/>
      <c r="C35" s="400" t="s">
        <v>16</v>
      </c>
      <c r="D35" s="401"/>
      <c r="E35" s="401"/>
      <c r="F35" s="401"/>
      <c r="G35" s="402"/>
      <c r="H35" s="403">
        <f>SUM(H31:H34)</f>
        <v>0</v>
      </c>
      <c r="I35" s="422"/>
    </row>
    <row r="36" spans="2:9" ht="13.5" x14ac:dyDescent="0.25">
      <c r="B36" s="571" t="s">
        <v>1159</v>
      </c>
      <c r="C36" s="572"/>
      <c r="D36" s="572"/>
      <c r="E36" s="572"/>
      <c r="F36" s="572"/>
      <c r="G36" s="572"/>
      <c r="H36" s="573"/>
      <c r="I36" s="422"/>
    </row>
    <row r="37" spans="2:9" ht="13.5" x14ac:dyDescent="0.25">
      <c r="B37" s="466" t="s">
        <v>0</v>
      </c>
      <c r="C37" s="467" t="s">
        <v>1</v>
      </c>
      <c r="D37" s="467" t="s">
        <v>1160</v>
      </c>
      <c r="E37" s="467" t="s">
        <v>9</v>
      </c>
      <c r="F37" s="467"/>
      <c r="G37" s="468" t="s">
        <v>5</v>
      </c>
      <c r="H37" s="469" t="s">
        <v>7</v>
      </c>
      <c r="I37" s="422"/>
    </row>
    <row r="38" spans="2:9" ht="13.5" x14ac:dyDescent="0.25">
      <c r="B38" s="470">
        <v>1</v>
      </c>
      <c r="C38" s="471" t="s">
        <v>1210</v>
      </c>
      <c r="D38" s="472"/>
      <c r="E38" s="472"/>
      <c r="F38" s="473" t="b">
        <f t="shared" ref="F38:F41" si="1">IF(AND(E38&gt;=1,E38&lt;=10),0%,IF(AND(E38&gt;=11,E38&lt;=40),10%,IF(AND(E38&gt;=41,E38&lt;=80),20%,IF(AND(E38&gt;=81,E38&lt;=130),40%,IF(AND(E38&gt;=131,E38&lt;=180),50%,IF(AND(E38&gt;=18),60%))))))</f>
        <v>0</v>
      </c>
      <c r="G38" s="305">
        <f>IF(F38="falso",IFERROR(VLOOKUP(C38,'2025'!$A$103:$B$116,2,0),0),IFERROR(VLOOKUP(C38,'2025'!$A$103:$B$116,2,0),0)*(1-F38))</f>
        <v>90000</v>
      </c>
      <c r="H38" s="474">
        <f>+E38*G38</f>
        <v>0</v>
      </c>
      <c r="I38" s="398"/>
    </row>
    <row r="39" spans="2:9" ht="13.5" x14ac:dyDescent="0.25">
      <c r="B39" s="470">
        <f>+B38+1</f>
        <v>2</v>
      </c>
      <c r="C39" s="471" t="s">
        <v>1211</v>
      </c>
      <c r="D39" s="472"/>
      <c r="E39" s="472"/>
      <c r="F39" s="473" t="b">
        <f t="shared" si="1"/>
        <v>0</v>
      </c>
      <c r="G39" s="305">
        <f>IF(F39="falso",IFERROR(VLOOKUP(C39,'2025'!$A$103:$B$116,2,0),0),IFERROR(VLOOKUP(C39,'2025'!$A$103:$B$116,2,0),0)*(1-F39))</f>
        <v>380000</v>
      </c>
      <c r="H39" s="474">
        <f>+E39*G39</f>
        <v>0</v>
      </c>
      <c r="I39" s="398"/>
    </row>
    <row r="40" spans="2:9" ht="13.5" x14ac:dyDescent="0.25">
      <c r="B40" s="470">
        <f>+B39+1</f>
        <v>3</v>
      </c>
      <c r="C40" s="471"/>
      <c r="D40" s="472"/>
      <c r="E40" s="472"/>
      <c r="F40" s="473" t="b">
        <f t="shared" si="1"/>
        <v>0</v>
      </c>
      <c r="G40" s="305">
        <f>IF(F40="falso",IFERROR(VLOOKUP(C40,'2025'!$A$103:$B$116,2,0),0),IFERROR(VLOOKUP(C40,'2025'!$A$103:$B$116,2,0),0)*(1-F40))</f>
        <v>0</v>
      </c>
      <c r="H40" s="474">
        <f>+E40*G40</f>
        <v>0</v>
      </c>
      <c r="I40" s="398"/>
    </row>
    <row r="41" spans="2:9" ht="13.5" x14ac:dyDescent="0.25">
      <c r="B41" s="470">
        <f>+B40+1</f>
        <v>4</v>
      </c>
      <c r="C41" s="471"/>
      <c r="D41" s="472"/>
      <c r="E41" s="472"/>
      <c r="F41" s="473" t="b">
        <f t="shared" si="1"/>
        <v>0</v>
      </c>
      <c r="G41" s="305">
        <f>IF(F41="falso",IFERROR(VLOOKUP(C41,'2025'!$A$103:$B$116,2,0),0),IFERROR(VLOOKUP(C41,'2025'!$A$103:$B$116,2,0),0)*(1-F41))</f>
        <v>0</v>
      </c>
      <c r="H41" s="474">
        <f>E41*G41</f>
        <v>0</v>
      </c>
      <c r="I41" s="398"/>
    </row>
    <row r="42" spans="2:9" ht="13.5" x14ac:dyDescent="0.25">
      <c r="B42" s="475"/>
      <c r="C42" s="476" t="s">
        <v>16</v>
      </c>
      <c r="D42" s="477"/>
      <c r="E42" s="477"/>
      <c r="F42" s="477"/>
      <c r="G42" s="478"/>
      <c r="H42" s="479">
        <f>SUM(H38:H41)</f>
        <v>0</v>
      </c>
      <c r="I42" s="422"/>
    </row>
    <row r="43" spans="2:9" ht="13.5" x14ac:dyDescent="0.25">
      <c r="B43" s="571" t="s">
        <v>1161</v>
      </c>
      <c r="C43" s="572"/>
      <c r="D43" s="572"/>
      <c r="E43" s="572"/>
      <c r="F43" s="572"/>
      <c r="G43" s="572"/>
      <c r="H43" s="573"/>
      <c r="I43" s="422"/>
    </row>
    <row r="44" spans="2:9" ht="13.5" x14ac:dyDescent="0.25">
      <c r="B44" s="466" t="s">
        <v>0</v>
      </c>
      <c r="C44" s="467" t="s">
        <v>1</v>
      </c>
      <c r="D44" s="467" t="s">
        <v>1160</v>
      </c>
      <c r="E44" s="467" t="s">
        <v>9</v>
      </c>
      <c r="F44" s="467"/>
      <c r="G44" s="468" t="s">
        <v>5</v>
      </c>
      <c r="H44" s="469" t="s">
        <v>7</v>
      </c>
      <c r="I44" s="422"/>
    </row>
    <row r="45" spans="2:9" ht="13.5" x14ac:dyDescent="0.25">
      <c r="B45" s="470">
        <v>1</v>
      </c>
      <c r="C45" s="480" t="s">
        <v>1162</v>
      </c>
      <c r="D45" s="481"/>
      <c r="E45" s="482"/>
      <c r="F45" s="483"/>
      <c r="G45" s="484">
        <v>18000</v>
      </c>
      <c r="H45" s="474">
        <f>+E45*G45</f>
        <v>0</v>
      </c>
      <c r="I45" s="398"/>
    </row>
    <row r="46" spans="2:9" ht="13.5" x14ac:dyDescent="0.25">
      <c r="B46" s="470">
        <f>+B45+1</f>
        <v>2</v>
      </c>
      <c r="C46" s="480" t="s">
        <v>1163</v>
      </c>
      <c r="D46" s="472"/>
      <c r="E46" s="472"/>
      <c r="F46" s="472"/>
      <c r="G46" s="484">
        <v>22000</v>
      </c>
      <c r="H46" s="474">
        <f>+E46*G46</f>
        <v>0</v>
      </c>
      <c r="I46" s="398"/>
    </row>
    <row r="47" spans="2:9" ht="13.5" x14ac:dyDescent="0.25">
      <c r="B47" s="470">
        <f>+B46+1</f>
        <v>3</v>
      </c>
      <c r="C47" s="485" t="s">
        <v>1119</v>
      </c>
      <c r="D47" s="472"/>
      <c r="E47" s="472"/>
      <c r="F47" s="472"/>
      <c r="G47" s="486">
        <v>12000</v>
      </c>
      <c r="H47" s="474">
        <f>+E47*G47</f>
        <v>0</v>
      </c>
      <c r="I47" s="398"/>
    </row>
    <row r="48" spans="2:9" ht="13.5" x14ac:dyDescent="0.25">
      <c r="B48" s="470">
        <f>+B47+1</f>
        <v>4</v>
      </c>
      <c r="C48" s="485" t="s">
        <v>1120</v>
      </c>
      <c r="D48" s="472"/>
      <c r="E48" s="482"/>
      <c r="F48" s="482"/>
      <c r="G48" s="486">
        <v>55000</v>
      </c>
      <c r="H48" s="474">
        <f>+E48*G48</f>
        <v>0</v>
      </c>
      <c r="I48" s="398"/>
    </row>
    <row r="49" spans="2:10" ht="13.5" x14ac:dyDescent="0.25">
      <c r="B49" s="470">
        <f>+B48+1</f>
        <v>5</v>
      </c>
      <c r="C49" s="485"/>
      <c r="D49" s="472"/>
      <c r="E49" s="487"/>
      <c r="F49" s="487"/>
      <c r="G49" s="486"/>
      <c r="H49" s="474">
        <f>+E49*G49</f>
        <v>0</v>
      </c>
      <c r="I49" s="398"/>
    </row>
    <row r="50" spans="2:10" ht="13.5" x14ac:dyDescent="0.25">
      <c r="B50" s="475"/>
      <c r="C50" s="476" t="s">
        <v>16</v>
      </c>
      <c r="D50" s="477"/>
      <c r="E50" s="477"/>
      <c r="F50" s="477"/>
      <c r="G50" s="478"/>
      <c r="H50" s="479">
        <f>SUM(H45:H49)</f>
        <v>0</v>
      </c>
      <c r="I50" s="422"/>
    </row>
    <row r="51" spans="2:10" x14ac:dyDescent="0.2">
      <c r="B51" s="429"/>
      <c r="C51" s="433" t="s">
        <v>268</v>
      </c>
      <c r="D51" s="430"/>
      <c r="E51" s="430"/>
      <c r="F51" s="430"/>
      <c r="G51" s="431"/>
      <c r="H51" s="432">
        <f>+H22+H35+H28+H42+H50</f>
        <v>14950000</v>
      </c>
      <c r="I51" s="422"/>
    </row>
    <row r="52" spans="2:10" ht="13.5" thickBot="1" x14ac:dyDescent="0.25">
      <c r="B52" s="429"/>
      <c r="C52" s="433"/>
      <c r="D52" s="430"/>
      <c r="E52" s="430"/>
      <c r="F52" s="430"/>
      <c r="G52" s="431"/>
      <c r="H52" s="432"/>
      <c r="I52" s="419"/>
    </row>
    <row r="53" spans="2:10" ht="13.5" thickBot="1" x14ac:dyDescent="0.25">
      <c r="B53" s="500" t="s">
        <v>51</v>
      </c>
      <c r="C53" s="501"/>
      <c r="D53" s="501"/>
      <c r="E53" s="501"/>
      <c r="F53" s="501"/>
      <c r="G53" s="501"/>
      <c r="H53" s="502"/>
    </row>
    <row r="54" spans="2:10" x14ac:dyDescent="0.2">
      <c r="B54" s="408" t="s">
        <v>0</v>
      </c>
      <c r="C54" s="409" t="s">
        <v>1</v>
      </c>
      <c r="D54" s="409" t="s">
        <v>6</v>
      </c>
      <c r="E54" s="409" t="s">
        <v>9</v>
      </c>
      <c r="F54" s="409"/>
      <c r="G54" s="410" t="s">
        <v>5</v>
      </c>
      <c r="H54" s="411" t="s">
        <v>7</v>
      </c>
      <c r="I54" s="412" t="s">
        <v>882</v>
      </c>
    </row>
    <row r="55" spans="2:10" x14ac:dyDescent="0.2">
      <c r="B55" s="420">
        <v>1</v>
      </c>
      <c r="C55" s="296"/>
      <c r="D55" s="295"/>
      <c r="E55" s="294"/>
      <c r="F55" s="304"/>
      <c r="G55" s="305"/>
      <c r="H55" s="421">
        <f>+E55*G55</f>
        <v>0</v>
      </c>
      <c r="I55" s="398"/>
    </row>
    <row r="56" spans="2:10" x14ac:dyDescent="0.2">
      <c r="B56" s="420">
        <f>+B55+1</f>
        <v>2</v>
      </c>
      <c r="C56" s="296"/>
      <c r="D56" s="295"/>
      <c r="E56" s="295"/>
      <c r="F56" s="295"/>
      <c r="G56" s="305"/>
      <c r="H56" s="421">
        <f>+E56*G56</f>
        <v>0</v>
      </c>
      <c r="I56" s="398"/>
      <c r="J56" s="434"/>
    </row>
    <row r="57" spans="2:10" x14ac:dyDescent="0.2">
      <c r="B57" s="420">
        <f>+B56+1</f>
        <v>3</v>
      </c>
      <c r="C57" s="296"/>
      <c r="D57" s="295"/>
      <c r="E57" s="295"/>
      <c r="F57" s="295"/>
      <c r="G57" s="305"/>
      <c r="H57" s="421">
        <f>+E57*G57</f>
        <v>0</v>
      </c>
      <c r="I57" s="398"/>
    </row>
    <row r="58" spans="2:10" x14ac:dyDescent="0.2">
      <c r="B58" s="420">
        <f>+B57+1</f>
        <v>4</v>
      </c>
      <c r="C58" s="296"/>
      <c r="D58" s="295"/>
      <c r="E58" s="294"/>
      <c r="F58" s="294"/>
      <c r="G58" s="305"/>
      <c r="H58" s="421">
        <f>+E58*G58</f>
        <v>0</v>
      </c>
      <c r="I58" s="398"/>
      <c r="J58" s="435"/>
    </row>
    <row r="59" spans="2:10" x14ac:dyDescent="0.2">
      <c r="B59" s="420">
        <f>+B58+1</f>
        <v>5</v>
      </c>
      <c r="C59" s="296"/>
      <c r="D59" s="295"/>
      <c r="E59" s="297"/>
      <c r="F59" s="297"/>
      <c r="G59" s="305"/>
      <c r="H59" s="421">
        <f>+E59*G59</f>
        <v>0</v>
      </c>
      <c r="I59" s="398"/>
    </row>
    <row r="60" spans="2:10" ht="13.5" thickBot="1" x14ac:dyDescent="0.25">
      <c r="B60" s="399"/>
      <c r="C60" s="400" t="s">
        <v>16</v>
      </c>
      <c r="D60" s="401"/>
      <c r="E60" s="401"/>
      <c r="F60" s="401"/>
      <c r="G60" s="402"/>
      <c r="H60" s="403">
        <f>SUM(H55:H59)</f>
        <v>0</v>
      </c>
      <c r="I60" s="419"/>
      <c r="J60" s="435"/>
    </row>
  </sheetData>
  <sheetProtection insertColumns="0" insertRows="0"/>
  <mergeCells count="17">
    <mergeCell ref="B2:H2"/>
    <mergeCell ref="B3:H3"/>
    <mergeCell ref="B4:H4"/>
    <mergeCell ref="B5:H5"/>
    <mergeCell ref="B7:D7"/>
    <mergeCell ref="F8:H8"/>
    <mergeCell ref="B12:H15"/>
    <mergeCell ref="B36:H36"/>
    <mergeCell ref="B43:H43"/>
    <mergeCell ref="B53:H53"/>
    <mergeCell ref="B16:H16"/>
    <mergeCell ref="B9:H9"/>
    <mergeCell ref="B10:H10"/>
    <mergeCell ref="B11:H11"/>
    <mergeCell ref="B29:H29"/>
    <mergeCell ref="B23:H23"/>
    <mergeCell ref="C8:D8"/>
  </mergeCells>
  <dataValidations count="1">
    <dataValidation type="list" allowBlank="1" showInputMessage="1" showErrorMessage="1" sqref="D25:D27" xr:uid="{00000000-0002-0000-0B00-000000000000}">
      <formula1>#REF!</formula1>
    </dataValidation>
  </dataValidation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B00-000002000000}">
          <x14:formula1>
            <xm:f>'2025'!$A$90:$A$91</xm:f>
          </x14:formula1>
          <xm:sqref>C25:C27</xm:sqref>
        </x14:dataValidation>
        <x14:dataValidation type="list" allowBlank="1" showInputMessage="1" showErrorMessage="1" xr:uid="{00000000-0002-0000-0B00-000005000000}">
          <x14:formula1>
            <xm:f>'2025'!$A$92:$A$93</xm:f>
          </x14:formula1>
          <xm:sqref>C31:C34</xm:sqref>
        </x14:dataValidation>
        <x14:dataValidation type="list" allowBlank="1" showInputMessage="1" showErrorMessage="1" xr:uid="{00000000-0002-0000-0B00-000006000000}">
          <x14:formula1>
            <xm:f>'2025'!$A$103:$A$116</xm:f>
          </x14:formula1>
          <xm:sqref>C38:C41</xm:sqref>
        </x14:dataValidation>
        <x14:dataValidation type="list" allowBlank="1" showInputMessage="1" showErrorMessage="1" xr:uid="{00000000-0002-0000-0B00-000004000000}">
          <x14:formula1>
            <xm:f>'2025'!$A$61:$A$84</xm:f>
          </x14:formula1>
          <xm:sqref>C18:C21</xm:sqref>
        </x14:dataValidation>
        <x14:dataValidation type="list" allowBlank="1" showInputMessage="1" showErrorMessage="1" xr:uid="{00000000-0002-0000-0B00-000003000000}">
          <x14:formula1>
            <xm:f>PM!$B$11:$B$29</xm:f>
          </x14:formula1>
          <xm:sqref>I18:I21 I45:I49 I38:I41 I55:I59 I31:I34 I25:I27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B1:O33"/>
  <sheetViews>
    <sheetView workbookViewId="0">
      <selection activeCell="B2" sqref="B2:G4"/>
    </sheetView>
  </sheetViews>
  <sheetFormatPr baseColWidth="10" defaultColWidth="11.42578125" defaultRowHeight="12.75" x14ac:dyDescent="0.2"/>
  <cols>
    <col min="1" max="1" width="2" style="406" customWidth="1"/>
    <col min="2" max="2" width="8.140625" style="406" customWidth="1"/>
    <col min="3" max="3" width="35.28515625" style="406" bestFit="1" customWidth="1"/>
    <col min="4" max="4" width="23" style="406" customWidth="1"/>
    <col min="5" max="5" width="9.85546875" style="406" customWidth="1"/>
    <col min="6" max="6" width="10.85546875" style="406" customWidth="1"/>
    <col min="7" max="7" width="11.140625" style="406" customWidth="1"/>
    <col min="8" max="8" width="17.5703125" style="406" bestFit="1" customWidth="1"/>
    <col min="9" max="16384" width="11.42578125" style="406"/>
  </cols>
  <sheetData>
    <row r="1" spans="2:15" customFormat="1" ht="6" customHeight="1" thickBot="1" x14ac:dyDescent="0.25"/>
    <row r="2" spans="2:15" customFormat="1" x14ac:dyDescent="0.2">
      <c r="B2" s="514" t="s">
        <v>288</v>
      </c>
      <c r="C2" s="515"/>
      <c r="D2" s="515"/>
      <c r="E2" s="515"/>
      <c r="F2" s="515"/>
      <c r="G2" s="516"/>
    </row>
    <row r="3" spans="2:15" customFormat="1" x14ac:dyDescent="0.2">
      <c r="B3" s="517" t="s">
        <v>1219</v>
      </c>
      <c r="C3" s="518"/>
      <c r="D3" s="518"/>
      <c r="E3" s="518"/>
      <c r="F3" s="518"/>
      <c r="G3" s="519"/>
    </row>
    <row r="4" spans="2:15" customFormat="1" ht="13.5" thickBot="1" x14ac:dyDescent="0.25">
      <c r="B4" s="517" t="s">
        <v>1220</v>
      </c>
      <c r="C4" s="518"/>
      <c r="D4" s="518"/>
      <c r="E4" s="518"/>
      <c r="F4" s="518"/>
      <c r="G4" s="519"/>
    </row>
    <row r="5" spans="2:15" customFormat="1" ht="13.5" thickBot="1" x14ac:dyDescent="0.25">
      <c r="B5" s="520"/>
      <c r="C5" s="521"/>
      <c r="D5" s="521"/>
      <c r="E5" s="521"/>
      <c r="F5" s="521"/>
      <c r="G5" s="522"/>
    </row>
    <row r="6" spans="2:15" customFormat="1" ht="12.75" customHeight="1" x14ac:dyDescent="0.2">
      <c r="B6" s="82" t="s">
        <v>53</v>
      </c>
      <c r="C6" s="70"/>
      <c r="D6" s="70"/>
      <c r="E6" s="83" t="s">
        <v>14</v>
      </c>
      <c r="F6" s="80"/>
      <c r="G6" s="81"/>
    </row>
    <row r="7" spans="2:15" customFormat="1" ht="12.75" customHeight="1" x14ac:dyDescent="0.2">
      <c r="B7" s="526">
        <f>+'ESPACIOS FÍSICOS y EQUIP'!B7:D7</f>
        <v>0</v>
      </c>
      <c r="C7" s="527"/>
      <c r="D7" s="527"/>
      <c r="E7" s="85"/>
      <c r="F7" s="235" t="str">
        <f>+'ESPACIOS FÍSICOS y EQUIP'!G7</f>
        <v>AÑO:</v>
      </c>
      <c r="G7" s="84"/>
    </row>
    <row r="8" spans="2:15" customFormat="1" ht="25.5" customHeight="1" x14ac:dyDescent="0.2">
      <c r="B8" s="86" t="s">
        <v>427</v>
      </c>
      <c r="C8" s="528" t="str">
        <f>+'ESPACIOS FÍSICOS y EQUIP'!C8:D8</f>
        <v xml:space="preserve">PLAN DE MEJORAMIENTO </v>
      </c>
      <c r="D8" s="528"/>
      <c r="E8" s="248"/>
      <c r="F8" s="529"/>
      <c r="G8" s="530"/>
    </row>
    <row r="9" spans="2:15" customFormat="1" ht="7.5" customHeight="1" x14ac:dyDescent="0.2">
      <c r="B9" s="523"/>
      <c r="C9" s="524"/>
      <c r="D9" s="524"/>
      <c r="E9" s="524"/>
      <c r="F9" s="524"/>
      <c r="G9" s="525"/>
    </row>
    <row r="10" spans="2:15" customFormat="1" x14ac:dyDescent="0.2">
      <c r="B10" s="508" t="s">
        <v>858</v>
      </c>
      <c r="C10" s="509"/>
      <c r="D10" s="509"/>
      <c r="E10" s="509"/>
      <c r="F10" s="509"/>
      <c r="G10" s="510"/>
    </row>
    <row r="11" spans="2:15" customFormat="1" ht="37.5" customHeight="1" x14ac:dyDescent="0.2">
      <c r="B11" s="586" t="s">
        <v>860</v>
      </c>
      <c r="C11" s="587"/>
      <c r="D11" s="587"/>
      <c r="E11" s="587"/>
      <c r="F11" s="587"/>
      <c r="G11" s="588"/>
    </row>
    <row r="12" spans="2:15" customFormat="1" ht="37.5" customHeight="1" x14ac:dyDescent="0.2">
      <c r="B12" s="589"/>
      <c r="C12" s="590"/>
      <c r="D12" s="590"/>
      <c r="E12" s="590"/>
      <c r="F12" s="590"/>
      <c r="G12" s="591"/>
    </row>
    <row r="13" spans="2:15" customFormat="1" ht="16.5" thickBot="1" x14ac:dyDescent="0.3">
      <c r="B13" s="554" t="s">
        <v>859</v>
      </c>
      <c r="C13" s="555"/>
      <c r="D13" s="555"/>
      <c r="E13" s="555"/>
      <c r="F13" s="555"/>
      <c r="G13" s="556"/>
    </row>
    <row r="14" spans="2:15" customFormat="1" ht="12.75" customHeight="1" x14ac:dyDescent="0.2">
      <c r="B14" s="48" t="s">
        <v>0</v>
      </c>
      <c r="C14" s="49" t="s">
        <v>1</v>
      </c>
      <c r="D14" s="49" t="s">
        <v>716</v>
      </c>
      <c r="E14" s="49" t="s">
        <v>279</v>
      </c>
      <c r="F14" s="50" t="s">
        <v>5</v>
      </c>
      <c r="G14" s="51" t="s">
        <v>7</v>
      </c>
      <c r="H14" s="389" t="s">
        <v>882</v>
      </c>
      <c r="J14" s="292"/>
      <c r="K14" s="292"/>
      <c r="L14" s="292"/>
      <c r="M14" s="292"/>
      <c r="N14" s="292"/>
      <c r="O14" s="292"/>
    </row>
    <row r="15" spans="2:15" x14ac:dyDescent="0.2">
      <c r="B15" s="396">
        <v>1</v>
      </c>
      <c r="C15" s="295"/>
      <c r="D15" s="295"/>
      <c r="E15" s="299"/>
      <c r="F15" s="300">
        <v>0</v>
      </c>
      <c r="G15" s="397">
        <f>(E15*F15)</f>
        <v>0</v>
      </c>
      <c r="H15" s="398"/>
      <c r="I15" s="439"/>
      <c r="J15" s="439"/>
      <c r="K15" s="439"/>
      <c r="L15" s="439"/>
      <c r="M15" s="439"/>
      <c r="N15" s="439"/>
      <c r="O15" s="439"/>
    </row>
    <row r="16" spans="2:15" x14ac:dyDescent="0.2">
      <c r="B16" s="396">
        <f>+B15+1</f>
        <v>2</v>
      </c>
      <c r="C16" s="295"/>
      <c r="D16" s="302"/>
      <c r="E16" s="299"/>
      <c r="F16" s="300">
        <f>IFERROR(VLOOKUP(C16,'2025'!$A$148:$B$161,2,0),0)</f>
        <v>0</v>
      </c>
      <c r="G16" s="397">
        <f t="shared" ref="G16" si="0">(E16*F16)</f>
        <v>0</v>
      </c>
      <c r="H16" s="398"/>
      <c r="I16" s="439"/>
      <c r="J16" s="439"/>
      <c r="K16" s="439"/>
      <c r="L16" s="439"/>
      <c r="M16" s="439"/>
      <c r="N16" s="439"/>
      <c r="O16" s="439"/>
    </row>
    <row r="17" spans="2:15" x14ac:dyDescent="0.2">
      <c r="B17" s="396">
        <f t="shared" ref="B17:B32" si="1">+B16+1</f>
        <v>3</v>
      </c>
      <c r="C17" s="295"/>
      <c r="D17" s="302"/>
      <c r="E17" s="299"/>
      <c r="F17" s="300">
        <f>IFERROR(VLOOKUP(C17,'2025'!$A$148:$B$161,2,0),0)</f>
        <v>0</v>
      </c>
      <c r="G17" s="397">
        <f t="shared" ref="G17:G32" si="2">(E17*F17)</f>
        <v>0</v>
      </c>
      <c r="H17" s="398"/>
      <c r="I17" s="439"/>
      <c r="J17" s="439"/>
      <c r="K17" s="439"/>
      <c r="L17" s="439"/>
      <c r="M17" s="439"/>
      <c r="N17" s="439"/>
      <c r="O17" s="439"/>
    </row>
    <row r="18" spans="2:15" x14ac:dyDescent="0.2">
      <c r="B18" s="396">
        <f t="shared" si="1"/>
        <v>4</v>
      </c>
      <c r="C18" s="295"/>
      <c r="D18" s="302"/>
      <c r="E18" s="299"/>
      <c r="F18" s="300">
        <f>IFERROR(VLOOKUP(C18,'2025'!$A$148:$B$161,2,0),0)</f>
        <v>0</v>
      </c>
      <c r="G18" s="397">
        <f t="shared" si="2"/>
        <v>0</v>
      </c>
      <c r="H18" s="398"/>
      <c r="I18" s="439"/>
      <c r="J18" s="439"/>
      <c r="K18" s="439"/>
      <c r="L18" s="439"/>
      <c r="M18" s="439"/>
      <c r="N18" s="439"/>
      <c r="O18" s="439"/>
    </row>
    <row r="19" spans="2:15" x14ac:dyDescent="0.2">
      <c r="B19" s="396">
        <f t="shared" si="1"/>
        <v>5</v>
      </c>
      <c r="C19" s="295"/>
      <c r="D19" s="302"/>
      <c r="E19" s="299"/>
      <c r="F19" s="300">
        <f>IFERROR(VLOOKUP(C19,'2025'!$A$148:$B$161,2,0),0)</f>
        <v>0</v>
      </c>
      <c r="G19" s="397">
        <f t="shared" si="2"/>
        <v>0</v>
      </c>
      <c r="H19" s="398"/>
      <c r="I19" s="439"/>
      <c r="J19" s="439"/>
      <c r="K19" s="439"/>
      <c r="L19" s="439"/>
      <c r="M19" s="439"/>
      <c r="N19" s="439"/>
      <c r="O19" s="439"/>
    </row>
    <row r="20" spans="2:15" x14ac:dyDescent="0.2">
      <c r="B20" s="396">
        <f t="shared" si="1"/>
        <v>6</v>
      </c>
      <c r="C20" s="295"/>
      <c r="D20" s="302"/>
      <c r="E20" s="299"/>
      <c r="F20" s="300">
        <f>IFERROR(VLOOKUP(C20,'2025'!$A$148:$B$161,2,0),0)</f>
        <v>0</v>
      </c>
      <c r="G20" s="397">
        <f t="shared" si="2"/>
        <v>0</v>
      </c>
      <c r="H20" s="398"/>
      <c r="I20" s="439"/>
      <c r="J20" s="439"/>
      <c r="K20" s="439"/>
      <c r="L20" s="439"/>
      <c r="M20" s="439"/>
      <c r="N20" s="439"/>
      <c r="O20" s="439"/>
    </row>
    <row r="21" spans="2:15" x14ac:dyDescent="0.2">
      <c r="B21" s="396">
        <f t="shared" si="1"/>
        <v>7</v>
      </c>
      <c r="C21" s="295"/>
      <c r="D21" s="302"/>
      <c r="E21" s="299"/>
      <c r="F21" s="300">
        <f>IFERROR(VLOOKUP(C21,'2025'!$A$148:$B$161,2,0),0)</f>
        <v>0</v>
      </c>
      <c r="G21" s="397">
        <f t="shared" si="2"/>
        <v>0</v>
      </c>
      <c r="H21" s="398"/>
      <c r="I21" s="439"/>
      <c r="J21" s="439"/>
      <c r="K21" s="439"/>
      <c r="L21" s="439"/>
      <c r="M21" s="439"/>
      <c r="N21" s="439"/>
      <c r="O21" s="439"/>
    </row>
    <row r="22" spans="2:15" x14ac:dyDescent="0.2">
      <c r="B22" s="396">
        <f t="shared" si="1"/>
        <v>8</v>
      </c>
      <c r="C22" s="295"/>
      <c r="D22" s="302"/>
      <c r="E22" s="299"/>
      <c r="F22" s="300">
        <f>IFERROR(VLOOKUP(C22,'2025'!$A$148:$B$161,2,0),0)</f>
        <v>0</v>
      </c>
      <c r="G22" s="397">
        <f t="shared" si="2"/>
        <v>0</v>
      </c>
      <c r="H22" s="398"/>
      <c r="I22" s="439"/>
      <c r="J22" s="439"/>
      <c r="K22" s="439"/>
      <c r="L22" s="439"/>
      <c r="M22" s="439"/>
      <c r="N22" s="439"/>
      <c r="O22" s="439"/>
    </row>
    <row r="23" spans="2:15" x14ac:dyDescent="0.2">
      <c r="B23" s="396">
        <f t="shared" si="1"/>
        <v>9</v>
      </c>
      <c r="C23" s="295"/>
      <c r="D23" s="302"/>
      <c r="E23" s="299"/>
      <c r="F23" s="300">
        <f>IFERROR(VLOOKUP(C23,'2025'!$A$148:$B$161,2,0),0)</f>
        <v>0</v>
      </c>
      <c r="G23" s="397">
        <f t="shared" si="2"/>
        <v>0</v>
      </c>
      <c r="H23" s="398"/>
      <c r="I23" s="439"/>
      <c r="J23" s="439"/>
      <c r="K23" s="439"/>
      <c r="L23" s="439"/>
      <c r="M23" s="439"/>
      <c r="N23" s="439"/>
      <c r="O23" s="439"/>
    </row>
    <row r="24" spans="2:15" x14ac:dyDescent="0.2">
      <c r="B24" s="396">
        <f t="shared" si="1"/>
        <v>10</v>
      </c>
      <c r="C24" s="295"/>
      <c r="D24" s="302"/>
      <c r="E24" s="299"/>
      <c r="F24" s="300">
        <f>IFERROR(VLOOKUP(C24,'2025'!$A$148:$B$161,2,0),0)</f>
        <v>0</v>
      </c>
      <c r="G24" s="397">
        <f t="shared" si="2"/>
        <v>0</v>
      </c>
      <c r="H24" s="398"/>
      <c r="I24" s="439"/>
      <c r="J24" s="439"/>
      <c r="K24" s="439"/>
      <c r="L24" s="439"/>
      <c r="M24" s="439"/>
      <c r="N24" s="439"/>
      <c r="O24" s="439"/>
    </row>
    <row r="25" spans="2:15" x14ac:dyDescent="0.2">
      <c r="B25" s="396">
        <f t="shared" si="1"/>
        <v>11</v>
      </c>
      <c r="C25" s="295"/>
      <c r="D25" s="302"/>
      <c r="E25" s="299"/>
      <c r="F25" s="300">
        <f>IFERROR(VLOOKUP(C25,'2025'!$A$148:$B$161,2,0),0)</f>
        <v>0</v>
      </c>
      <c r="G25" s="397">
        <f t="shared" si="2"/>
        <v>0</v>
      </c>
      <c r="H25" s="398"/>
      <c r="I25" s="439"/>
      <c r="J25" s="439"/>
      <c r="K25" s="439"/>
      <c r="L25" s="439"/>
      <c r="M25" s="439"/>
      <c r="N25" s="439"/>
      <c r="O25" s="439"/>
    </row>
    <row r="26" spans="2:15" x14ac:dyDescent="0.2">
      <c r="B26" s="396">
        <f t="shared" si="1"/>
        <v>12</v>
      </c>
      <c r="C26" s="295"/>
      <c r="D26" s="302"/>
      <c r="E26" s="299"/>
      <c r="F26" s="300">
        <f>IFERROR(VLOOKUP(C26,'2025'!$A$148:$B$161,2,0),0)</f>
        <v>0</v>
      </c>
      <c r="G26" s="397">
        <f t="shared" si="2"/>
        <v>0</v>
      </c>
      <c r="H26" s="398"/>
      <c r="I26" s="439"/>
      <c r="J26" s="439"/>
      <c r="K26" s="439"/>
      <c r="L26" s="439"/>
      <c r="M26" s="439"/>
      <c r="N26" s="439"/>
      <c r="O26" s="439"/>
    </row>
    <row r="27" spans="2:15" x14ac:dyDescent="0.2">
      <c r="B27" s="396">
        <f t="shared" si="1"/>
        <v>13</v>
      </c>
      <c r="C27" s="295"/>
      <c r="D27" s="302"/>
      <c r="E27" s="299"/>
      <c r="F27" s="300">
        <f>IFERROR(VLOOKUP(C27,'2025'!$A$148:$B$161,2,0),0)</f>
        <v>0</v>
      </c>
      <c r="G27" s="397">
        <f t="shared" si="2"/>
        <v>0</v>
      </c>
      <c r="H27" s="398"/>
      <c r="I27" s="439"/>
      <c r="J27" s="439"/>
      <c r="K27" s="439"/>
      <c r="L27" s="439"/>
      <c r="M27" s="439"/>
      <c r="N27" s="439"/>
      <c r="O27" s="439"/>
    </row>
    <row r="28" spans="2:15" x14ac:dyDescent="0.2">
      <c r="B28" s="396">
        <f t="shared" si="1"/>
        <v>14</v>
      </c>
      <c r="C28" s="295"/>
      <c r="D28" s="302"/>
      <c r="E28" s="299"/>
      <c r="F28" s="300">
        <f>IFERROR(VLOOKUP(C28,'2025'!$A$148:$B$161,2,0),0)</f>
        <v>0</v>
      </c>
      <c r="G28" s="397">
        <f t="shared" si="2"/>
        <v>0</v>
      </c>
      <c r="H28" s="398"/>
      <c r="I28" s="439"/>
      <c r="J28" s="439"/>
      <c r="K28" s="439"/>
      <c r="L28" s="439"/>
      <c r="M28" s="439"/>
      <c r="N28" s="439"/>
      <c r="O28" s="439"/>
    </row>
    <row r="29" spans="2:15" x14ac:dyDescent="0.2">
      <c r="B29" s="396">
        <f t="shared" si="1"/>
        <v>15</v>
      </c>
      <c r="C29" s="295"/>
      <c r="D29" s="302"/>
      <c r="E29" s="299"/>
      <c r="F29" s="300">
        <f>IFERROR(VLOOKUP(C29,'2025'!$A$148:$B$161,2,0),0)</f>
        <v>0</v>
      </c>
      <c r="G29" s="397">
        <f t="shared" si="2"/>
        <v>0</v>
      </c>
      <c r="H29" s="398"/>
      <c r="I29" s="439"/>
      <c r="J29" s="439"/>
      <c r="K29" s="439"/>
      <c r="L29" s="439"/>
      <c r="M29" s="439"/>
      <c r="N29" s="439"/>
      <c r="O29" s="439"/>
    </row>
    <row r="30" spans="2:15" x14ac:dyDescent="0.2">
      <c r="B30" s="396">
        <f t="shared" si="1"/>
        <v>16</v>
      </c>
      <c r="C30" s="295"/>
      <c r="D30" s="302"/>
      <c r="E30" s="299"/>
      <c r="F30" s="300">
        <f>IFERROR(VLOOKUP(C30,'2025'!$A$148:$B$161,2,0),0)</f>
        <v>0</v>
      </c>
      <c r="G30" s="397">
        <f t="shared" si="2"/>
        <v>0</v>
      </c>
      <c r="H30" s="398"/>
      <c r="I30" s="439"/>
      <c r="J30" s="439"/>
      <c r="K30" s="439"/>
      <c r="L30" s="439"/>
      <c r="M30" s="439"/>
      <c r="N30" s="439"/>
      <c r="O30" s="439"/>
    </row>
    <row r="31" spans="2:15" x14ac:dyDescent="0.2">
      <c r="B31" s="396">
        <f t="shared" si="1"/>
        <v>17</v>
      </c>
      <c r="C31" s="295"/>
      <c r="D31" s="302"/>
      <c r="E31" s="299"/>
      <c r="F31" s="300">
        <f>IFERROR(VLOOKUP(C31,'2025'!$A$148:$B$161,2,0),0)</f>
        <v>0</v>
      </c>
      <c r="G31" s="397">
        <f t="shared" si="2"/>
        <v>0</v>
      </c>
      <c r="H31" s="398"/>
      <c r="I31" s="439"/>
      <c r="J31" s="439"/>
      <c r="K31" s="439"/>
      <c r="L31" s="439"/>
      <c r="M31" s="439"/>
      <c r="N31" s="439"/>
      <c r="O31" s="439"/>
    </row>
    <row r="32" spans="2:15" x14ac:dyDescent="0.2">
      <c r="B32" s="396">
        <f t="shared" si="1"/>
        <v>18</v>
      </c>
      <c r="C32" s="295"/>
      <c r="D32" s="302"/>
      <c r="E32" s="299"/>
      <c r="F32" s="300">
        <f>IFERROR(VLOOKUP(C32,'2025'!$A$148:$B$161,2,0),0)</f>
        <v>0</v>
      </c>
      <c r="G32" s="397">
        <f t="shared" si="2"/>
        <v>0</v>
      </c>
      <c r="H32" s="398"/>
      <c r="I32" s="439"/>
      <c r="J32" s="439"/>
      <c r="K32" s="439"/>
      <c r="L32" s="439"/>
      <c r="M32" s="439"/>
      <c r="N32" s="439"/>
      <c r="O32" s="439"/>
    </row>
    <row r="33" spans="2:15" ht="13.5" thickBot="1" x14ac:dyDescent="0.25">
      <c r="B33" s="399"/>
      <c r="C33" s="400" t="s">
        <v>16</v>
      </c>
      <c r="D33" s="401"/>
      <c r="E33" s="401"/>
      <c r="F33" s="402"/>
      <c r="G33" s="403">
        <f>SUM(G15:G32)</f>
        <v>0</v>
      </c>
      <c r="H33" s="419"/>
      <c r="I33" s="439"/>
      <c r="J33" s="439"/>
      <c r="K33" s="439"/>
      <c r="L33" s="439"/>
      <c r="M33" s="439"/>
      <c r="N33" s="439"/>
      <c r="O33" s="439"/>
    </row>
  </sheetData>
  <sheetProtection insertRows="0"/>
  <mergeCells count="11">
    <mergeCell ref="B11:G12"/>
    <mergeCell ref="B13:G13"/>
    <mergeCell ref="B9:G9"/>
    <mergeCell ref="B10:G10"/>
    <mergeCell ref="B2:G2"/>
    <mergeCell ref="B3:G3"/>
    <mergeCell ref="B4:G4"/>
    <mergeCell ref="B5:G5"/>
    <mergeCell ref="B7:D7"/>
    <mergeCell ref="C8:D8"/>
    <mergeCell ref="F8:G8"/>
  </mergeCells>
  <pageMargins left="0.70866141732283472" right="0.70866141732283472" top="0.35433070866141736" bottom="0.35433070866141736" header="0.31496062992125984" footer="0.31496062992125984"/>
  <pageSetup scale="90"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C00-000000000000}">
          <x14:formula1>
            <xm:f>PM!$B$11:$B$29</xm:f>
          </x14:formula1>
          <xm:sqref>H15:H32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B1:M193"/>
  <sheetViews>
    <sheetView workbookViewId="0">
      <selection activeCell="E37" sqref="E37:E40"/>
    </sheetView>
  </sheetViews>
  <sheetFormatPr baseColWidth="10" defaultColWidth="11.42578125" defaultRowHeight="12" x14ac:dyDescent="0.2"/>
  <cols>
    <col min="1" max="1" width="5.28515625" style="1" customWidth="1"/>
    <col min="2" max="2" width="4" style="1" customWidth="1"/>
    <col min="3" max="3" width="5.42578125" style="1" customWidth="1"/>
    <col min="4" max="4" width="56.7109375" style="1" customWidth="1"/>
    <col min="5" max="5" width="5.85546875" style="1" customWidth="1"/>
    <col min="6" max="6" width="3.28515625" style="1" customWidth="1"/>
    <col min="7" max="7" width="4.85546875" style="1" customWidth="1"/>
    <col min="8" max="8" width="12.42578125" style="1" customWidth="1"/>
    <col min="9" max="9" width="8" style="1" customWidth="1"/>
    <col min="10" max="16384" width="11.42578125" style="1"/>
  </cols>
  <sheetData>
    <row r="1" spans="2:13" x14ac:dyDescent="0.2">
      <c r="B1" s="518" t="s">
        <v>288</v>
      </c>
      <c r="C1" s="518"/>
      <c r="D1" s="518"/>
      <c r="E1" s="518"/>
      <c r="F1" s="518"/>
      <c r="G1" s="518"/>
      <c r="H1" s="518"/>
    </row>
    <row r="2" spans="2:13" x14ac:dyDescent="0.2">
      <c r="B2" s="518" t="s">
        <v>1221</v>
      </c>
      <c r="C2" s="518"/>
      <c r="D2" s="518"/>
      <c r="E2" s="518"/>
      <c r="F2" s="518"/>
      <c r="G2" s="518"/>
      <c r="H2" s="518"/>
    </row>
    <row r="3" spans="2:13" x14ac:dyDescent="0.2">
      <c r="B3" s="518" t="s">
        <v>1222</v>
      </c>
      <c r="C3" s="518"/>
      <c r="D3" s="518"/>
      <c r="E3" s="518"/>
      <c r="F3" s="518"/>
      <c r="G3" s="518"/>
      <c r="H3" s="518"/>
    </row>
    <row r="4" spans="2:13" x14ac:dyDescent="0.2">
      <c r="B4" s="596"/>
      <c r="C4" s="596"/>
      <c r="D4" s="596"/>
      <c r="E4" s="596"/>
      <c r="F4" s="596"/>
      <c r="G4" s="596"/>
      <c r="H4" s="596"/>
    </row>
    <row r="5" spans="2:13" ht="14.25" customHeight="1" x14ac:dyDescent="0.2">
      <c r="B5" s="228" t="s">
        <v>50</v>
      </c>
      <c r="C5" s="229"/>
      <c r="D5" s="229"/>
      <c r="E5" s="227" t="s">
        <v>14</v>
      </c>
      <c r="F5" s="71"/>
      <c r="G5" s="71"/>
      <c r="H5" s="71"/>
    </row>
    <row r="6" spans="2:13" ht="14.25" customHeight="1" x14ac:dyDescent="0.2">
      <c r="B6" s="73">
        <f>+DIVERSOS!B7</f>
        <v>0</v>
      </c>
      <c r="C6" s="72"/>
      <c r="D6" s="72"/>
      <c r="E6" s="227" t="s">
        <v>276</v>
      </c>
      <c r="F6" s="227"/>
      <c r="G6" s="227"/>
      <c r="H6" s="71"/>
    </row>
    <row r="7" spans="2:13" ht="22.5" customHeight="1" x14ac:dyDescent="0.2">
      <c r="B7" s="597"/>
      <c r="C7" s="597"/>
      <c r="D7" s="288"/>
      <c r="E7" s="391" t="str">
        <f>+DIVERSOS!F7</f>
        <v>AÑO:</v>
      </c>
      <c r="F7" s="392"/>
      <c r="G7" s="392"/>
      <c r="H7" s="392"/>
    </row>
    <row r="8" spans="2:13" ht="25.5" customHeight="1" x14ac:dyDescent="0.2">
      <c r="B8" s="592" t="s">
        <v>872</v>
      </c>
      <c r="C8" s="592"/>
      <c r="D8" s="437" t="e">
        <f>VLOOKUP(H8,PM!$B$11:$H$29,8,0)</f>
        <v>#N/A</v>
      </c>
      <c r="E8" s="593" t="s">
        <v>882</v>
      </c>
      <c r="F8" s="593"/>
      <c r="G8" s="437"/>
      <c r="H8" s="437" t="s">
        <v>883</v>
      </c>
    </row>
    <row r="9" spans="2:13" ht="6.75" customHeight="1" thickBot="1" x14ac:dyDescent="0.25">
      <c r="B9" s="3"/>
      <c r="C9" s="3"/>
      <c r="D9" s="3"/>
      <c r="E9" s="3"/>
      <c r="F9" s="3"/>
      <c r="G9" s="4"/>
      <c r="H9" s="4"/>
    </row>
    <row r="10" spans="2:13" ht="17.25" customHeight="1" x14ac:dyDescent="0.25">
      <c r="B10" s="13" t="s">
        <v>0</v>
      </c>
      <c r="C10" s="13"/>
      <c r="D10" s="74" t="s">
        <v>1</v>
      </c>
      <c r="E10" s="594" t="s">
        <v>52</v>
      </c>
      <c r="F10" s="594"/>
      <c r="G10" s="595" t="s">
        <v>7</v>
      </c>
      <c r="H10" s="595"/>
      <c r="J10" s="598"/>
      <c r="K10" s="599"/>
      <c r="L10" s="599"/>
      <c r="M10" s="600"/>
    </row>
    <row r="11" spans="2:13" ht="12.75" customHeight="1" x14ac:dyDescent="0.2">
      <c r="B11" s="14">
        <v>1</v>
      </c>
      <c r="C11" s="14">
        <v>22</v>
      </c>
      <c r="D11" s="77" t="s">
        <v>852</v>
      </c>
      <c r="E11" s="601"/>
      <c r="F11" s="601"/>
      <c r="G11" s="602"/>
      <c r="H11" s="602"/>
    </row>
    <row r="12" spans="2:13" ht="12.75" customHeight="1" x14ac:dyDescent="0.2">
      <c r="B12" s="14">
        <f t="shared" ref="B12:B28" si="0">+B11+1</f>
        <v>2</v>
      </c>
      <c r="C12" s="14">
        <v>221</v>
      </c>
      <c r="D12" s="75" t="s">
        <v>256</v>
      </c>
      <c r="E12" s="601"/>
      <c r="F12" s="601"/>
      <c r="G12" s="602">
        <f>SUMIF(PERSONAL!H17:H41,'Presupuesto x Objetivo'!$H$8,PERSONAL!G17:G41)</f>
        <v>0</v>
      </c>
      <c r="H12" s="602"/>
    </row>
    <row r="13" spans="2:13" ht="12.75" customHeight="1" x14ac:dyDescent="0.2">
      <c r="B13" s="14">
        <f t="shared" si="0"/>
        <v>3</v>
      </c>
      <c r="C13" s="14">
        <v>222</v>
      </c>
      <c r="D13" s="75" t="s">
        <v>11</v>
      </c>
      <c r="E13" s="603"/>
      <c r="F13" s="603"/>
      <c r="G13" s="602">
        <f>SUMIF(PERSONAL!H46:H58,'Presupuesto x Objetivo'!$H$8,PERSONAL!G46:G58)</f>
        <v>0</v>
      </c>
      <c r="H13" s="602"/>
    </row>
    <row r="14" spans="2:13" ht="12.75" customHeight="1" x14ac:dyDescent="0.2">
      <c r="B14" s="14">
        <f t="shared" si="0"/>
        <v>4</v>
      </c>
      <c r="C14" s="14">
        <v>223</v>
      </c>
      <c r="D14" s="75" t="s">
        <v>873</v>
      </c>
      <c r="E14" s="601"/>
      <c r="F14" s="601"/>
      <c r="G14" s="602">
        <f>SUMIF(PERSONAL!H64:H80,'Presupuesto x Objetivo'!$H$8,PERSONAL!G64:G80)</f>
        <v>0</v>
      </c>
      <c r="H14" s="602"/>
    </row>
    <row r="15" spans="2:13" ht="12.75" customHeight="1" x14ac:dyDescent="0.2">
      <c r="B15" s="14">
        <f t="shared" si="0"/>
        <v>5</v>
      </c>
      <c r="C15" s="14">
        <v>224</v>
      </c>
      <c r="D15" s="75" t="s">
        <v>854</v>
      </c>
      <c r="E15" s="601"/>
      <c r="F15" s="601"/>
      <c r="G15" s="602">
        <f>SUMIF(PERSONAL!H90:H104,'Presupuesto x Objetivo'!$H$8,PERSONAL!G90:G104)</f>
        <v>0</v>
      </c>
      <c r="H15" s="602"/>
    </row>
    <row r="16" spans="2:13" ht="12.75" customHeight="1" x14ac:dyDescent="0.2">
      <c r="B16" s="79">
        <f>+B15+1</f>
        <v>6</v>
      </c>
      <c r="C16" s="230"/>
      <c r="D16" s="231" t="s">
        <v>8</v>
      </c>
      <c r="E16" s="604"/>
      <c r="F16" s="604"/>
      <c r="G16" s="605">
        <f>SUM(G12:H15)</f>
        <v>0</v>
      </c>
      <c r="H16" s="605"/>
    </row>
    <row r="17" spans="2:11" ht="12.75" customHeight="1" x14ac:dyDescent="0.2">
      <c r="B17" s="79">
        <f t="shared" si="0"/>
        <v>7</v>
      </c>
      <c r="C17" s="232"/>
      <c r="D17" s="218" t="s">
        <v>269</v>
      </c>
      <c r="E17" s="604"/>
      <c r="F17" s="604"/>
      <c r="G17" s="605">
        <f>+G16</f>
        <v>0</v>
      </c>
      <c r="H17" s="605"/>
    </row>
    <row r="18" spans="2:11" ht="12.75" customHeight="1" x14ac:dyDescent="0.2">
      <c r="B18" s="14">
        <f t="shared" si="0"/>
        <v>8</v>
      </c>
      <c r="C18" s="14">
        <v>23</v>
      </c>
      <c r="D18" s="75" t="s">
        <v>853</v>
      </c>
      <c r="E18" s="601"/>
      <c r="F18" s="601"/>
      <c r="G18" s="602">
        <f>SUMIF('ADQUISICIÓN DE ACTIVOS'!H:H,'Presupuesto x Objetivo'!$H$8,'ADQUISICIÓN DE ACTIVOS'!G:G)</f>
        <v>0</v>
      </c>
      <c r="H18" s="602"/>
    </row>
    <row r="19" spans="2:11" ht="12.75" customHeight="1" x14ac:dyDescent="0.2">
      <c r="B19" s="14">
        <f t="shared" si="0"/>
        <v>9</v>
      </c>
      <c r="C19" s="14">
        <v>231</v>
      </c>
      <c r="D19" s="76" t="s">
        <v>259</v>
      </c>
      <c r="E19" s="601"/>
      <c r="F19" s="601"/>
      <c r="G19" s="602">
        <f>SUMIF(PUBLICIDAD!H:H,'Presupuesto x Objetivo'!$H$8,PUBLICIDAD!G:G)</f>
        <v>0</v>
      </c>
      <c r="H19" s="602"/>
    </row>
    <row r="20" spans="2:11" ht="12.75" customHeight="1" x14ac:dyDescent="0.2">
      <c r="B20" s="14">
        <f t="shared" si="0"/>
        <v>10</v>
      </c>
      <c r="C20" s="14">
        <v>232</v>
      </c>
      <c r="D20" s="76" t="s">
        <v>719</v>
      </c>
      <c r="E20" s="601"/>
      <c r="F20" s="601"/>
      <c r="G20" s="602">
        <f>SUMIF('ÚTILES Y PAPELERÍA'!H:H,'Presupuesto x Objetivo'!$H$8,'ÚTILES Y PAPELERÍA'!G:G)</f>
        <v>0</v>
      </c>
      <c r="H20" s="602"/>
    </row>
    <row r="21" spans="2:11" ht="12.75" customHeight="1" x14ac:dyDescent="0.2">
      <c r="B21" s="14">
        <f t="shared" si="0"/>
        <v>11</v>
      </c>
      <c r="C21" s="14">
        <v>238</v>
      </c>
      <c r="D21" s="75" t="s">
        <v>258</v>
      </c>
      <c r="E21" s="601"/>
      <c r="F21" s="601"/>
      <c r="G21" s="602">
        <f>SUMIF(DIVERSOS!H:H,'Presupuesto x Objetivo'!$H$8,DIVERSOS!G:G)</f>
        <v>0</v>
      </c>
      <c r="H21" s="602"/>
    </row>
    <row r="22" spans="2:11" ht="12.75" customHeight="1" x14ac:dyDescent="0.2">
      <c r="B22" s="79">
        <f t="shared" si="0"/>
        <v>12</v>
      </c>
      <c r="C22" s="230"/>
      <c r="D22" s="231" t="s">
        <v>270</v>
      </c>
      <c r="E22" s="604"/>
      <c r="F22" s="604"/>
      <c r="G22" s="605">
        <f>SUM(G18:H21)</f>
        <v>0</v>
      </c>
      <c r="H22" s="605"/>
    </row>
    <row r="23" spans="2:11" ht="12.75" customHeight="1" x14ac:dyDescent="0.2">
      <c r="B23" s="14">
        <f t="shared" si="0"/>
        <v>13</v>
      </c>
      <c r="C23" s="14">
        <v>24</v>
      </c>
      <c r="D23" s="75" t="s">
        <v>2</v>
      </c>
      <c r="E23" s="601"/>
      <c r="F23" s="601"/>
      <c r="G23" s="606">
        <v>0</v>
      </c>
      <c r="H23" s="606"/>
    </row>
    <row r="24" spans="2:11" ht="12.75" customHeight="1" x14ac:dyDescent="0.2">
      <c r="B24" s="14">
        <f t="shared" si="0"/>
        <v>14</v>
      </c>
      <c r="C24" s="14">
        <v>241</v>
      </c>
      <c r="D24" s="76" t="s">
        <v>17</v>
      </c>
      <c r="E24" s="601"/>
      <c r="F24" s="601"/>
      <c r="G24" s="602">
        <f>SUMIF('ESPACIOS FÍSICOS y EQUIP'!I:I,'Presupuesto x Objetivo'!$H$8,'ESPACIOS FÍSICOS y EQUIP'!H:H)</f>
        <v>0</v>
      </c>
      <c r="H24" s="602"/>
    </row>
    <row r="25" spans="2:11" ht="12.75" customHeight="1" x14ac:dyDescent="0.2">
      <c r="B25" s="79">
        <f>+B24+1</f>
        <v>15</v>
      </c>
      <c r="C25" s="230"/>
      <c r="D25" s="231" t="s">
        <v>271</v>
      </c>
      <c r="E25" s="604"/>
      <c r="F25" s="604"/>
      <c r="G25" s="605">
        <f>+G24</f>
        <v>0</v>
      </c>
      <c r="H25" s="605"/>
      <c r="I25" s="52"/>
      <c r="J25" s="52"/>
      <c r="K25" s="52"/>
    </row>
    <row r="26" spans="2:11" ht="12.75" customHeight="1" x14ac:dyDescent="0.2">
      <c r="B26" s="79">
        <f t="shared" si="0"/>
        <v>16</v>
      </c>
      <c r="C26" s="232"/>
      <c r="D26" s="231" t="s">
        <v>272</v>
      </c>
      <c r="E26" s="604"/>
      <c r="F26" s="604"/>
      <c r="G26" s="605">
        <f>+G17+G22</f>
        <v>0</v>
      </c>
      <c r="H26" s="605"/>
      <c r="I26" s="52"/>
      <c r="J26" s="52"/>
      <c r="K26" s="52"/>
    </row>
    <row r="27" spans="2:11" ht="12.75" customHeight="1" x14ac:dyDescent="0.2">
      <c r="B27" s="14">
        <f t="shared" si="0"/>
        <v>17</v>
      </c>
      <c r="C27" s="15"/>
      <c r="D27" s="76" t="s">
        <v>273</v>
      </c>
      <c r="E27" s="601"/>
      <c r="F27" s="601"/>
      <c r="G27" s="602">
        <f>+G26*0.05</f>
        <v>0</v>
      </c>
      <c r="H27" s="602"/>
      <c r="I27" s="4"/>
      <c r="J27" s="52"/>
      <c r="K27" s="52"/>
    </row>
    <row r="28" spans="2:11" ht="12.75" customHeight="1" x14ac:dyDescent="0.2">
      <c r="B28" s="79">
        <f t="shared" si="0"/>
        <v>18</v>
      </c>
      <c r="C28" s="232"/>
      <c r="D28" s="218" t="s">
        <v>274</v>
      </c>
      <c r="E28" s="604"/>
      <c r="F28" s="604"/>
      <c r="G28" s="605">
        <f>+G27+G26</f>
        <v>0</v>
      </c>
      <c r="H28" s="605"/>
      <c r="I28" s="7"/>
      <c r="J28" s="52"/>
      <c r="K28" s="52"/>
    </row>
    <row r="29" spans="2:11" ht="12.75" customHeight="1" x14ac:dyDescent="0.2">
      <c r="B29" s="14">
        <f>+B28+1</f>
        <v>19</v>
      </c>
      <c r="C29" s="16"/>
      <c r="D29" s="78" t="s">
        <v>15</v>
      </c>
      <c r="E29" s="601"/>
      <c r="F29" s="601"/>
      <c r="G29" s="607">
        <f>+G28</f>
        <v>0</v>
      </c>
      <c r="H29" s="608"/>
      <c r="J29" s="53"/>
      <c r="K29" s="52"/>
    </row>
    <row r="30" spans="2:11" x14ac:dyDescent="0.2">
      <c r="B30" s="609" t="s">
        <v>3</v>
      </c>
      <c r="C30" s="610"/>
      <c r="D30" s="610"/>
      <c r="E30" s="4"/>
      <c r="F30" s="4"/>
      <c r="G30" s="4"/>
      <c r="H30" s="18"/>
      <c r="J30" s="54"/>
      <c r="K30" s="52"/>
    </row>
    <row r="31" spans="2:11" ht="17.25" customHeight="1" x14ac:dyDescent="0.2">
      <c r="B31" s="17"/>
      <c r="C31" s="4"/>
      <c r="D31" s="4"/>
      <c r="E31" s="4"/>
      <c r="F31" s="4"/>
      <c r="G31" s="4"/>
      <c r="H31" s="18"/>
      <c r="I31" s="4"/>
      <c r="J31" s="55"/>
      <c r="K31" s="52"/>
    </row>
    <row r="32" spans="2:11" x14ac:dyDescent="0.2">
      <c r="B32" s="17"/>
      <c r="C32" s="4"/>
      <c r="D32" s="4"/>
      <c r="E32" s="4"/>
      <c r="F32" s="4"/>
      <c r="G32" s="4"/>
      <c r="H32" s="18"/>
    </row>
    <row r="33" spans="2:8" ht="10.5" customHeight="1" x14ac:dyDescent="0.2">
      <c r="B33" s="17"/>
      <c r="C33" s="4"/>
      <c r="D33" s="4"/>
      <c r="E33" s="4" t="s">
        <v>13</v>
      </c>
      <c r="F33" s="4"/>
      <c r="G33" s="4"/>
      <c r="H33" s="18"/>
    </row>
    <row r="34" spans="2:8" x14ac:dyDescent="0.2">
      <c r="B34" s="17" t="s">
        <v>4</v>
      </c>
      <c r="C34" s="4"/>
      <c r="D34" s="4"/>
      <c r="E34" s="4"/>
      <c r="F34" s="4"/>
      <c r="G34" s="4"/>
      <c r="H34" s="18"/>
    </row>
    <row r="35" spans="2:8" x14ac:dyDescent="0.2">
      <c r="B35" s="17"/>
      <c r="C35" s="4"/>
      <c r="D35" s="4"/>
      <c r="E35" s="4"/>
      <c r="F35" s="4"/>
      <c r="G35" s="4"/>
      <c r="H35" s="18"/>
    </row>
    <row r="36" spans="2:8" x14ac:dyDescent="0.2">
      <c r="B36" s="17"/>
      <c r="C36" s="4"/>
      <c r="D36" s="4"/>
      <c r="E36" s="4"/>
      <c r="F36" s="4"/>
      <c r="G36" s="4"/>
      <c r="H36" s="18"/>
    </row>
    <row r="37" spans="2:8" x14ac:dyDescent="0.2">
      <c r="B37" s="43"/>
      <c r="C37" s="4"/>
      <c r="D37" s="4"/>
      <c r="E37" s="289" t="s">
        <v>661</v>
      </c>
      <c r="F37" s="289"/>
      <c r="G37" s="289"/>
      <c r="H37" s="290"/>
    </row>
    <row r="38" spans="2:8" x14ac:dyDescent="0.2">
      <c r="B38" s="43"/>
      <c r="C38" s="4"/>
      <c r="D38" s="4"/>
      <c r="E38" s="4"/>
      <c r="F38" s="4"/>
      <c r="G38" s="4"/>
      <c r="H38" s="18"/>
    </row>
    <row r="39" spans="2:8" x14ac:dyDescent="0.2">
      <c r="B39" s="43"/>
      <c r="C39" s="4"/>
      <c r="D39" s="4"/>
      <c r="F39" s="4"/>
      <c r="G39" s="4"/>
      <c r="H39" s="18"/>
    </row>
    <row r="40" spans="2:8" x14ac:dyDescent="0.2">
      <c r="B40" s="44"/>
      <c r="C40" s="41"/>
      <c r="D40" s="42"/>
      <c r="E40" s="4" t="s">
        <v>1223</v>
      </c>
      <c r="F40" s="4"/>
      <c r="G40" s="4"/>
      <c r="H40" s="18"/>
    </row>
    <row r="41" spans="2:8" ht="18" customHeight="1" x14ac:dyDescent="0.2">
      <c r="B41" s="47"/>
      <c r="C41" s="45"/>
      <c r="D41" s="46"/>
      <c r="E41" s="20" t="s">
        <v>10</v>
      </c>
      <c r="F41" s="20"/>
      <c r="G41" s="20"/>
      <c r="H41" s="19"/>
    </row>
    <row r="45" spans="2:8" x14ac:dyDescent="0.2">
      <c r="B45" s="518"/>
      <c r="C45" s="518"/>
      <c r="D45" s="518"/>
      <c r="E45" s="518"/>
      <c r="F45" s="518"/>
      <c r="G45" s="518"/>
      <c r="H45" s="518"/>
    </row>
    <row r="46" spans="2:8" x14ac:dyDescent="0.2">
      <c r="B46" s="11"/>
      <c r="C46" s="11"/>
      <c r="D46" s="11"/>
      <c r="E46" s="11"/>
      <c r="F46" s="11"/>
      <c r="G46" s="11"/>
      <c r="H46" s="11"/>
    </row>
    <row r="47" spans="2:8" x14ac:dyDescent="0.2">
      <c r="B47" s="518"/>
      <c r="C47" s="518"/>
      <c r="D47" s="518"/>
      <c r="E47" s="518"/>
      <c r="F47" s="518"/>
      <c r="G47" s="518"/>
      <c r="H47" s="518"/>
    </row>
    <row r="48" spans="2:8" x14ac:dyDescent="0.2">
      <c r="B48" s="518"/>
      <c r="C48" s="518"/>
      <c r="D48" s="518"/>
      <c r="E48" s="518"/>
      <c r="F48" s="518"/>
      <c r="G48" s="518"/>
      <c r="H48" s="518"/>
    </row>
    <row r="49" spans="2:8" x14ac:dyDescent="0.2">
      <c r="B49" s="518"/>
      <c r="C49" s="518"/>
      <c r="D49" s="518"/>
      <c r="E49" s="518"/>
      <c r="F49" s="518"/>
      <c r="G49" s="518"/>
      <c r="H49" s="518"/>
    </row>
    <row r="50" spans="2:8" x14ac:dyDescent="0.2">
      <c r="B50" s="518"/>
      <c r="C50" s="518"/>
      <c r="D50" s="518"/>
      <c r="E50" s="518"/>
      <c r="F50" s="518"/>
      <c r="G50" s="518"/>
      <c r="H50" s="518"/>
    </row>
    <row r="51" spans="2:8" x14ac:dyDescent="0.2">
      <c r="B51" s="21"/>
      <c r="C51" s="21"/>
      <c r="D51" s="21"/>
      <c r="E51" s="21"/>
      <c r="F51" s="21"/>
      <c r="G51" s="21"/>
      <c r="H51" s="21"/>
    </row>
    <row r="52" spans="2:8" x14ac:dyDescent="0.2">
      <c r="B52" s="3"/>
      <c r="C52" s="22"/>
      <c r="D52" s="22"/>
      <c r="E52" s="22"/>
      <c r="F52" s="22"/>
      <c r="G52" s="4"/>
      <c r="H52" s="4"/>
    </row>
    <row r="53" spans="2:8" x14ac:dyDescent="0.2">
      <c r="B53" s="3"/>
      <c r="C53" s="22"/>
      <c r="D53" s="22"/>
      <c r="E53" s="22"/>
      <c r="F53" s="22"/>
      <c r="G53" s="4"/>
      <c r="H53" s="23"/>
    </row>
    <row r="54" spans="2:8" x14ac:dyDescent="0.2">
      <c r="B54" s="3"/>
      <c r="C54" s="3"/>
      <c r="D54" s="3"/>
      <c r="E54" s="3"/>
      <c r="F54" s="3"/>
      <c r="G54" s="4"/>
      <c r="H54" s="4"/>
    </row>
    <row r="55" spans="2:8" x14ac:dyDescent="0.2">
      <c r="B55" s="4"/>
      <c r="C55" s="6"/>
      <c r="D55" s="6"/>
      <c r="E55" s="6"/>
      <c r="F55" s="6"/>
      <c r="G55" s="5"/>
      <c r="H55" s="5"/>
    </row>
    <row r="56" spans="2:8" ht="12.75" x14ac:dyDescent="0.2">
      <c r="B56" s="24"/>
      <c r="C56" s="24"/>
      <c r="D56" s="24"/>
      <c r="E56" s="25"/>
      <c r="F56" s="26"/>
      <c r="G56" s="27"/>
      <c r="H56" s="27"/>
    </row>
    <row r="57" spans="2:8" ht="12.75" x14ac:dyDescent="0.2">
      <c r="B57" s="24"/>
      <c r="C57" s="24"/>
      <c r="D57" s="24"/>
      <c r="E57" s="25"/>
      <c r="F57" s="26"/>
      <c r="G57" s="27"/>
      <c r="H57" s="27"/>
    </row>
    <row r="58" spans="2:8" ht="12.75" x14ac:dyDescent="0.2">
      <c r="B58" s="24"/>
      <c r="C58" s="24"/>
      <c r="D58" s="24"/>
      <c r="E58" s="12"/>
      <c r="F58" s="26"/>
      <c r="G58" s="26"/>
      <c r="H58" s="27"/>
    </row>
    <row r="59" spans="2:8" ht="12.75" x14ac:dyDescent="0.2">
      <c r="B59" s="24"/>
      <c r="C59" s="24"/>
      <c r="D59" s="24"/>
      <c r="E59" s="25"/>
      <c r="F59" s="26"/>
      <c r="G59" s="26"/>
      <c r="H59" s="27"/>
    </row>
    <row r="60" spans="2:8" ht="12.75" x14ac:dyDescent="0.2">
      <c r="B60" s="24"/>
      <c r="C60" s="24"/>
      <c r="D60" s="24"/>
      <c r="E60" s="25"/>
      <c r="F60" s="26"/>
      <c r="G60" s="26"/>
      <c r="H60" s="27"/>
    </row>
    <row r="61" spans="2:8" ht="12.75" x14ac:dyDescent="0.2">
      <c r="B61" s="24"/>
      <c r="C61" s="12"/>
      <c r="D61" s="28"/>
      <c r="E61" s="25"/>
      <c r="F61" s="26"/>
      <c r="G61" s="26"/>
      <c r="H61" s="29"/>
    </row>
    <row r="62" spans="2:8" ht="12.75" x14ac:dyDescent="0.2">
      <c r="B62" s="24"/>
      <c r="C62" s="24"/>
      <c r="D62" s="24"/>
      <c r="E62" s="25"/>
      <c r="F62" s="26"/>
      <c r="G62" s="26"/>
      <c r="H62" s="27"/>
    </row>
    <row r="63" spans="2:8" ht="12.75" x14ac:dyDescent="0.2">
      <c r="B63" s="24"/>
      <c r="C63" s="24"/>
      <c r="D63" s="30"/>
      <c r="E63" s="25"/>
      <c r="F63" s="26"/>
      <c r="G63" s="26"/>
      <c r="H63" s="27"/>
    </row>
    <row r="64" spans="2:8" ht="12.75" x14ac:dyDescent="0.2">
      <c r="B64" s="24"/>
      <c r="C64" s="24"/>
      <c r="D64" s="24"/>
      <c r="E64" s="25"/>
      <c r="F64" s="26"/>
      <c r="G64" s="26"/>
      <c r="H64" s="27"/>
    </row>
    <row r="65" spans="2:8" ht="12.75" x14ac:dyDescent="0.2">
      <c r="B65" s="24"/>
      <c r="C65" s="24"/>
      <c r="D65" s="24"/>
      <c r="E65" s="25"/>
      <c r="F65" s="26"/>
      <c r="G65" s="26"/>
      <c r="H65" s="27"/>
    </row>
    <row r="66" spans="2:8" ht="12.75" x14ac:dyDescent="0.2">
      <c r="B66" s="24"/>
      <c r="C66" s="24"/>
      <c r="D66" s="24"/>
      <c r="E66" s="25"/>
      <c r="F66" s="26"/>
      <c r="G66" s="26"/>
      <c r="H66" s="27"/>
    </row>
    <row r="67" spans="2:8" ht="12.75" x14ac:dyDescent="0.2">
      <c r="B67" s="24"/>
      <c r="C67" s="24"/>
      <c r="D67" s="24"/>
      <c r="E67" s="25"/>
      <c r="F67" s="26"/>
      <c r="G67" s="26"/>
      <c r="H67" s="27"/>
    </row>
    <row r="68" spans="2:8" ht="12.75" x14ac:dyDescent="0.2">
      <c r="B68" s="24"/>
      <c r="C68" s="24"/>
      <c r="D68" s="24"/>
      <c r="E68" s="25"/>
      <c r="F68" s="26"/>
      <c r="G68" s="26"/>
      <c r="H68" s="27"/>
    </row>
    <row r="69" spans="2:8" ht="12.75" x14ac:dyDescent="0.2">
      <c r="B69" s="24"/>
      <c r="C69" s="24"/>
      <c r="D69" s="24"/>
      <c r="E69" s="25"/>
      <c r="F69" s="26"/>
      <c r="G69" s="26"/>
      <c r="H69" s="27"/>
    </row>
    <row r="70" spans="2:8" ht="12.75" x14ac:dyDescent="0.2">
      <c r="B70" s="24"/>
      <c r="C70" s="24"/>
      <c r="D70" s="30"/>
      <c r="E70" s="25"/>
      <c r="F70" s="26"/>
      <c r="G70" s="26"/>
      <c r="H70" s="27"/>
    </row>
    <row r="71" spans="2:8" ht="12.75" x14ac:dyDescent="0.2">
      <c r="B71" s="24"/>
      <c r="C71" s="24"/>
      <c r="D71" s="30"/>
      <c r="E71" s="25"/>
      <c r="F71" s="26"/>
      <c r="G71" s="26"/>
      <c r="H71" s="27"/>
    </row>
    <row r="72" spans="2:8" ht="12.75" x14ac:dyDescent="0.2">
      <c r="B72" s="24"/>
      <c r="C72" s="24"/>
      <c r="D72" s="24"/>
      <c r="E72" s="25"/>
      <c r="F72" s="26"/>
      <c r="G72" s="26"/>
      <c r="H72" s="27"/>
    </row>
    <row r="73" spans="2:8" ht="12.75" x14ac:dyDescent="0.2">
      <c r="B73" s="24"/>
      <c r="C73" s="24"/>
      <c r="D73" s="24"/>
      <c r="E73" s="25"/>
      <c r="F73" s="26"/>
      <c r="G73" s="26"/>
      <c r="H73" s="27"/>
    </row>
    <row r="74" spans="2:8" ht="12.75" x14ac:dyDescent="0.2">
      <c r="B74" s="24"/>
      <c r="C74" s="31"/>
      <c r="D74" s="28"/>
      <c r="E74" s="25"/>
      <c r="F74" s="26"/>
      <c r="G74" s="26"/>
      <c r="H74" s="29"/>
    </row>
    <row r="75" spans="2:8" ht="12.75" x14ac:dyDescent="0.2">
      <c r="B75" s="24"/>
      <c r="C75" s="24"/>
      <c r="D75" s="24"/>
      <c r="E75" s="25"/>
      <c r="F75" s="26"/>
      <c r="G75" s="26"/>
      <c r="H75" s="27"/>
    </row>
    <row r="76" spans="2:8" ht="12.75" x14ac:dyDescent="0.2">
      <c r="B76" s="24"/>
      <c r="C76" s="24"/>
      <c r="D76" s="24"/>
      <c r="E76" s="25"/>
      <c r="F76" s="26"/>
      <c r="G76" s="26"/>
      <c r="H76" s="27"/>
    </row>
    <row r="77" spans="2:8" ht="12.75" x14ac:dyDescent="0.2">
      <c r="B77" s="24"/>
      <c r="C77" s="24"/>
      <c r="D77" s="24"/>
      <c r="E77" s="25"/>
      <c r="F77" s="26"/>
      <c r="G77" s="26"/>
      <c r="H77" s="27"/>
    </row>
    <row r="78" spans="2:8" ht="12.75" x14ac:dyDescent="0.2">
      <c r="B78" s="24"/>
      <c r="C78" s="24"/>
      <c r="D78" s="24"/>
      <c r="E78" s="25"/>
      <c r="F78" s="32"/>
      <c r="G78" s="26"/>
      <c r="H78" s="27"/>
    </row>
    <row r="79" spans="2:8" ht="12.75" x14ac:dyDescent="0.2">
      <c r="B79" s="24"/>
      <c r="C79" s="24"/>
      <c r="D79" s="24"/>
      <c r="E79" s="25"/>
      <c r="F79" s="26"/>
      <c r="G79" s="26"/>
      <c r="H79" s="27"/>
    </row>
    <row r="80" spans="2:8" ht="12.75" x14ac:dyDescent="0.2">
      <c r="B80" s="24"/>
      <c r="C80" s="31"/>
      <c r="D80" s="28"/>
      <c r="E80" s="25"/>
      <c r="F80" s="26"/>
      <c r="G80" s="26"/>
      <c r="H80" s="27"/>
    </row>
    <row r="81" spans="2:8" ht="12.75" x14ac:dyDescent="0.2">
      <c r="B81" s="24"/>
      <c r="C81" s="12"/>
      <c r="D81" s="33"/>
      <c r="E81" s="25"/>
      <c r="F81" s="26"/>
      <c r="G81" s="26"/>
      <c r="H81" s="29"/>
    </row>
    <row r="82" spans="2:8" ht="12.75" x14ac:dyDescent="0.2">
      <c r="B82" s="24"/>
      <c r="C82" s="24"/>
      <c r="D82" s="24"/>
      <c r="E82" s="25"/>
      <c r="F82" s="32"/>
      <c r="G82" s="26"/>
      <c r="H82" s="27"/>
    </row>
    <row r="83" spans="2:8" ht="12.75" x14ac:dyDescent="0.2">
      <c r="B83" s="24"/>
      <c r="C83" s="24"/>
      <c r="D83" s="30"/>
      <c r="E83" s="34"/>
      <c r="F83" s="34"/>
      <c r="G83" s="35"/>
      <c r="H83" s="36"/>
    </row>
    <row r="84" spans="2:8" ht="12.75" x14ac:dyDescent="0.2">
      <c r="B84" s="24"/>
      <c r="C84" s="24"/>
      <c r="D84" s="24"/>
      <c r="E84" s="25"/>
      <c r="F84" s="32"/>
      <c r="G84" s="26"/>
      <c r="H84" s="36"/>
    </row>
    <row r="85" spans="2:8" ht="12.75" x14ac:dyDescent="0.2">
      <c r="B85" s="24"/>
      <c r="C85" s="24"/>
      <c r="D85" s="24"/>
      <c r="E85" s="25"/>
      <c r="F85" s="26"/>
      <c r="G85" s="26"/>
      <c r="H85" s="36"/>
    </row>
    <row r="86" spans="2:8" ht="12.75" x14ac:dyDescent="0.2">
      <c r="B86" s="24"/>
      <c r="C86" s="24"/>
      <c r="D86" s="24"/>
      <c r="E86" s="25"/>
      <c r="F86" s="26"/>
      <c r="G86" s="32"/>
      <c r="H86" s="36"/>
    </row>
    <row r="87" spans="2:8" ht="12.75" x14ac:dyDescent="0.2">
      <c r="B87" s="24"/>
      <c r="C87" s="24"/>
      <c r="D87" s="24"/>
      <c r="E87" s="25"/>
      <c r="F87" s="26"/>
      <c r="G87" s="26"/>
      <c r="H87" s="36"/>
    </row>
    <row r="88" spans="2:8" ht="12.75" x14ac:dyDescent="0.2">
      <c r="B88" s="24"/>
      <c r="C88" s="24"/>
      <c r="D88" s="24"/>
      <c r="E88" s="37"/>
      <c r="F88" s="26"/>
      <c r="G88" s="26"/>
      <c r="H88" s="36"/>
    </row>
    <row r="89" spans="2:8" ht="12.75" x14ac:dyDescent="0.2">
      <c r="B89" s="24"/>
      <c r="C89" s="24"/>
      <c r="D89" s="24"/>
      <c r="E89" s="37"/>
      <c r="F89" s="26"/>
      <c r="G89" s="26"/>
      <c r="H89" s="27"/>
    </row>
    <row r="90" spans="2:8" ht="12.75" x14ac:dyDescent="0.2">
      <c r="B90" s="24"/>
      <c r="C90" s="24"/>
      <c r="D90" s="24"/>
      <c r="E90" s="38"/>
      <c r="F90" s="26"/>
      <c r="G90" s="26"/>
      <c r="H90" s="27"/>
    </row>
    <row r="91" spans="2:8" ht="12.75" x14ac:dyDescent="0.2">
      <c r="B91" s="24"/>
      <c r="C91" s="24"/>
      <c r="D91" s="24"/>
      <c r="E91" s="25"/>
      <c r="F91" s="26"/>
      <c r="G91" s="26"/>
      <c r="H91" s="27"/>
    </row>
    <row r="92" spans="2:8" ht="12.75" x14ac:dyDescent="0.2">
      <c r="B92" s="24"/>
      <c r="C92" s="31"/>
      <c r="D92" s="28"/>
      <c r="E92" s="25"/>
      <c r="F92" s="26"/>
      <c r="G92" s="26"/>
      <c r="H92" s="29"/>
    </row>
    <row r="93" spans="2:8" ht="12.75" x14ac:dyDescent="0.2">
      <c r="B93" s="24"/>
      <c r="C93" s="24"/>
      <c r="D93" s="24"/>
      <c r="E93" s="25"/>
      <c r="F93" s="32"/>
      <c r="G93" s="26"/>
      <c r="H93" s="27"/>
    </row>
    <row r="94" spans="2:8" ht="12.75" x14ac:dyDescent="0.2">
      <c r="B94" s="24"/>
      <c r="C94" s="24"/>
      <c r="D94" s="30"/>
      <c r="E94" s="25"/>
      <c r="F94" s="32"/>
      <c r="G94" s="26"/>
      <c r="H94" s="27"/>
    </row>
    <row r="95" spans="2:8" ht="12.75" x14ac:dyDescent="0.2">
      <c r="B95" s="24"/>
      <c r="C95" s="24"/>
      <c r="D95" s="24"/>
      <c r="E95" s="25"/>
      <c r="F95" s="26"/>
      <c r="G95" s="26"/>
      <c r="H95" s="27"/>
    </row>
    <row r="96" spans="2:8" ht="12.75" x14ac:dyDescent="0.2">
      <c r="B96" s="24"/>
      <c r="C96" s="31"/>
      <c r="D96" s="28"/>
      <c r="E96" s="25"/>
      <c r="F96" s="26"/>
      <c r="G96" s="26"/>
      <c r="H96" s="29"/>
    </row>
    <row r="97" spans="2:9" ht="12.75" x14ac:dyDescent="0.2">
      <c r="B97" s="24"/>
      <c r="C97" s="12"/>
      <c r="D97" s="28"/>
      <c r="E97" s="25"/>
      <c r="F97" s="26"/>
      <c r="G97" s="26"/>
      <c r="H97" s="29"/>
    </row>
    <row r="98" spans="2:9" ht="12.75" x14ac:dyDescent="0.2">
      <c r="B98" s="24"/>
      <c r="C98" s="31"/>
      <c r="D98" s="30"/>
      <c r="E98" s="25"/>
      <c r="F98" s="32"/>
      <c r="G98" s="26"/>
      <c r="H98" s="27"/>
    </row>
    <row r="99" spans="2:9" ht="12.75" x14ac:dyDescent="0.2">
      <c r="B99" s="24"/>
      <c r="C99" s="12"/>
      <c r="D99" s="33"/>
      <c r="E99" s="25"/>
      <c r="F99" s="26"/>
      <c r="G99" s="26"/>
      <c r="H99" s="29"/>
      <c r="I99" s="9"/>
    </row>
    <row r="100" spans="2:9" ht="12.75" x14ac:dyDescent="0.2">
      <c r="B100" s="24"/>
      <c r="C100" s="12"/>
      <c r="D100" s="39"/>
      <c r="E100" s="25"/>
      <c r="F100" s="26"/>
      <c r="G100" s="26"/>
      <c r="H100" s="29"/>
      <c r="I100" s="9"/>
    </row>
    <row r="101" spans="2:9" ht="12.75" x14ac:dyDescent="0.2">
      <c r="B101" s="32"/>
      <c r="C101" s="32"/>
      <c r="D101" s="40"/>
      <c r="E101" s="25"/>
      <c r="F101" s="32"/>
      <c r="G101" s="26"/>
      <c r="H101" s="29"/>
    </row>
    <row r="102" spans="2:9" x14ac:dyDescent="0.2">
      <c r="B102" s="4"/>
      <c r="C102" s="4"/>
      <c r="D102" s="5"/>
      <c r="E102" s="6"/>
      <c r="F102" s="7"/>
      <c r="G102" s="8"/>
      <c r="H102" s="8"/>
    </row>
    <row r="103" spans="2:9" x14ac:dyDescent="0.2">
      <c r="B103" s="4"/>
      <c r="C103" s="4"/>
      <c r="D103" s="5"/>
      <c r="E103" s="6"/>
      <c r="F103" s="7"/>
      <c r="G103" s="8"/>
      <c r="H103" s="8"/>
    </row>
    <row r="104" spans="2:9" x14ac:dyDescent="0.2">
      <c r="B104" s="4"/>
      <c r="C104" s="4"/>
      <c r="D104" s="4"/>
      <c r="E104" s="4"/>
      <c r="F104" s="4"/>
      <c r="G104" s="4"/>
      <c r="H104" s="4"/>
    </row>
    <row r="105" spans="2:9" x14ac:dyDescent="0.2">
      <c r="B105" s="4"/>
      <c r="C105" s="4"/>
      <c r="D105" s="4"/>
      <c r="E105" s="4"/>
      <c r="F105" s="4"/>
      <c r="G105" s="4"/>
      <c r="H105" s="4"/>
    </row>
    <row r="106" spans="2:9" x14ac:dyDescent="0.2">
      <c r="B106" s="4"/>
      <c r="C106" s="4"/>
      <c r="D106" s="4"/>
      <c r="E106" s="4"/>
      <c r="F106" s="4"/>
      <c r="G106" s="4"/>
      <c r="H106" s="4"/>
    </row>
    <row r="107" spans="2:9" x14ac:dyDescent="0.2">
      <c r="B107" s="4"/>
      <c r="C107" s="4"/>
      <c r="D107" s="4"/>
      <c r="E107" s="4"/>
      <c r="F107" s="4"/>
      <c r="G107" s="4"/>
      <c r="H107" s="4"/>
    </row>
    <row r="108" spans="2:9" x14ac:dyDescent="0.2">
      <c r="B108" s="4"/>
      <c r="C108" s="4"/>
      <c r="D108" s="4"/>
      <c r="E108" s="4"/>
      <c r="F108" s="4"/>
      <c r="G108" s="4"/>
      <c r="H108" s="4"/>
    </row>
    <row r="109" spans="2:9" x14ac:dyDescent="0.2">
      <c r="B109" s="4"/>
      <c r="C109" s="4"/>
      <c r="D109" s="4"/>
      <c r="E109" s="4"/>
      <c r="F109" s="4"/>
      <c r="G109" s="4"/>
      <c r="H109" s="4"/>
    </row>
    <row r="110" spans="2:9" x14ac:dyDescent="0.2">
      <c r="B110" s="4"/>
      <c r="C110" s="4"/>
      <c r="D110" s="4"/>
      <c r="E110" s="4"/>
      <c r="F110" s="4"/>
      <c r="G110" s="4"/>
      <c r="H110" s="4"/>
    </row>
    <row r="111" spans="2:9" x14ac:dyDescent="0.2">
      <c r="B111" s="4"/>
      <c r="C111" s="4"/>
      <c r="D111" s="4"/>
      <c r="E111" s="4"/>
      <c r="F111" s="4"/>
      <c r="G111" s="4"/>
      <c r="H111" s="4"/>
    </row>
    <row r="112" spans="2:9" x14ac:dyDescent="0.2">
      <c r="B112" s="10"/>
      <c r="C112" s="10"/>
      <c r="D112" s="10"/>
      <c r="E112" s="10"/>
      <c r="F112" s="10"/>
      <c r="G112" s="10"/>
      <c r="H112" s="10"/>
    </row>
    <row r="113" spans="2:8" x14ac:dyDescent="0.2">
      <c r="B113" s="10"/>
      <c r="C113" s="10"/>
      <c r="D113" s="10"/>
      <c r="E113" s="10"/>
      <c r="F113" s="10"/>
      <c r="G113" s="10"/>
      <c r="H113" s="10"/>
    </row>
    <row r="114" spans="2:8" x14ac:dyDescent="0.2">
      <c r="B114" s="10"/>
      <c r="C114" s="10"/>
      <c r="D114" s="10"/>
      <c r="E114" s="10"/>
      <c r="F114" s="10"/>
      <c r="G114" s="10"/>
      <c r="H114" s="10"/>
    </row>
    <row r="115" spans="2:8" x14ac:dyDescent="0.2">
      <c r="B115" s="10"/>
      <c r="C115" s="10"/>
      <c r="D115" s="10"/>
      <c r="E115" s="10"/>
      <c r="F115" s="10"/>
      <c r="G115" s="10"/>
      <c r="H115" s="10"/>
    </row>
    <row r="116" spans="2:8" x14ac:dyDescent="0.2">
      <c r="B116" s="10"/>
      <c r="C116" s="10"/>
      <c r="D116" s="10"/>
      <c r="E116" s="10"/>
      <c r="F116" s="10"/>
      <c r="G116" s="10"/>
      <c r="H116" s="10"/>
    </row>
    <row r="117" spans="2:8" x14ac:dyDescent="0.2">
      <c r="B117" s="10"/>
      <c r="C117" s="10"/>
      <c r="D117" s="10"/>
      <c r="E117" s="10"/>
      <c r="F117" s="10"/>
      <c r="G117" s="10"/>
      <c r="H117" s="10"/>
    </row>
    <row r="118" spans="2:8" x14ac:dyDescent="0.2">
      <c r="B118" s="611"/>
      <c r="C118" s="611"/>
      <c r="D118" s="611"/>
      <c r="E118" s="611"/>
      <c r="F118" s="611"/>
      <c r="G118" s="611"/>
      <c r="H118" s="611"/>
    </row>
    <row r="119" spans="2:8" x14ac:dyDescent="0.2">
      <c r="B119" s="611"/>
      <c r="C119" s="611"/>
      <c r="D119" s="611"/>
      <c r="E119" s="611"/>
      <c r="F119" s="611"/>
      <c r="G119" s="611"/>
      <c r="H119" s="611"/>
    </row>
    <row r="120" spans="2:8" x14ac:dyDescent="0.2">
      <c r="B120" s="518"/>
      <c r="C120" s="518"/>
      <c r="D120" s="518"/>
      <c r="E120" s="518"/>
      <c r="F120" s="518"/>
      <c r="G120" s="518"/>
      <c r="H120" s="518"/>
    </row>
    <row r="121" spans="2:8" x14ac:dyDescent="0.2">
      <c r="B121" s="518"/>
      <c r="C121" s="518"/>
      <c r="D121" s="518"/>
      <c r="E121" s="518"/>
      <c r="F121" s="518"/>
      <c r="G121" s="518"/>
      <c r="H121" s="518"/>
    </row>
    <row r="122" spans="2:8" x14ac:dyDescent="0.2">
      <c r="B122" s="518"/>
      <c r="C122" s="518"/>
      <c r="D122" s="518"/>
      <c r="E122" s="518"/>
      <c r="F122" s="518"/>
      <c r="G122" s="518"/>
      <c r="H122" s="518"/>
    </row>
    <row r="123" spans="2:8" x14ac:dyDescent="0.2">
      <c r="B123" s="21"/>
      <c r="C123" s="21"/>
      <c r="D123" s="21"/>
      <c r="E123" s="21"/>
      <c r="F123" s="21"/>
      <c r="G123" s="21"/>
      <c r="H123" s="21"/>
    </row>
    <row r="124" spans="2:8" x14ac:dyDescent="0.2">
      <c r="B124" s="3"/>
      <c r="C124" s="22"/>
      <c r="D124" s="22"/>
      <c r="E124" s="22"/>
      <c r="F124" s="22"/>
      <c r="G124" s="4"/>
      <c r="H124" s="4"/>
    </row>
    <row r="125" spans="2:8" ht="11.45" customHeight="1" x14ac:dyDescent="0.2">
      <c r="B125" s="3"/>
      <c r="C125" s="22"/>
      <c r="D125" s="22"/>
      <c r="E125" s="22"/>
      <c r="F125" s="22"/>
      <c r="G125" s="4"/>
      <c r="H125" s="23"/>
    </row>
    <row r="126" spans="2:8" ht="11.45" customHeight="1" x14ac:dyDescent="0.2">
      <c r="B126" s="3"/>
      <c r="C126" s="3"/>
      <c r="D126" s="3"/>
      <c r="E126" s="3"/>
      <c r="F126" s="3"/>
      <c r="G126" s="4"/>
      <c r="H126" s="4"/>
    </row>
    <row r="127" spans="2:8" ht="11.45" customHeight="1" x14ac:dyDescent="0.2">
      <c r="B127" s="4"/>
      <c r="C127" s="6"/>
      <c r="D127" s="6"/>
      <c r="E127" s="6"/>
      <c r="F127" s="6"/>
      <c r="G127" s="5"/>
      <c r="H127" s="5"/>
    </row>
    <row r="128" spans="2:8" ht="11.45" customHeight="1" x14ac:dyDescent="0.2">
      <c r="B128" s="24"/>
      <c r="C128" s="24"/>
      <c r="D128" s="24"/>
      <c r="E128" s="25"/>
      <c r="F128" s="26"/>
      <c r="G128" s="27"/>
      <c r="H128" s="27"/>
    </row>
    <row r="129" spans="2:8" ht="11.45" customHeight="1" x14ac:dyDescent="0.2">
      <c r="B129" s="24"/>
      <c r="C129" s="24"/>
      <c r="D129" s="24"/>
      <c r="E129" s="25"/>
      <c r="F129" s="26"/>
      <c r="G129" s="27"/>
      <c r="H129" s="27"/>
    </row>
    <row r="130" spans="2:8" ht="11.45" customHeight="1" x14ac:dyDescent="0.2">
      <c r="B130" s="24"/>
      <c r="C130" s="24"/>
      <c r="D130" s="24"/>
      <c r="E130" s="12"/>
      <c r="F130" s="26"/>
      <c r="G130" s="26"/>
      <c r="H130" s="27"/>
    </row>
    <row r="131" spans="2:8" ht="11.45" customHeight="1" x14ac:dyDescent="0.2">
      <c r="B131" s="24"/>
      <c r="C131" s="24"/>
      <c r="D131" s="24"/>
      <c r="E131" s="25"/>
      <c r="F131" s="26"/>
      <c r="G131" s="26"/>
      <c r="H131" s="27"/>
    </row>
    <row r="132" spans="2:8" ht="11.45" customHeight="1" x14ac:dyDescent="0.2">
      <c r="B132" s="24"/>
      <c r="C132" s="24"/>
      <c r="D132" s="24"/>
      <c r="E132" s="25"/>
      <c r="F132" s="26"/>
      <c r="G132" s="26"/>
      <c r="H132" s="27"/>
    </row>
    <row r="133" spans="2:8" ht="11.45" customHeight="1" x14ac:dyDescent="0.2">
      <c r="B133" s="24"/>
      <c r="C133" s="12"/>
      <c r="D133" s="28"/>
      <c r="E133" s="25"/>
      <c r="F133" s="26"/>
      <c r="G133" s="26"/>
      <c r="H133" s="29"/>
    </row>
    <row r="134" spans="2:8" ht="11.45" customHeight="1" x14ac:dyDescent="0.2">
      <c r="B134" s="24"/>
      <c r="C134" s="24"/>
      <c r="D134" s="24"/>
      <c r="E134" s="25"/>
      <c r="F134" s="26"/>
      <c r="G134" s="26"/>
      <c r="H134" s="27"/>
    </row>
    <row r="135" spans="2:8" ht="11.45" customHeight="1" x14ac:dyDescent="0.2">
      <c r="B135" s="24"/>
      <c r="C135" s="24"/>
      <c r="D135" s="30"/>
      <c r="E135" s="25"/>
      <c r="F135" s="26"/>
      <c r="G135" s="26"/>
      <c r="H135" s="27"/>
    </row>
    <row r="136" spans="2:8" ht="11.45" customHeight="1" x14ac:dyDescent="0.2">
      <c r="B136" s="24"/>
      <c r="C136" s="24"/>
      <c r="D136" s="24"/>
      <c r="E136" s="25"/>
      <c r="F136" s="26"/>
      <c r="G136" s="26"/>
      <c r="H136" s="27"/>
    </row>
    <row r="137" spans="2:8" ht="11.45" customHeight="1" x14ac:dyDescent="0.2">
      <c r="B137" s="24"/>
      <c r="C137" s="24"/>
      <c r="D137" s="24"/>
      <c r="E137" s="25"/>
      <c r="F137" s="26"/>
      <c r="G137" s="26"/>
      <c r="H137" s="27"/>
    </row>
    <row r="138" spans="2:8" ht="11.45" customHeight="1" x14ac:dyDescent="0.2">
      <c r="B138" s="24"/>
      <c r="C138" s="24"/>
      <c r="D138" s="24"/>
      <c r="E138" s="25"/>
      <c r="F138" s="26"/>
      <c r="G138" s="26"/>
      <c r="H138" s="27"/>
    </row>
    <row r="139" spans="2:8" ht="11.45" customHeight="1" x14ac:dyDescent="0.2">
      <c r="B139" s="24"/>
      <c r="C139" s="24"/>
      <c r="D139" s="24"/>
      <c r="E139" s="25"/>
      <c r="F139" s="26"/>
      <c r="G139" s="26"/>
      <c r="H139" s="27"/>
    </row>
    <row r="140" spans="2:8" ht="11.45" customHeight="1" x14ac:dyDescent="0.2">
      <c r="B140" s="24"/>
      <c r="C140" s="24"/>
      <c r="D140" s="24"/>
      <c r="E140" s="25"/>
      <c r="F140" s="26"/>
      <c r="G140" s="26"/>
      <c r="H140" s="27"/>
    </row>
    <row r="141" spans="2:8" ht="11.45" customHeight="1" x14ac:dyDescent="0.2">
      <c r="B141" s="24"/>
      <c r="C141" s="24"/>
      <c r="D141" s="30"/>
      <c r="E141" s="25"/>
      <c r="F141" s="26"/>
      <c r="G141" s="26"/>
      <c r="H141" s="27"/>
    </row>
    <row r="142" spans="2:8" ht="11.45" customHeight="1" x14ac:dyDescent="0.2">
      <c r="B142" s="24"/>
      <c r="C142" s="24"/>
      <c r="D142" s="30"/>
      <c r="E142" s="25"/>
      <c r="F142" s="26"/>
      <c r="G142" s="26"/>
      <c r="H142" s="27"/>
    </row>
    <row r="143" spans="2:8" ht="11.45" customHeight="1" x14ac:dyDescent="0.2">
      <c r="B143" s="24"/>
      <c r="C143" s="24"/>
      <c r="D143" s="24"/>
      <c r="E143" s="25"/>
      <c r="F143" s="26"/>
      <c r="G143" s="26"/>
      <c r="H143" s="27"/>
    </row>
    <row r="144" spans="2:8" ht="11.45" customHeight="1" x14ac:dyDescent="0.2">
      <c r="B144" s="24"/>
      <c r="C144" s="24"/>
      <c r="D144" s="24"/>
      <c r="E144" s="25"/>
      <c r="F144" s="26"/>
      <c r="G144" s="26"/>
      <c r="H144" s="27"/>
    </row>
    <row r="145" spans="2:8" ht="11.45" customHeight="1" x14ac:dyDescent="0.2">
      <c r="B145" s="24"/>
      <c r="C145" s="31"/>
      <c r="D145" s="28"/>
      <c r="E145" s="25"/>
      <c r="F145" s="26"/>
      <c r="G145" s="26"/>
      <c r="H145" s="29"/>
    </row>
    <row r="146" spans="2:8" ht="11.45" customHeight="1" x14ac:dyDescent="0.2">
      <c r="B146" s="24"/>
      <c r="C146" s="24"/>
      <c r="D146" s="24"/>
      <c r="E146" s="25"/>
      <c r="F146" s="26"/>
      <c r="G146" s="26"/>
      <c r="H146" s="27"/>
    </row>
    <row r="147" spans="2:8" ht="11.45" customHeight="1" x14ac:dyDescent="0.2">
      <c r="B147" s="24"/>
      <c r="C147" s="24"/>
      <c r="D147" s="24"/>
      <c r="E147" s="25"/>
      <c r="F147" s="26"/>
      <c r="G147" s="26"/>
      <c r="H147" s="27"/>
    </row>
    <row r="148" spans="2:8" ht="11.45" customHeight="1" x14ac:dyDescent="0.2">
      <c r="B148" s="24"/>
      <c r="C148" s="24"/>
      <c r="D148" s="24"/>
      <c r="E148" s="25"/>
      <c r="F148" s="26"/>
      <c r="G148" s="26"/>
      <c r="H148" s="27"/>
    </row>
    <row r="149" spans="2:8" ht="11.45" customHeight="1" x14ac:dyDescent="0.2">
      <c r="B149" s="24"/>
      <c r="C149" s="24"/>
      <c r="D149" s="24"/>
      <c r="E149" s="25"/>
      <c r="F149" s="32"/>
      <c r="G149" s="26"/>
      <c r="H149" s="27"/>
    </row>
    <row r="150" spans="2:8" ht="11.45" customHeight="1" x14ac:dyDescent="0.2">
      <c r="B150" s="24"/>
      <c r="C150" s="24"/>
      <c r="D150" s="24"/>
      <c r="E150" s="25"/>
      <c r="F150" s="26"/>
      <c r="G150" s="26"/>
      <c r="H150" s="27"/>
    </row>
    <row r="151" spans="2:8" ht="11.45" customHeight="1" x14ac:dyDescent="0.2">
      <c r="B151" s="24"/>
      <c r="C151" s="31"/>
      <c r="D151" s="28"/>
      <c r="E151" s="25"/>
      <c r="F151" s="26"/>
      <c r="G151" s="26"/>
      <c r="H151" s="27"/>
    </row>
    <row r="152" spans="2:8" ht="11.45" customHeight="1" x14ac:dyDescent="0.2">
      <c r="B152" s="24"/>
      <c r="C152" s="12"/>
      <c r="D152" s="33"/>
      <c r="E152" s="25"/>
      <c r="F152" s="26"/>
      <c r="G152" s="26"/>
      <c r="H152" s="29"/>
    </row>
    <row r="153" spans="2:8" ht="11.45" customHeight="1" x14ac:dyDescent="0.2">
      <c r="B153" s="24"/>
      <c r="C153" s="24"/>
      <c r="D153" s="24"/>
      <c r="E153" s="25"/>
      <c r="F153" s="32"/>
      <c r="G153" s="26"/>
      <c r="H153" s="27"/>
    </row>
    <row r="154" spans="2:8" ht="11.45" customHeight="1" x14ac:dyDescent="0.2">
      <c r="B154" s="24"/>
      <c r="C154" s="24"/>
      <c r="D154" s="30"/>
      <c r="E154" s="34"/>
      <c r="F154" s="34"/>
      <c r="G154" s="35"/>
      <c r="H154" s="36"/>
    </row>
    <row r="155" spans="2:8" ht="11.45" customHeight="1" x14ac:dyDescent="0.2">
      <c r="B155" s="24"/>
      <c r="C155" s="24"/>
      <c r="D155" s="24"/>
      <c r="E155" s="25"/>
      <c r="F155" s="32"/>
      <c r="G155" s="26"/>
      <c r="H155" s="36"/>
    </row>
    <row r="156" spans="2:8" ht="11.45" customHeight="1" x14ac:dyDescent="0.2">
      <c r="B156" s="24"/>
      <c r="C156" s="24"/>
      <c r="D156" s="24"/>
      <c r="E156" s="25"/>
      <c r="F156" s="26"/>
      <c r="G156" s="26"/>
      <c r="H156" s="36"/>
    </row>
    <row r="157" spans="2:8" ht="11.45" customHeight="1" x14ac:dyDescent="0.2">
      <c r="B157" s="24"/>
      <c r="C157" s="24"/>
      <c r="D157" s="24"/>
      <c r="E157" s="25"/>
      <c r="F157" s="26"/>
      <c r="G157" s="32"/>
      <c r="H157" s="36"/>
    </row>
    <row r="158" spans="2:8" ht="11.45" customHeight="1" x14ac:dyDescent="0.2">
      <c r="B158" s="24"/>
      <c r="C158" s="24"/>
      <c r="D158" s="24"/>
      <c r="E158" s="25"/>
      <c r="F158" s="26"/>
      <c r="G158" s="26"/>
      <c r="H158" s="36"/>
    </row>
    <row r="159" spans="2:8" ht="11.45" customHeight="1" x14ac:dyDescent="0.2">
      <c r="B159" s="24"/>
      <c r="C159" s="24"/>
      <c r="D159" s="24"/>
      <c r="E159" s="37"/>
      <c r="F159" s="26"/>
      <c r="G159" s="26"/>
      <c r="H159" s="36"/>
    </row>
    <row r="160" spans="2:8" ht="11.45" customHeight="1" x14ac:dyDescent="0.2">
      <c r="B160" s="24"/>
      <c r="C160" s="24"/>
      <c r="D160" s="24"/>
      <c r="E160" s="37"/>
      <c r="F160" s="26"/>
      <c r="G160" s="26"/>
      <c r="H160" s="27"/>
    </row>
    <row r="161" spans="2:9" ht="11.45" customHeight="1" x14ac:dyDescent="0.2">
      <c r="B161" s="24"/>
      <c r="C161" s="24"/>
      <c r="D161" s="24"/>
      <c r="E161" s="38"/>
      <c r="F161" s="26"/>
      <c r="G161" s="26"/>
      <c r="H161" s="27"/>
    </row>
    <row r="162" spans="2:9" ht="11.45" customHeight="1" x14ac:dyDescent="0.2">
      <c r="B162" s="24"/>
      <c r="C162" s="24"/>
      <c r="D162" s="24"/>
      <c r="E162" s="25"/>
      <c r="F162" s="26"/>
      <c r="G162" s="26"/>
      <c r="H162" s="27"/>
    </row>
    <row r="163" spans="2:9" ht="11.45" customHeight="1" x14ac:dyDescent="0.2">
      <c r="B163" s="24"/>
      <c r="C163" s="31"/>
      <c r="D163" s="28"/>
      <c r="E163" s="25"/>
      <c r="F163" s="26"/>
      <c r="G163" s="26"/>
      <c r="H163" s="29"/>
    </row>
    <row r="164" spans="2:9" ht="11.45" customHeight="1" x14ac:dyDescent="0.2">
      <c r="B164" s="24"/>
      <c r="C164" s="24"/>
      <c r="D164" s="24"/>
      <c r="E164" s="25"/>
      <c r="F164" s="32"/>
      <c r="G164" s="26"/>
      <c r="H164" s="27"/>
    </row>
    <row r="165" spans="2:9" ht="11.45" customHeight="1" x14ac:dyDescent="0.2">
      <c r="B165" s="24"/>
      <c r="C165" s="24"/>
      <c r="D165" s="30"/>
      <c r="E165" s="25"/>
      <c r="F165" s="32"/>
      <c r="G165" s="26"/>
      <c r="H165" s="27"/>
    </row>
    <row r="166" spans="2:9" ht="11.45" customHeight="1" x14ac:dyDescent="0.2">
      <c r="B166" s="24"/>
      <c r="C166" s="24"/>
      <c r="D166" s="24"/>
      <c r="E166" s="25"/>
      <c r="F166" s="26"/>
      <c r="G166" s="26"/>
      <c r="H166" s="27"/>
    </row>
    <row r="167" spans="2:9" ht="11.45" customHeight="1" x14ac:dyDescent="0.2">
      <c r="B167" s="24"/>
      <c r="C167" s="31"/>
      <c r="D167" s="28"/>
      <c r="E167" s="25"/>
      <c r="F167" s="26"/>
      <c r="G167" s="26"/>
      <c r="H167" s="29"/>
    </row>
    <row r="168" spans="2:9" ht="11.45" customHeight="1" x14ac:dyDescent="0.2">
      <c r="B168" s="24"/>
      <c r="C168" s="12"/>
      <c r="D168" s="28"/>
      <c r="E168" s="25"/>
      <c r="F168" s="26"/>
      <c r="G168" s="26"/>
      <c r="H168" s="29"/>
    </row>
    <row r="169" spans="2:9" ht="11.45" customHeight="1" x14ac:dyDescent="0.2">
      <c r="B169" s="24"/>
      <c r="C169" s="31"/>
      <c r="D169" s="30"/>
      <c r="E169" s="25"/>
      <c r="F169" s="32"/>
      <c r="G169" s="26"/>
      <c r="H169" s="27"/>
    </row>
    <row r="170" spans="2:9" ht="11.45" customHeight="1" x14ac:dyDescent="0.2">
      <c r="B170" s="24"/>
      <c r="C170" s="12"/>
      <c r="D170" s="33"/>
      <c r="E170" s="25"/>
      <c r="F170" s="26"/>
      <c r="G170" s="26"/>
      <c r="H170" s="29"/>
      <c r="I170" s="2"/>
    </row>
    <row r="171" spans="2:9" ht="11.45" customHeight="1" x14ac:dyDescent="0.2">
      <c r="B171" s="24"/>
      <c r="C171" s="12"/>
      <c r="D171" s="39"/>
      <c r="E171" s="25"/>
      <c r="F171" s="26"/>
      <c r="G171" s="26"/>
      <c r="H171" s="29"/>
    </row>
    <row r="172" spans="2:9" ht="11.45" customHeight="1" x14ac:dyDescent="0.2">
      <c r="B172" s="32"/>
      <c r="C172" s="32"/>
      <c r="D172" s="40"/>
      <c r="E172" s="25"/>
      <c r="F172" s="32"/>
      <c r="G172" s="26"/>
      <c r="H172" s="29"/>
    </row>
    <row r="173" spans="2:9" ht="11.45" customHeight="1" x14ac:dyDescent="0.2">
      <c r="B173" s="4"/>
      <c r="C173" s="4"/>
      <c r="D173" s="5"/>
      <c r="E173" s="6"/>
      <c r="F173" s="7"/>
      <c r="G173" s="8"/>
      <c r="H173" s="8"/>
    </row>
    <row r="174" spans="2:9" ht="11.45" customHeight="1" x14ac:dyDescent="0.2">
      <c r="B174" s="4"/>
      <c r="C174" s="4"/>
      <c r="D174" s="5"/>
      <c r="E174" s="6"/>
      <c r="F174" s="7"/>
      <c r="G174" s="8"/>
      <c r="H174" s="8"/>
    </row>
    <row r="175" spans="2:9" ht="11.45" customHeight="1" x14ac:dyDescent="0.2">
      <c r="B175" s="4"/>
      <c r="C175" s="4"/>
      <c r="D175" s="4"/>
      <c r="E175" s="4"/>
      <c r="F175" s="4"/>
      <c r="G175" s="4"/>
      <c r="H175" s="4"/>
    </row>
    <row r="176" spans="2:9" ht="11.45" customHeight="1" x14ac:dyDescent="0.2">
      <c r="B176" s="4"/>
      <c r="C176" s="4"/>
      <c r="D176" s="4"/>
      <c r="E176" s="4"/>
      <c r="F176" s="4"/>
      <c r="G176" s="4"/>
      <c r="H176" s="4"/>
    </row>
    <row r="177" spans="2:8" ht="11.45" customHeight="1" x14ac:dyDescent="0.2">
      <c r="B177" s="4"/>
      <c r="C177" s="4"/>
      <c r="D177" s="4"/>
      <c r="E177" s="4"/>
      <c r="F177" s="4"/>
      <c r="G177" s="4"/>
      <c r="H177" s="4"/>
    </row>
    <row r="178" spans="2:8" ht="11.45" customHeight="1" x14ac:dyDescent="0.2">
      <c r="B178" s="4"/>
      <c r="C178" s="4"/>
      <c r="D178" s="4"/>
      <c r="E178" s="4"/>
      <c r="F178" s="4"/>
      <c r="G178" s="4"/>
      <c r="H178" s="4"/>
    </row>
    <row r="179" spans="2:8" ht="11.45" customHeight="1" x14ac:dyDescent="0.2">
      <c r="B179" s="4"/>
      <c r="C179" s="4"/>
      <c r="D179" s="4"/>
      <c r="E179" s="4"/>
      <c r="F179" s="4"/>
      <c r="G179" s="4"/>
      <c r="H179" s="4"/>
    </row>
    <row r="180" spans="2:8" ht="11.45" customHeight="1" x14ac:dyDescent="0.2">
      <c r="B180" s="4"/>
      <c r="C180" s="4"/>
      <c r="D180" s="4"/>
      <c r="E180" s="4"/>
      <c r="F180" s="4"/>
      <c r="G180" s="4"/>
      <c r="H180" s="4"/>
    </row>
    <row r="181" spans="2:8" ht="11.45" customHeight="1" x14ac:dyDescent="0.2">
      <c r="B181" s="4"/>
      <c r="C181" s="4"/>
      <c r="D181" s="4"/>
      <c r="E181" s="4"/>
      <c r="F181" s="4"/>
      <c r="G181" s="4"/>
      <c r="H181" s="4"/>
    </row>
    <row r="182" spans="2:8" x14ac:dyDescent="0.2">
      <c r="B182" s="4"/>
      <c r="C182" s="4"/>
      <c r="D182" s="4"/>
      <c r="E182" s="4"/>
      <c r="F182" s="4"/>
      <c r="G182" s="4"/>
      <c r="H182" s="4"/>
    </row>
    <row r="183" spans="2:8" x14ac:dyDescent="0.2">
      <c r="B183" s="10"/>
      <c r="C183" s="10"/>
      <c r="D183" s="10"/>
      <c r="E183" s="10"/>
      <c r="F183" s="10"/>
      <c r="G183" s="10"/>
      <c r="H183" s="10"/>
    </row>
    <row r="184" spans="2:8" x14ac:dyDescent="0.2">
      <c r="B184" s="10"/>
      <c r="C184" s="10"/>
      <c r="D184" s="10"/>
      <c r="E184" s="10"/>
      <c r="F184" s="10"/>
      <c r="G184" s="10"/>
      <c r="H184" s="10"/>
    </row>
    <row r="185" spans="2:8" x14ac:dyDescent="0.2">
      <c r="B185" s="10"/>
      <c r="C185" s="10"/>
      <c r="D185" s="10"/>
      <c r="E185" s="10"/>
      <c r="F185" s="10"/>
      <c r="G185" s="10"/>
      <c r="H185" s="10"/>
    </row>
    <row r="186" spans="2:8" x14ac:dyDescent="0.2">
      <c r="B186" s="10"/>
      <c r="C186" s="10"/>
      <c r="D186" s="10"/>
      <c r="E186" s="10"/>
      <c r="F186" s="10"/>
      <c r="G186" s="10"/>
      <c r="H186" s="10"/>
    </row>
    <row r="187" spans="2:8" x14ac:dyDescent="0.2">
      <c r="B187" s="10"/>
      <c r="C187" s="10"/>
      <c r="D187" s="10"/>
      <c r="E187" s="10"/>
      <c r="F187" s="10"/>
      <c r="G187" s="10"/>
      <c r="H187" s="10"/>
    </row>
    <row r="188" spans="2:8" x14ac:dyDescent="0.2">
      <c r="B188" s="10"/>
      <c r="C188" s="10"/>
      <c r="D188" s="10"/>
      <c r="E188" s="10"/>
      <c r="F188" s="10"/>
      <c r="G188" s="10"/>
      <c r="H188" s="10"/>
    </row>
    <row r="189" spans="2:8" x14ac:dyDescent="0.2">
      <c r="B189" s="10"/>
      <c r="C189" s="10"/>
      <c r="D189" s="10"/>
      <c r="E189" s="10"/>
      <c r="F189" s="10"/>
      <c r="G189" s="10"/>
      <c r="H189" s="10"/>
    </row>
    <row r="190" spans="2:8" x14ac:dyDescent="0.2">
      <c r="B190" s="10"/>
      <c r="C190" s="10"/>
      <c r="D190" s="10"/>
      <c r="E190" s="10"/>
      <c r="F190" s="10"/>
      <c r="G190" s="10"/>
      <c r="H190" s="10"/>
    </row>
    <row r="191" spans="2:8" x14ac:dyDescent="0.2">
      <c r="B191" s="10"/>
      <c r="C191" s="10"/>
      <c r="D191" s="10"/>
      <c r="E191" s="10"/>
      <c r="F191" s="10"/>
      <c r="G191" s="10"/>
      <c r="H191" s="10"/>
    </row>
    <row r="192" spans="2:8" x14ac:dyDescent="0.2">
      <c r="B192" s="10"/>
      <c r="C192" s="10"/>
      <c r="D192" s="10"/>
      <c r="E192" s="10"/>
      <c r="F192" s="10"/>
      <c r="G192" s="10"/>
      <c r="H192" s="10"/>
    </row>
    <row r="193" spans="2:8" x14ac:dyDescent="0.2">
      <c r="B193" s="10"/>
      <c r="C193" s="10"/>
      <c r="D193" s="10"/>
      <c r="E193" s="10"/>
      <c r="F193" s="10"/>
      <c r="G193" s="10"/>
      <c r="H193" s="10"/>
    </row>
  </sheetData>
  <mergeCells count="59">
    <mergeCell ref="B120:H120"/>
    <mergeCell ref="B121:H121"/>
    <mergeCell ref="B122:H122"/>
    <mergeCell ref="B47:H47"/>
    <mergeCell ref="B48:H48"/>
    <mergeCell ref="B49:H49"/>
    <mergeCell ref="B50:H50"/>
    <mergeCell ref="B118:H118"/>
    <mergeCell ref="B119:H119"/>
    <mergeCell ref="E23:F23"/>
    <mergeCell ref="G23:H23"/>
    <mergeCell ref="E24:F24"/>
    <mergeCell ref="G24:H24"/>
    <mergeCell ref="B45:H45"/>
    <mergeCell ref="E25:F25"/>
    <mergeCell ref="G25:H25"/>
    <mergeCell ref="E26:F26"/>
    <mergeCell ref="G26:H26"/>
    <mergeCell ref="E27:F27"/>
    <mergeCell ref="G27:H27"/>
    <mergeCell ref="E28:F28"/>
    <mergeCell ref="G28:H28"/>
    <mergeCell ref="E29:F29"/>
    <mergeCell ref="G29:H29"/>
    <mergeCell ref="B30:D30"/>
    <mergeCell ref="E20:F20"/>
    <mergeCell ref="G20:H20"/>
    <mergeCell ref="E21:F21"/>
    <mergeCell ref="G21:H21"/>
    <mergeCell ref="E22:F22"/>
    <mergeCell ref="G22:H22"/>
    <mergeCell ref="E17:F17"/>
    <mergeCell ref="G17:H17"/>
    <mergeCell ref="E18:F18"/>
    <mergeCell ref="G18:H18"/>
    <mergeCell ref="E19:F19"/>
    <mergeCell ref="G19:H19"/>
    <mergeCell ref="E14:F14"/>
    <mergeCell ref="G14:H14"/>
    <mergeCell ref="E15:F15"/>
    <mergeCell ref="G15:H15"/>
    <mergeCell ref="E16:F16"/>
    <mergeCell ref="G16:H16"/>
    <mergeCell ref="J10:M10"/>
    <mergeCell ref="E11:F11"/>
    <mergeCell ref="G11:H11"/>
    <mergeCell ref="E13:F13"/>
    <mergeCell ref="G13:H13"/>
    <mergeCell ref="E12:F12"/>
    <mergeCell ref="G12:H12"/>
    <mergeCell ref="B8:C8"/>
    <mergeCell ref="E8:F8"/>
    <mergeCell ref="E10:F10"/>
    <mergeCell ref="G10:H10"/>
    <mergeCell ref="B1:H1"/>
    <mergeCell ref="B2:H2"/>
    <mergeCell ref="B3:H3"/>
    <mergeCell ref="B4:H4"/>
    <mergeCell ref="B7:C7"/>
  </mergeCells>
  <pageMargins left="0.59055118110236227" right="0.59055118110236227" top="0.39" bottom="0" header="0.55118110236220474" footer="0.51181102362204722"/>
  <pageSetup scale="9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PM!$B$11:$B$29</xm:f>
          </x14:formula1>
          <xm:sqref>H8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B1:M192"/>
  <sheetViews>
    <sheetView workbookViewId="0">
      <selection activeCell="E36" sqref="E36:E39"/>
    </sheetView>
  </sheetViews>
  <sheetFormatPr baseColWidth="10" defaultColWidth="11.42578125" defaultRowHeight="12" x14ac:dyDescent="0.2"/>
  <cols>
    <col min="1" max="1" width="5.28515625" style="1" customWidth="1"/>
    <col min="2" max="2" width="4" style="1" customWidth="1"/>
    <col min="3" max="3" width="5.42578125" style="1" customWidth="1"/>
    <col min="4" max="4" width="56.7109375" style="1" customWidth="1"/>
    <col min="5" max="5" width="5.85546875" style="1" customWidth="1"/>
    <col min="6" max="6" width="3.28515625" style="1" customWidth="1"/>
    <col min="7" max="7" width="4.85546875" style="1" customWidth="1"/>
    <col min="8" max="8" width="12.42578125" style="1" customWidth="1"/>
    <col min="9" max="9" width="8" style="1" customWidth="1"/>
    <col min="10" max="16384" width="11.42578125" style="1"/>
  </cols>
  <sheetData>
    <row r="1" spans="2:13" x14ac:dyDescent="0.2">
      <c r="B1" s="518" t="s">
        <v>288</v>
      </c>
      <c r="C1" s="518"/>
      <c r="D1" s="518"/>
      <c r="E1" s="518"/>
      <c r="F1" s="518"/>
      <c r="G1" s="518"/>
      <c r="H1" s="518"/>
    </row>
    <row r="2" spans="2:13" x14ac:dyDescent="0.2">
      <c r="B2" s="518" t="s">
        <v>1164</v>
      </c>
      <c r="C2" s="518"/>
      <c r="D2" s="518"/>
      <c r="E2" s="518"/>
      <c r="F2" s="518"/>
      <c r="G2" s="518"/>
      <c r="H2" s="518"/>
    </row>
    <row r="3" spans="2:13" x14ac:dyDescent="0.2">
      <c r="B3" s="518" t="s">
        <v>1222</v>
      </c>
      <c r="C3" s="518"/>
      <c r="D3" s="518"/>
      <c r="E3" s="518"/>
      <c r="F3" s="518"/>
      <c r="G3" s="518"/>
      <c r="H3" s="518"/>
    </row>
    <row r="4" spans="2:13" x14ac:dyDescent="0.2">
      <c r="B4" s="596"/>
      <c r="C4" s="596"/>
      <c r="D4" s="596"/>
      <c r="E4" s="596"/>
      <c r="F4" s="596"/>
      <c r="G4" s="596"/>
      <c r="H4" s="596"/>
    </row>
    <row r="5" spans="2:13" ht="14.25" customHeight="1" x14ac:dyDescent="0.2">
      <c r="B5" s="228" t="s">
        <v>50</v>
      </c>
      <c r="C5" s="229"/>
      <c r="D5" s="229"/>
      <c r="E5" s="227" t="s">
        <v>14</v>
      </c>
      <c r="F5" s="71"/>
      <c r="G5" s="71"/>
      <c r="H5" s="71"/>
    </row>
    <row r="6" spans="2:13" ht="14.25" customHeight="1" x14ac:dyDescent="0.2">
      <c r="B6" s="73">
        <f>+DIVERSOS!B7</f>
        <v>0</v>
      </c>
      <c r="C6" s="72"/>
      <c r="D6" s="72"/>
      <c r="E6" s="227" t="s">
        <v>276</v>
      </c>
      <c r="F6" s="227"/>
      <c r="G6" s="227"/>
      <c r="H6" s="71"/>
    </row>
    <row r="7" spans="2:13" ht="22.5" customHeight="1" x14ac:dyDescent="0.2">
      <c r="B7" s="597"/>
      <c r="C7" s="597"/>
      <c r="D7" s="288"/>
      <c r="E7" s="391" t="str">
        <f>+DIVERSOS!F7</f>
        <v>AÑO:</v>
      </c>
      <c r="F7" s="392"/>
      <c r="G7" s="392"/>
      <c r="H7" s="392"/>
    </row>
    <row r="8" spans="2:13" ht="6.75" customHeight="1" thickBot="1" x14ac:dyDescent="0.25">
      <c r="B8" s="3"/>
      <c r="C8" s="3"/>
      <c r="D8" s="3"/>
      <c r="E8" s="3"/>
      <c r="F8" s="3"/>
      <c r="G8" s="4"/>
      <c r="H8" s="4"/>
    </row>
    <row r="9" spans="2:13" ht="17.25" customHeight="1" x14ac:dyDescent="0.25">
      <c r="B9" s="13" t="s">
        <v>0</v>
      </c>
      <c r="C9" s="13"/>
      <c r="D9" s="74" t="s">
        <v>1</v>
      </c>
      <c r="E9" s="594" t="s">
        <v>52</v>
      </c>
      <c r="F9" s="594"/>
      <c r="G9" s="595" t="s">
        <v>7</v>
      </c>
      <c r="H9" s="595"/>
      <c r="J9" s="598"/>
      <c r="K9" s="599"/>
      <c r="L9" s="599"/>
      <c r="M9" s="600"/>
    </row>
    <row r="10" spans="2:13" ht="12.75" customHeight="1" x14ac:dyDescent="0.2">
      <c r="B10" s="14">
        <v>1</v>
      </c>
      <c r="C10" s="14">
        <v>22</v>
      </c>
      <c r="D10" s="77" t="s">
        <v>852</v>
      </c>
      <c r="E10" s="601"/>
      <c r="F10" s="601"/>
      <c r="G10" s="602"/>
      <c r="H10" s="602"/>
    </row>
    <row r="11" spans="2:13" ht="12.75" customHeight="1" x14ac:dyDescent="0.2">
      <c r="B11" s="14">
        <f t="shared" ref="B11:B27" si="0">+B10+1</f>
        <v>2</v>
      </c>
      <c r="C11" s="14">
        <v>221</v>
      </c>
      <c r="D11" s="75" t="s">
        <v>256</v>
      </c>
      <c r="E11" s="601"/>
      <c r="F11" s="601"/>
      <c r="G11" s="602">
        <f>+PERSONAL!G42</f>
        <v>4052170.62</v>
      </c>
      <c r="H11" s="602"/>
    </row>
    <row r="12" spans="2:13" ht="12.75" customHeight="1" x14ac:dyDescent="0.2">
      <c r="B12" s="14">
        <f t="shared" si="0"/>
        <v>3</v>
      </c>
      <c r="C12" s="14">
        <v>222</v>
      </c>
      <c r="D12" s="75" t="s">
        <v>11</v>
      </c>
      <c r="E12" s="603"/>
      <c r="F12" s="603"/>
      <c r="G12" s="602">
        <f>+PERSONAL!G59</f>
        <v>1861249.9640000002</v>
      </c>
      <c r="H12" s="602"/>
    </row>
    <row r="13" spans="2:13" ht="12.75" customHeight="1" x14ac:dyDescent="0.2">
      <c r="B13" s="14">
        <f t="shared" si="0"/>
        <v>4</v>
      </c>
      <c r="C13" s="14">
        <v>223</v>
      </c>
      <c r="D13" s="75" t="s">
        <v>873</v>
      </c>
      <c r="E13" s="601"/>
      <c r="F13" s="601"/>
      <c r="G13" s="602">
        <f>+PERSONAL!G81</f>
        <v>0</v>
      </c>
      <c r="H13" s="602"/>
    </row>
    <row r="14" spans="2:13" ht="12.75" customHeight="1" x14ac:dyDescent="0.2">
      <c r="B14" s="14">
        <f t="shared" si="0"/>
        <v>5</v>
      </c>
      <c r="C14" s="14">
        <v>224</v>
      </c>
      <c r="D14" s="75" t="s">
        <v>854</v>
      </c>
      <c r="E14" s="601"/>
      <c r="F14" s="601"/>
      <c r="G14" s="602">
        <f>+PERSONAL!G105</f>
        <v>1920000</v>
      </c>
      <c r="H14" s="602"/>
    </row>
    <row r="15" spans="2:13" ht="12.75" customHeight="1" x14ac:dyDescent="0.2">
      <c r="B15" s="79">
        <f>+B14+1</f>
        <v>6</v>
      </c>
      <c r="C15" s="230"/>
      <c r="D15" s="231" t="s">
        <v>1166</v>
      </c>
      <c r="E15" s="604"/>
      <c r="F15" s="604"/>
      <c r="G15" s="605">
        <f>SUM(G11:H14)</f>
        <v>7833420.5840000007</v>
      </c>
      <c r="H15" s="605"/>
    </row>
    <row r="16" spans="2:13" ht="12.75" customHeight="1" x14ac:dyDescent="0.2">
      <c r="B16" s="79">
        <f t="shared" si="0"/>
        <v>7</v>
      </c>
      <c r="C16" s="232"/>
      <c r="D16" s="218" t="s">
        <v>1167</v>
      </c>
      <c r="E16" s="604"/>
      <c r="F16" s="604"/>
      <c r="G16" s="605">
        <f>+G15</f>
        <v>7833420.5840000007</v>
      </c>
      <c r="H16" s="605"/>
    </row>
    <row r="17" spans="2:11" ht="12.75" customHeight="1" x14ac:dyDescent="0.2">
      <c r="B17" s="14">
        <f t="shared" si="0"/>
        <v>8</v>
      </c>
      <c r="C17" s="14">
        <v>23</v>
      </c>
      <c r="D17" s="75" t="s">
        <v>853</v>
      </c>
      <c r="E17" s="601"/>
      <c r="F17" s="601"/>
      <c r="G17" s="602">
        <f>+'ADQUISICIÓN DE ACTIVOS'!G45</f>
        <v>22777800</v>
      </c>
      <c r="H17" s="602"/>
    </row>
    <row r="18" spans="2:11" ht="12.75" customHeight="1" x14ac:dyDescent="0.2">
      <c r="B18" s="14">
        <f t="shared" si="0"/>
        <v>9</v>
      </c>
      <c r="C18" s="14">
        <v>231</v>
      </c>
      <c r="D18" s="76" t="s">
        <v>259</v>
      </c>
      <c r="E18" s="601"/>
      <c r="F18" s="601"/>
      <c r="G18" s="602">
        <f>+PUBLICIDAD!G53</f>
        <v>0</v>
      </c>
      <c r="H18" s="602"/>
    </row>
    <row r="19" spans="2:11" ht="12.75" customHeight="1" x14ac:dyDescent="0.2">
      <c r="B19" s="14">
        <f t="shared" si="0"/>
        <v>10</v>
      </c>
      <c r="C19" s="14">
        <v>232</v>
      </c>
      <c r="D19" s="76" t="s">
        <v>719</v>
      </c>
      <c r="E19" s="601"/>
      <c r="F19" s="601"/>
      <c r="G19" s="602">
        <f>+'ÚTILES Y PAPELERÍA'!G48</f>
        <v>250000</v>
      </c>
      <c r="H19" s="602"/>
    </row>
    <row r="20" spans="2:11" ht="12.75" customHeight="1" x14ac:dyDescent="0.2">
      <c r="B20" s="14">
        <f t="shared" si="0"/>
        <v>11</v>
      </c>
      <c r="C20" s="14">
        <v>238</v>
      </c>
      <c r="D20" s="75" t="s">
        <v>258</v>
      </c>
      <c r="E20" s="601"/>
      <c r="F20" s="601"/>
      <c r="G20" s="602">
        <f>+DIVERSOS!G33</f>
        <v>0</v>
      </c>
      <c r="H20" s="602"/>
    </row>
    <row r="21" spans="2:11" ht="12.75" customHeight="1" x14ac:dyDescent="0.2">
      <c r="B21" s="79">
        <f t="shared" si="0"/>
        <v>12</v>
      </c>
      <c r="C21" s="230"/>
      <c r="D21" s="231" t="s">
        <v>1168</v>
      </c>
      <c r="E21" s="604"/>
      <c r="F21" s="604"/>
      <c r="G21" s="605">
        <f>SUM(G17:H20)</f>
        <v>23027800</v>
      </c>
      <c r="H21" s="605"/>
    </row>
    <row r="22" spans="2:11" ht="12.75" customHeight="1" x14ac:dyDescent="0.2">
      <c r="B22" s="14">
        <f t="shared" si="0"/>
        <v>13</v>
      </c>
      <c r="C22" s="14">
        <v>24</v>
      </c>
      <c r="D22" s="75" t="s">
        <v>2</v>
      </c>
      <c r="E22" s="601"/>
      <c r="F22" s="601"/>
      <c r="G22" s="606">
        <v>0</v>
      </c>
      <c r="H22" s="606"/>
    </row>
    <row r="23" spans="2:11" ht="12.75" customHeight="1" x14ac:dyDescent="0.2">
      <c r="B23" s="14">
        <f t="shared" si="0"/>
        <v>14</v>
      </c>
      <c r="C23" s="14">
        <v>241</v>
      </c>
      <c r="D23" s="76" t="s">
        <v>17</v>
      </c>
      <c r="E23" s="601"/>
      <c r="F23" s="601"/>
      <c r="G23" s="602">
        <f>+'ESPACIOS FÍSICOS y EQUIP'!H51+'ESPACIOS FÍSICOS y EQUIP'!H60</f>
        <v>14950000</v>
      </c>
      <c r="H23" s="602"/>
    </row>
    <row r="24" spans="2:11" ht="12.75" customHeight="1" x14ac:dyDescent="0.2">
      <c r="B24" s="79">
        <f>+B23+1</f>
        <v>15</v>
      </c>
      <c r="C24" s="230"/>
      <c r="D24" s="231" t="s">
        <v>1169</v>
      </c>
      <c r="E24" s="604"/>
      <c r="F24" s="604"/>
      <c r="G24" s="605">
        <f>+G23</f>
        <v>14950000</v>
      </c>
      <c r="H24" s="605"/>
      <c r="I24" s="52"/>
      <c r="J24" s="52"/>
      <c r="K24" s="52"/>
    </row>
    <row r="25" spans="2:11" ht="12.75" customHeight="1" x14ac:dyDescent="0.2">
      <c r="B25" s="79">
        <f t="shared" si="0"/>
        <v>16</v>
      </c>
      <c r="C25" s="232"/>
      <c r="D25" s="231" t="s">
        <v>1170</v>
      </c>
      <c r="E25" s="604"/>
      <c r="F25" s="604"/>
      <c r="G25" s="605">
        <f>+G16+G21</f>
        <v>30861220.583999999</v>
      </c>
      <c r="H25" s="605"/>
      <c r="I25" s="52"/>
      <c r="J25" s="52"/>
      <c r="K25" s="52"/>
    </row>
    <row r="26" spans="2:11" ht="12.75" customHeight="1" x14ac:dyDescent="0.2">
      <c r="B26" s="14">
        <f t="shared" si="0"/>
        <v>17</v>
      </c>
      <c r="C26" s="15"/>
      <c r="D26" s="76" t="s">
        <v>1165</v>
      </c>
      <c r="E26" s="601"/>
      <c r="F26" s="601"/>
      <c r="G26" s="602">
        <f>+G25*0.05</f>
        <v>1543061.0292</v>
      </c>
      <c r="H26" s="602"/>
      <c r="I26" s="4"/>
      <c r="J26" s="52"/>
      <c r="K26" s="52"/>
    </row>
    <row r="27" spans="2:11" ht="12.75" customHeight="1" x14ac:dyDescent="0.2">
      <c r="B27" s="79">
        <f t="shared" si="0"/>
        <v>18</v>
      </c>
      <c r="C27" s="232"/>
      <c r="D27" s="218" t="s">
        <v>1171</v>
      </c>
      <c r="E27" s="604"/>
      <c r="F27" s="604"/>
      <c r="G27" s="605">
        <f>+G26+G25+G24</f>
        <v>47354281.613199994</v>
      </c>
      <c r="H27" s="605"/>
      <c r="I27" s="7"/>
      <c r="J27" s="52"/>
      <c r="K27" s="52"/>
    </row>
    <row r="28" spans="2:11" ht="12.75" customHeight="1" x14ac:dyDescent="0.2">
      <c r="B28" s="14">
        <f>+B27+1</f>
        <v>19</v>
      </c>
      <c r="C28" s="16"/>
      <c r="D28" s="78" t="s">
        <v>15</v>
      </c>
      <c r="E28" s="601"/>
      <c r="F28" s="601"/>
      <c r="G28" s="607">
        <f>+G27</f>
        <v>47354281.613199994</v>
      </c>
      <c r="H28" s="608"/>
      <c r="J28" s="53"/>
      <c r="K28" s="52"/>
    </row>
    <row r="29" spans="2:11" x14ac:dyDescent="0.2">
      <c r="B29" s="609" t="s">
        <v>3</v>
      </c>
      <c r="C29" s="610"/>
      <c r="D29" s="610"/>
      <c r="E29" s="4"/>
      <c r="F29" s="4"/>
      <c r="G29" s="4"/>
      <c r="H29" s="18"/>
      <c r="J29" s="54"/>
      <c r="K29" s="52"/>
    </row>
    <row r="30" spans="2:11" ht="17.25" customHeight="1" x14ac:dyDescent="0.2">
      <c r="B30" s="17"/>
      <c r="C30" s="4"/>
      <c r="D30" s="4"/>
      <c r="E30" s="4"/>
      <c r="F30" s="4"/>
      <c r="G30" s="4"/>
      <c r="H30" s="18"/>
      <c r="I30" s="4"/>
      <c r="J30" s="55"/>
      <c r="K30" s="52"/>
    </row>
    <row r="31" spans="2:11" x14ac:dyDescent="0.2">
      <c r="B31" s="17"/>
      <c r="C31" s="4"/>
      <c r="D31" s="4"/>
      <c r="E31" s="4"/>
      <c r="F31" s="4"/>
      <c r="G31" s="4"/>
      <c r="H31" s="18"/>
    </row>
    <row r="32" spans="2:11" ht="10.5" customHeight="1" x14ac:dyDescent="0.2">
      <c r="B32" s="17"/>
      <c r="C32" s="4"/>
      <c r="D32" s="4"/>
      <c r="E32" s="4" t="s">
        <v>13</v>
      </c>
      <c r="F32" s="4"/>
      <c r="G32" s="4"/>
      <c r="H32" s="18"/>
    </row>
    <row r="33" spans="2:8" x14ac:dyDescent="0.2">
      <c r="B33" s="17" t="s">
        <v>4</v>
      </c>
      <c r="C33" s="4"/>
      <c r="D33" s="4"/>
      <c r="E33" s="4"/>
      <c r="F33" s="4"/>
      <c r="G33" s="4"/>
      <c r="H33" s="18"/>
    </row>
    <row r="34" spans="2:8" x14ac:dyDescent="0.2">
      <c r="B34" s="17"/>
      <c r="C34" s="4"/>
      <c r="D34" s="4"/>
      <c r="E34" s="4"/>
      <c r="F34" s="4"/>
      <c r="G34" s="4"/>
      <c r="H34" s="18"/>
    </row>
    <row r="35" spans="2:8" x14ac:dyDescent="0.2">
      <c r="B35" s="17"/>
      <c r="C35" s="4"/>
      <c r="D35" s="4"/>
      <c r="E35" s="4"/>
      <c r="F35" s="4"/>
      <c r="G35" s="4"/>
      <c r="H35" s="18"/>
    </row>
    <row r="36" spans="2:8" x14ac:dyDescent="0.2">
      <c r="B36" s="43"/>
      <c r="C36" s="4"/>
      <c r="D36" s="4"/>
      <c r="E36" s="289" t="s">
        <v>661</v>
      </c>
      <c r="F36" s="289"/>
      <c r="G36" s="289"/>
      <c r="H36" s="290"/>
    </row>
    <row r="37" spans="2:8" x14ac:dyDescent="0.2">
      <c r="B37" s="43"/>
      <c r="C37" s="4"/>
      <c r="D37" s="4"/>
      <c r="E37" s="4"/>
      <c r="F37" s="4"/>
      <c r="G37" s="4"/>
      <c r="H37" s="18"/>
    </row>
    <row r="38" spans="2:8" x14ac:dyDescent="0.2">
      <c r="B38" s="43"/>
      <c r="C38" s="4"/>
      <c r="D38" s="4"/>
      <c r="F38" s="4"/>
      <c r="G38" s="4"/>
      <c r="H38" s="18"/>
    </row>
    <row r="39" spans="2:8" x14ac:dyDescent="0.2">
      <c r="B39" s="44"/>
      <c r="C39" s="41"/>
      <c r="D39" s="42"/>
      <c r="E39" s="4" t="s">
        <v>1223</v>
      </c>
      <c r="F39" s="4"/>
      <c r="G39" s="4"/>
      <c r="H39" s="18"/>
    </row>
    <row r="40" spans="2:8" ht="18" customHeight="1" x14ac:dyDescent="0.2">
      <c r="B40" s="47"/>
      <c r="C40" s="45"/>
      <c r="D40" s="46"/>
      <c r="E40" s="20" t="s">
        <v>10</v>
      </c>
      <c r="F40" s="20"/>
      <c r="G40" s="20"/>
      <c r="H40" s="19"/>
    </row>
    <row r="44" spans="2:8" x14ac:dyDescent="0.2">
      <c r="B44" s="518"/>
      <c r="C44" s="518"/>
      <c r="D44" s="518"/>
      <c r="E44" s="518"/>
      <c r="F44" s="518"/>
      <c r="G44" s="518"/>
      <c r="H44" s="518"/>
    </row>
    <row r="45" spans="2:8" x14ac:dyDescent="0.2">
      <c r="B45" s="11"/>
      <c r="C45" s="11"/>
      <c r="D45" s="11"/>
      <c r="E45" s="11"/>
      <c r="F45" s="11"/>
      <c r="G45" s="11"/>
      <c r="H45" s="11"/>
    </row>
    <row r="46" spans="2:8" x14ac:dyDescent="0.2">
      <c r="B46" s="518"/>
      <c r="C46" s="518"/>
      <c r="D46" s="518"/>
      <c r="E46" s="518"/>
      <c r="F46" s="518"/>
      <c r="G46" s="518"/>
      <c r="H46" s="518"/>
    </row>
    <row r="47" spans="2:8" x14ac:dyDescent="0.2">
      <c r="B47" s="518"/>
      <c r="C47" s="518"/>
      <c r="D47" s="518"/>
      <c r="E47" s="518"/>
      <c r="F47" s="518"/>
      <c r="G47" s="518"/>
      <c r="H47" s="518"/>
    </row>
    <row r="48" spans="2:8" x14ac:dyDescent="0.2">
      <c r="B48" s="518"/>
      <c r="C48" s="518"/>
      <c r="D48" s="518"/>
      <c r="E48" s="518"/>
      <c r="F48" s="518"/>
      <c r="G48" s="518"/>
      <c r="H48" s="518"/>
    </row>
    <row r="49" spans="2:8" x14ac:dyDescent="0.2">
      <c r="B49" s="518"/>
      <c r="C49" s="518"/>
      <c r="D49" s="518"/>
      <c r="E49" s="518"/>
      <c r="F49" s="518"/>
      <c r="G49" s="518"/>
      <c r="H49" s="518"/>
    </row>
    <row r="50" spans="2:8" x14ac:dyDescent="0.2">
      <c r="B50" s="21"/>
      <c r="C50" s="21"/>
      <c r="D50" s="21"/>
      <c r="E50" s="21"/>
      <c r="F50" s="21"/>
      <c r="G50" s="21"/>
      <c r="H50" s="21"/>
    </row>
    <row r="51" spans="2:8" x14ac:dyDescent="0.2">
      <c r="B51" s="3"/>
      <c r="C51" s="22"/>
      <c r="D51" s="22"/>
      <c r="E51" s="22"/>
      <c r="F51" s="22"/>
      <c r="G51" s="4"/>
      <c r="H51" s="4"/>
    </row>
    <row r="52" spans="2:8" x14ac:dyDescent="0.2">
      <c r="B52" s="3"/>
      <c r="C52" s="22"/>
      <c r="D52" s="22"/>
      <c r="E52" s="22"/>
      <c r="F52" s="22"/>
      <c r="G52" s="4"/>
      <c r="H52" s="23"/>
    </row>
    <row r="53" spans="2:8" x14ac:dyDescent="0.2">
      <c r="B53" s="3"/>
      <c r="C53" s="3"/>
      <c r="D53" s="3"/>
      <c r="E53" s="3"/>
      <c r="F53" s="3"/>
      <c r="G53" s="4"/>
      <c r="H53" s="4"/>
    </row>
    <row r="54" spans="2:8" x14ac:dyDescent="0.2">
      <c r="B54" s="4"/>
      <c r="C54" s="6"/>
      <c r="D54" s="6"/>
      <c r="E54" s="6"/>
      <c r="F54" s="6"/>
      <c r="G54" s="5"/>
      <c r="H54" s="5"/>
    </row>
    <row r="55" spans="2:8" ht="12.75" x14ac:dyDescent="0.2">
      <c r="B55" s="24"/>
      <c r="C55" s="24"/>
      <c r="D55" s="24"/>
      <c r="E55" s="25"/>
      <c r="F55" s="26"/>
      <c r="G55" s="27"/>
      <c r="H55" s="27"/>
    </row>
    <row r="56" spans="2:8" ht="12.75" x14ac:dyDescent="0.2">
      <c r="B56" s="24"/>
      <c r="C56" s="24"/>
      <c r="D56" s="24"/>
      <c r="E56" s="25"/>
      <c r="F56" s="26"/>
      <c r="G56" s="27"/>
      <c r="H56" s="27"/>
    </row>
    <row r="57" spans="2:8" ht="12.75" x14ac:dyDescent="0.2">
      <c r="B57" s="24"/>
      <c r="C57" s="24"/>
      <c r="D57" s="24"/>
      <c r="E57" s="12"/>
      <c r="F57" s="26"/>
      <c r="G57" s="26"/>
      <c r="H57" s="27"/>
    </row>
    <row r="58" spans="2:8" ht="12.75" x14ac:dyDescent="0.2">
      <c r="B58" s="24"/>
      <c r="C58" s="24"/>
      <c r="D58" s="24"/>
      <c r="E58" s="25"/>
      <c r="F58" s="26"/>
      <c r="G58" s="26"/>
      <c r="H58" s="27"/>
    </row>
    <row r="59" spans="2:8" ht="12.75" x14ac:dyDescent="0.2">
      <c r="B59" s="24"/>
      <c r="C59" s="24"/>
      <c r="D59" s="24"/>
      <c r="E59" s="25"/>
      <c r="F59" s="26"/>
      <c r="G59" s="26"/>
      <c r="H59" s="27"/>
    </row>
    <row r="60" spans="2:8" ht="12.75" x14ac:dyDescent="0.2">
      <c r="B60" s="24"/>
      <c r="C60" s="12"/>
      <c r="D60" s="28"/>
      <c r="E60" s="25"/>
      <c r="F60" s="26"/>
      <c r="G60" s="26"/>
      <c r="H60" s="29"/>
    </row>
    <row r="61" spans="2:8" ht="12.75" x14ac:dyDescent="0.2">
      <c r="B61" s="24"/>
      <c r="C61" s="24"/>
      <c r="D61" s="24"/>
      <c r="E61" s="25"/>
      <c r="F61" s="26"/>
      <c r="G61" s="26"/>
      <c r="H61" s="27"/>
    </row>
    <row r="62" spans="2:8" ht="12.75" x14ac:dyDescent="0.2">
      <c r="B62" s="24"/>
      <c r="C62" s="24"/>
      <c r="D62" s="30"/>
      <c r="E62" s="25"/>
      <c r="F62" s="26"/>
      <c r="G62" s="26"/>
      <c r="H62" s="27"/>
    </row>
    <row r="63" spans="2:8" ht="12.75" x14ac:dyDescent="0.2">
      <c r="B63" s="24"/>
      <c r="C63" s="24"/>
      <c r="D63" s="24"/>
      <c r="E63" s="25"/>
      <c r="F63" s="26"/>
      <c r="G63" s="26"/>
      <c r="H63" s="27"/>
    </row>
    <row r="64" spans="2:8" ht="12.75" x14ac:dyDescent="0.2">
      <c r="B64" s="24"/>
      <c r="C64" s="24"/>
      <c r="D64" s="24"/>
      <c r="E64" s="25"/>
      <c r="F64" s="26"/>
      <c r="G64" s="26"/>
      <c r="H64" s="27"/>
    </row>
    <row r="65" spans="2:8" ht="12.75" x14ac:dyDescent="0.2">
      <c r="B65" s="24"/>
      <c r="C65" s="24"/>
      <c r="D65" s="24"/>
      <c r="E65" s="25"/>
      <c r="F65" s="26"/>
      <c r="G65" s="26"/>
      <c r="H65" s="27"/>
    </row>
    <row r="66" spans="2:8" ht="12.75" x14ac:dyDescent="0.2">
      <c r="B66" s="24"/>
      <c r="C66" s="24"/>
      <c r="D66" s="24"/>
      <c r="E66" s="25"/>
      <c r="F66" s="26"/>
      <c r="G66" s="26"/>
      <c r="H66" s="27"/>
    </row>
    <row r="67" spans="2:8" ht="12.75" x14ac:dyDescent="0.2">
      <c r="B67" s="24"/>
      <c r="C67" s="24"/>
      <c r="D67" s="24"/>
      <c r="E67" s="25"/>
      <c r="F67" s="26"/>
      <c r="G67" s="26"/>
      <c r="H67" s="27"/>
    </row>
    <row r="68" spans="2:8" ht="12.75" x14ac:dyDescent="0.2">
      <c r="B68" s="24"/>
      <c r="C68" s="24"/>
      <c r="D68" s="24"/>
      <c r="E68" s="25"/>
      <c r="F68" s="26"/>
      <c r="G68" s="26"/>
      <c r="H68" s="27"/>
    </row>
    <row r="69" spans="2:8" ht="12.75" x14ac:dyDescent="0.2">
      <c r="B69" s="24"/>
      <c r="C69" s="24"/>
      <c r="D69" s="30"/>
      <c r="E69" s="25"/>
      <c r="F69" s="26"/>
      <c r="G69" s="26"/>
      <c r="H69" s="27"/>
    </row>
    <row r="70" spans="2:8" ht="12.75" x14ac:dyDescent="0.2">
      <c r="B70" s="24"/>
      <c r="C70" s="24"/>
      <c r="D70" s="30"/>
      <c r="E70" s="25"/>
      <c r="F70" s="26"/>
      <c r="G70" s="26"/>
      <c r="H70" s="27"/>
    </row>
    <row r="71" spans="2:8" ht="12.75" x14ac:dyDescent="0.2">
      <c r="B71" s="24"/>
      <c r="C71" s="24"/>
      <c r="D71" s="24"/>
      <c r="E71" s="25"/>
      <c r="F71" s="26"/>
      <c r="G71" s="26"/>
      <c r="H71" s="27"/>
    </row>
    <row r="72" spans="2:8" ht="12.75" x14ac:dyDescent="0.2">
      <c r="B72" s="24"/>
      <c r="C72" s="24"/>
      <c r="D72" s="24"/>
      <c r="E72" s="25"/>
      <c r="F72" s="26"/>
      <c r="G72" s="26"/>
      <c r="H72" s="27"/>
    </row>
    <row r="73" spans="2:8" ht="12.75" x14ac:dyDescent="0.2">
      <c r="B73" s="24"/>
      <c r="C73" s="31"/>
      <c r="D73" s="28"/>
      <c r="E73" s="25"/>
      <c r="F73" s="26"/>
      <c r="G73" s="26"/>
      <c r="H73" s="29"/>
    </row>
    <row r="74" spans="2:8" ht="12.75" x14ac:dyDescent="0.2">
      <c r="B74" s="24"/>
      <c r="C74" s="24"/>
      <c r="D74" s="24"/>
      <c r="E74" s="25"/>
      <c r="F74" s="26"/>
      <c r="G74" s="26"/>
      <c r="H74" s="27"/>
    </row>
    <row r="75" spans="2:8" ht="12.75" x14ac:dyDescent="0.2">
      <c r="B75" s="24"/>
      <c r="C75" s="24"/>
      <c r="D75" s="24"/>
      <c r="E75" s="25"/>
      <c r="F75" s="26"/>
      <c r="G75" s="26"/>
      <c r="H75" s="27"/>
    </row>
    <row r="76" spans="2:8" ht="12.75" x14ac:dyDescent="0.2">
      <c r="B76" s="24"/>
      <c r="C76" s="24"/>
      <c r="D76" s="24"/>
      <c r="E76" s="25"/>
      <c r="F76" s="26"/>
      <c r="G76" s="26"/>
      <c r="H76" s="27"/>
    </row>
    <row r="77" spans="2:8" ht="12.75" x14ac:dyDescent="0.2">
      <c r="B77" s="24"/>
      <c r="C77" s="24"/>
      <c r="D77" s="24"/>
      <c r="E77" s="25"/>
      <c r="F77" s="32"/>
      <c r="G77" s="26"/>
      <c r="H77" s="27"/>
    </row>
    <row r="78" spans="2:8" ht="12.75" x14ac:dyDescent="0.2">
      <c r="B78" s="24"/>
      <c r="C78" s="24"/>
      <c r="D78" s="24"/>
      <c r="E78" s="25"/>
      <c r="F78" s="26"/>
      <c r="G78" s="26"/>
      <c r="H78" s="27"/>
    </row>
    <row r="79" spans="2:8" ht="12.75" x14ac:dyDescent="0.2">
      <c r="B79" s="24"/>
      <c r="C79" s="31"/>
      <c r="D79" s="28"/>
      <c r="E79" s="25"/>
      <c r="F79" s="26"/>
      <c r="G79" s="26"/>
      <c r="H79" s="27"/>
    </row>
    <row r="80" spans="2:8" ht="12.75" x14ac:dyDescent="0.2">
      <c r="B80" s="24"/>
      <c r="C80" s="12"/>
      <c r="D80" s="33"/>
      <c r="E80" s="25"/>
      <c r="F80" s="26"/>
      <c r="G80" s="26"/>
      <c r="H80" s="29"/>
    </row>
    <row r="81" spans="2:8" ht="12.75" x14ac:dyDescent="0.2">
      <c r="B81" s="24"/>
      <c r="C81" s="24"/>
      <c r="D81" s="24"/>
      <c r="E81" s="25"/>
      <c r="F81" s="32"/>
      <c r="G81" s="26"/>
      <c r="H81" s="27"/>
    </row>
    <row r="82" spans="2:8" ht="12.75" x14ac:dyDescent="0.2">
      <c r="B82" s="24"/>
      <c r="C82" s="24"/>
      <c r="D82" s="30"/>
      <c r="E82" s="34"/>
      <c r="F82" s="34"/>
      <c r="G82" s="35"/>
      <c r="H82" s="36"/>
    </row>
    <row r="83" spans="2:8" ht="12.75" x14ac:dyDescent="0.2">
      <c r="B83" s="24"/>
      <c r="C83" s="24"/>
      <c r="D83" s="24"/>
      <c r="E83" s="25"/>
      <c r="F83" s="32"/>
      <c r="G83" s="26"/>
      <c r="H83" s="36"/>
    </row>
    <row r="84" spans="2:8" ht="12.75" x14ac:dyDescent="0.2">
      <c r="B84" s="24"/>
      <c r="C84" s="24"/>
      <c r="D84" s="24"/>
      <c r="E84" s="25"/>
      <c r="F84" s="26"/>
      <c r="G84" s="26"/>
      <c r="H84" s="36"/>
    </row>
    <row r="85" spans="2:8" ht="12.75" x14ac:dyDescent="0.2">
      <c r="B85" s="24"/>
      <c r="C85" s="24"/>
      <c r="D85" s="24"/>
      <c r="E85" s="25"/>
      <c r="F85" s="26"/>
      <c r="G85" s="32"/>
      <c r="H85" s="36"/>
    </row>
    <row r="86" spans="2:8" ht="12.75" x14ac:dyDescent="0.2">
      <c r="B86" s="24"/>
      <c r="C86" s="24"/>
      <c r="D86" s="24"/>
      <c r="E86" s="25"/>
      <c r="F86" s="26"/>
      <c r="G86" s="26"/>
      <c r="H86" s="36"/>
    </row>
    <row r="87" spans="2:8" ht="12.75" x14ac:dyDescent="0.2">
      <c r="B87" s="24"/>
      <c r="C87" s="24"/>
      <c r="D87" s="24"/>
      <c r="E87" s="37"/>
      <c r="F87" s="26"/>
      <c r="G87" s="26"/>
      <c r="H87" s="36"/>
    </row>
    <row r="88" spans="2:8" ht="12.75" x14ac:dyDescent="0.2">
      <c r="B88" s="24"/>
      <c r="C88" s="24"/>
      <c r="D88" s="24"/>
      <c r="E88" s="37"/>
      <c r="F88" s="26"/>
      <c r="G88" s="26"/>
      <c r="H88" s="27"/>
    </row>
    <row r="89" spans="2:8" ht="12.75" x14ac:dyDescent="0.2">
      <c r="B89" s="24"/>
      <c r="C89" s="24"/>
      <c r="D89" s="24"/>
      <c r="E89" s="38"/>
      <c r="F89" s="26"/>
      <c r="G89" s="26"/>
      <c r="H89" s="27"/>
    </row>
    <row r="90" spans="2:8" ht="12.75" x14ac:dyDescent="0.2">
      <c r="B90" s="24"/>
      <c r="C90" s="24"/>
      <c r="D90" s="24"/>
      <c r="E90" s="25"/>
      <c r="F90" s="26"/>
      <c r="G90" s="26"/>
      <c r="H90" s="27"/>
    </row>
    <row r="91" spans="2:8" ht="12.75" x14ac:dyDescent="0.2">
      <c r="B91" s="24"/>
      <c r="C91" s="31"/>
      <c r="D91" s="28"/>
      <c r="E91" s="25"/>
      <c r="F91" s="26"/>
      <c r="G91" s="26"/>
      <c r="H91" s="29"/>
    </row>
    <row r="92" spans="2:8" ht="12.75" x14ac:dyDescent="0.2">
      <c r="B92" s="24"/>
      <c r="C92" s="24"/>
      <c r="D92" s="24"/>
      <c r="E92" s="25"/>
      <c r="F92" s="32"/>
      <c r="G92" s="26"/>
      <c r="H92" s="27"/>
    </row>
    <row r="93" spans="2:8" ht="12.75" x14ac:dyDescent="0.2">
      <c r="B93" s="24"/>
      <c r="C93" s="24"/>
      <c r="D93" s="30"/>
      <c r="E93" s="25"/>
      <c r="F93" s="32"/>
      <c r="G93" s="26"/>
      <c r="H93" s="27"/>
    </row>
    <row r="94" spans="2:8" ht="12.75" x14ac:dyDescent="0.2">
      <c r="B94" s="24"/>
      <c r="C94" s="24"/>
      <c r="D94" s="24"/>
      <c r="E94" s="25"/>
      <c r="F94" s="26"/>
      <c r="G94" s="26"/>
      <c r="H94" s="27"/>
    </row>
    <row r="95" spans="2:8" ht="12.75" x14ac:dyDescent="0.2">
      <c r="B95" s="24"/>
      <c r="C95" s="31"/>
      <c r="D95" s="28"/>
      <c r="E95" s="25"/>
      <c r="F95" s="26"/>
      <c r="G95" s="26"/>
      <c r="H95" s="29"/>
    </row>
    <row r="96" spans="2:8" ht="12.75" x14ac:dyDescent="0.2">
      <c r="B96" s="24"/>
      <c r="C96" s="12"/>
      <c r="D96" s="28"/>
      <c r="E96" s="25"/>
      <c r="F96" s="26"/>
      <c r="G96" s="26"/>
      <c r="H96" s="29"/>
    </row>
    <row r="97" spans="2:9" ht="12.75" x14ac:dyDescent="0.2">
      <c r="B97" s="24"/>
      <c r="C97" s="31"/>
      <c r="D97" s="30"/>
      <c r="E97" s="25"/>
      <c r="F97" s="32"/>
      <c r="G97" s="26"/>
      <c r="H97" s="27"/>
    </row>
    <row r="98" spans="2:9" ht="12.75" x14ac:dyDescent="0.2">
      <c r="B98" s="24"/>
      <c r="C98" s="12"/>
      <c r="D98" s="33"/>
      <c r="E98" s="25"/>
      <c r="F98" s="26"/>
      <c r="G98" s="26"/>
      <c r="H98" s="29"/>
      <c r="I98" s="9"/>
    </row>
    <row r="99" spans="2:9" ht="12.75" x14ac:dyDescent="0.2">
      <c r="B99" s="24"/>
      <c r="C99" s="12"/>
      <c r="D99" s="39"/>
      <c r="E99" s="25"/>
      <c r="F99" s="26"/>
      <c r="G99" s="26"/>
      <c r="H99" s="29"/>
      <c r="I99" s="9"/>
    </row>
    <row r="100" spans="2:9" ht="12.75" x14ac:dyDescent="0.2">
      <c r="B100" s="32"/>
      <c r="C100" s="32"/>
      <c r="D100" s="40"/>
      <c r="E100" s="25"/>
      <c r="F100" s="32"/>
      <c r="G100" s="26"/>
      <c r="H100" s="29"/>
    </row>
    <row r="101" spans="2:9" x14ac:dyDescent="0.2">
      <c r="B101" s="4"/>
      <c r="C101" s="4"/>
      <c r="D101" s="5"/>
      <c r="E101" s="6"/>
      <c r="F101" s="7"/>
      <c r="G101" s="8"/>
      <c r="H101" s="8"/>
    </row>
    <row r="102" spans="2:9" x14ac:dyDescent="0.2">
      <c r="B102" s="4"/>
      <c r="C102" s="4"/>
      <c r="D102" s="5"/>
      <c r="E102" s="6"/>
      <c r="F102" s="7"/>
      <c r="G102" s="8"/>
      <c r="H102" s="8"/>
    </row>
    <row r="103" spans="2:9" x14ac:dyDescent="0.2">
      <c r="B103" s="4"/>
      <c r="C103" s="4"/>
      <c r="D103" s="4"/>
      <c r="E103" s="4"/>
      <c r="F103" s="4"/>
      <c r="G103" s="4"/>
      <c r="H103" s="4"/>
    </row>
    <row r="104" spans="2:9" x14ac:dyDescent="0.2">
      <c r="B104" s="4"/>
      <c r="C104" s="4"/>
      <c r="D104" s="4"/>
      <c r="E104" s="4"/>
      <c r="F104" s="4"/>
      <c r="G104" s="4"/>
      <c r="H104" s="4"/>
    </row>
    <row r="105" spans="2:9" x14ac:dyDescent="0.2">
      <c r="B105" s="4"/>
      <c r="C105" s="4"/>
      <c r="D105" s="4"/>
      <c r="E105" s="4"/>
      <c r="F105" s="4"/>
      <c r="G105" s="4"/>
      <c r="H105" s="4"/>
    </row>
    <row r="106" spans="2:9" x14ac:dyDescent="0.2">
      <c r="B106" s="4"/>
      <c r="C106" s="4"/>
      <c r="D106" s="4"/>
      <c r="E106" s="4"/>
      <c r="F106" s="4"/>
      <c r="G106" s="4"/>
      <c r="H106" s="4"/>
    </row>
    <row r="107" spans="2:9" x14ac:dyDescent="0.2">
      <c r="B107" s="4"/>
      <c r="C107" s="4"/>
      <c r="D107" s="4"/>
      <c r="E107" s="4"/>
      <c r="F107" s="4"/>
      <c r="G107" s="4"/>
      <c r="H107" s="4"/>
    </row>
    <row r="108" spans="2:9" x14ac:dyDescent="0.2">
      <c r="B108" s="4"/>
      <c r="C108" s="4"/>
      <c r="D108" s="4"/>
      <c r="E108" s="4"/>
      <c r="F108" s="4"/>
      <c r="G108" s="4"/>
      <c r="H108" s="4"/>
    </row>
    <row r="109" spans="2:9" x14ac:dyDescent="0.2">
      <c r="B109" s="4"/>
      <c r="C109" s="4"/>
      <c r="D109" s="4"/>
      <c r="E109" s="4"/>
      <c r="F109" s="4"/>
      <c r="G109" s="4"/>
      <c r="H109" s="4"/>
    </row>
    <row r="110" spans="2:9" x14ac:dyDescent="0.2">
      <c r="B110" s="4"/>
      <c r="C110" s="4"/>
      <c r="D110" s="4"/>
      <c r="E110" s="4"/>
      <c r="F110" s="4"/>
      <c r="G110" s="4"/>
      <c r="H110" s="4"/>
    </row>
    <row r="111" spans="2:9" x14ac:dyDescent="0.2">
      <c r="B111" s="10"/>
      <c r="C111" s="10"/>
      <c r="D111" s="10"/>
      <c r="E111" s="10"/>
      <c r="F111" s="10"/>
      <c r="G111" s="10"/>
      <c r="H111" s="10"/>
    </row>
    <row r="112" spans="2:9" x14ac:dyDescent="0.2">
      <c r="B112" s="10"/>
      <c r="C112" s="10"/>
      <c r="D112" s="10"/>
      <c r="E112" s="10"/>
      <c r="F112" s="10"/>
      <c r="G112" s="10"/>
      <c r="H112" s="10"/>
    </row>
    <row r="113" spans="2:8" x14ac:dyDescent="0.2">
      <c r="B113" s="10"/>
      <c r="C113" s="10"/>
      <c r="D113" s="10"/>
      <c r="E113" s="10"/>
      <c r="F113" s="10"/>
      <c r="G113" s="10"/>
      <c r="H113" s="10"/>
    </row>
    <row r="114" spans="2:8" x14ac:dyDescent="0.2">
      <c r="B114" s="10"/>
      <c r="C114" s="10"/>
      <c r="D114" s="10"/>
      <c r="E114" s="10"/>
      <c r="F114" s="10"/>
      <c r="G114" s="10"/>
      <c r="H114" s="10"/>
    </row>
    <row r="115" spans="2:8" x14ac:dyDescent="0.2">
      <c r="B115" s="10"/>
      <c r="C115" s="10"/>
      <c r="D115" s="10"/>
      <c r="E115" s="10"/>
      <c r="F115" s="10"/>
      <c r="G115" s="10"/>
      <c r="H115" s="10"/>
    </row>
    <row r="116" spans="2:8" x14ac:dyDescent="0.2">
      <c r="B116" s="10"/>
      <c r="C116" s="10"/>
      <c r="D116" s="10"/>
      <c r="E116" s="10"/>
      <c r="F116" s="10"/>
      <c r="G116" s="10"/>
      <c r="H116" s="10"/>
    </row>
    <row r="117" spans="2:8" x14ac:dyDescent="0.2">
      <c r="B117" s="611"/>
      <c r="C117" s="611"/>
      <c r="D117" s="611"/>
      <c r="E117" s="611"/>
      <c r="F117" s="611"/>
      <c r="G117" s="611"/>
      <c r="H117" s="611"/>
    </row>
    <row r="118" spans="2:8" x14ac:dyDescent="0.2">
      <c r="B118" s="611"/>
      <c r="C118" s="611"/>
      <c r="D118" s="611"/>
      <c r="E118" s="611"/>
      <c r="F118" s="611"/>
      <c r="G118" s="611"/>
      <c r="H118" s="611"/>
    </row>
    <row r="119" spans="2:8" x14ac:dyDescent="0.2">
      <c r="B119" s="518"/>
      <c r="C119" s="518"/>
      <c r="D119" s="518"/>
      <c r="E119" s="518"/>
      <c r="F119" s="518"/>
      <c r="G119" s="518"/>
      <c r="H119" s="518"/>
    </row>
    <row r="120" spans="2:8" x14ac:dyDescent="0.2">
      <c r="B120" s="518"/>
      <c r="C120" s="518"/>
      <c r="D120" s="518"/>
      <c r="E120" s="518"/>
      <c r="F120" s="518"/>
      <c r="G120" s="518"/>
      <c r="H120" s="518"/>
    </row>
    <row r="121" spans="2:8" x14ac:dyDescent="0.2">
      <c r="B121" s="518"/>
      <c r="C121" s="518"/>
      <c r="D121" s="518"/>
      <c r="E121" s="518"/>
      <c r="F121" s="518"/>
      <c r="G121" s="518"/>
      <c r="H121" s="518"/>
    </row>
    <row r="122" spans="2:8" x14ac:dyDescent="0.2">
      <c r="B122" s="21"/>
      <c r="C122" s="21"/>
      <c r="D122" s="21"/>
      <c r="E122" s="21"/>
      <c r="F122" s="21"/>
      <c r="G122" s="21"/>
      <c r="H122" s="21"/>
    </row>
    <row r="123" spans="2:8" x14ac:dyDescent="0.2">
      <c r="B123" s="3"/>
      <c r="C123" s="22"/>
      <c r="D123" s="22"/>
      <c r="E123" s="22"/>
      <c r="F123" s="22"/>
      <c r="G123" s="4"/>
      <c r="H123" s="4"/>
    </row>
    <row r="124" spans="2:8" ht="11.45" customHeight="1" x14ac:dyDescent="0.2">
      <c r="B124" s="3"/>
      <c r="C124" s="22"/>
      <c r="D124" s="22"/>
      <c r="E124" s="22"/>
      <c r="F124" s="22"/>
      <c r="G124" s="4"/>
      <c r="H124" s="23"/>
    </row>
    <row r="125" spans="2:8" ht="11.45" customHeight="1" x14ac:dyDescent="0.2">
      <c r="B125" s="3"/>
      <c r="C125" s="3"/>
      <c r="D125" s="3"/>
      <c r="E125" s="3"/>
      <c r="F125" s="3"/>
      <c r="G125" s="4"/>
      <c r="H125" s="4"/>
    </row>
    <row r="126" spans="2:8" ht="11.45" customHeight="1" x14ac:dyDescent="0.2">
      <c r="B126" s="4"/>
      <c r="C126" s="6"/>
      <c r="D126" s="6"/>
      <c r="E126" s="6"/>
      <c r="F126" s="6"/>
      <c r="G126" s="5"/>
      <c r="H126" s="5"/>
    </row>
    <row r="127" spans="2:8" ht="11.45" customHeight="1" x14ac:dyDescent="0.2">
      <c r="B127" s="24"/>
      <c r="C127" s="24"/>
      <c r="D127" s="24"/>
      <c r="E127" s="25"/>
      <c r="F127" s="26"/>
      <c r="G127" s="27"/>
      <c r="H127" s="27"/>
    </row>
    <row r="128" spans="2:8" ht="11.45" customHeight="1" x14ac:dyDescent="0.2">
      <c r="B128" s="24"/>
      <c r="C128" s="24"/>
      <c r="D128" s="24"/>
      <c r="E128" s="25"/>
      <c r="F128" s="26"/>
      <c r="G128" s="27"/>
      <c r="H128" s="27"/>
    </row>
    <row r="129" spans="2:8" ht="11.45" customHeight="1" x14ac:dyDescent="0.2">
      <c r="B129" s="24"/>
      <c r="C129" s="24"/>
      <c r="D129" s="24"/>
      <c r="E129" s="12"/>
      <c r="F129" s="26"/>
      <c r="G129" s="26"/>
      <c r="H129" s="27"/>
    </row>
    <row r="130" spans="2:8" ht="11.45" customHeight="1" x14ac:dyDescent="0.2">
      <c r="B130" s="24"/>
      <c r="C130" s="24"/>
      <c r="D130" s="24"/>
      <c r="E130" s="25"/>
      <c r="F130" s="26"/>
      <c r="G130" s="26"/>
      <c r="H130" s="27"/>
    </row>
    <row r="131" spans="2:8" ht="11.45" customHeight="1" x14ac:dyDescent="0.2">
      <c r="B131" s="24"/>
      <c r="C131" s="24"/>
      <c r="D131" s="24"/>
      <c r="E131" s="25"/>
      <c r="F131" s="26"/>
      <c r="G131" s="26"/>
      <c r="H131" s="27"/>
    </row>
    <row r="132" spans="2:8" ht="11.45" customHeight="1" x14ac:dyDescent="0.2">
      <c r="B132" s="24"/>
      <c r="C132" s="12"/>
      <c r="D132" s="28"/>
      <c r="E132" s="25"/>
      <c r="F132" s="26"/>
      <c r="G132" s="26"/>
      <c r="H132" s="29"/>
    </row>
    <row r="133" spans="2:8" ht="11.45" customHeight="1" x14ac:dyDescent="0.2">
      <c r="B133" s="24"/>
      <c r="C133" s="24"/>
      <c r="D133" s="24"/>
      <c r="E133" s="25"/>
      <c r="F133" s="26"/>
      <c r="G133" s="26"/>
      <c r="H133" s="27"/>
    </row>
    <row r="134" spans="2:8" ht="11.45" customHeight="1" x14ac:dyDescent="0.2">
      <c r="B134" s="24"/>
      <c r="C134" s="24"/>
      <c r="D134" s="30"/>
      <c r="E134" s="25"/>
      <c r="F134" s="26"/>
      <c r="G134" s="26"/>
      <c r="H134" s="27"/>
    </row>
    <row r="135" spans="2:8" ht="11.45" customHeight="1" x14ac:dyDescent="0.2">
      <c r="B135" s="24"/>
      <c r="C135" s="24"/>
      <c r="D135" s="24"/>
      <c r="E135" s="25"/>
      <c r="F135" s="26"/>
      <c r="G135" s="26"/>
      <c r="H135" s="27"/>
    </row>
    <row r="136" spans="2:8" ht="11.45" customHeight="1" x14ac:dyDescent="0.2">
      <c r="B136" s="24"/>
      <c r="C136" s="24"/>
      <c r="D136" s="24"/>
      <c r="E136" s="25"/>
      <c r="F136" s="26"/>
      <c r="G136" s="26"/>
      <c r="H136" s="27"/>
    </row>
    <row r="137" spans="2:8" ht="11.45" customHeight="1" x14ac:dyDescent="0.2">
      <c r="B137" s="24"/>
      <c r="C137" s="24"/>
      <c r="D137" s="24"/>
      <c r="E137" s="25"/>
      <c r="F137" s="26"/>
      <c r="G137" s="26"/>
      <c r="H137" s="27"/>
    </row>
    <row r="138" spans="2:8" ht="11.45" customHeight="1" x14ac:dyDescent="0.2">
      <c r="B138" s="24"/>
      <c r="C138" s="24"/>
      <c r="D138" s="24"/>
      <c r="E138" s="25"/>
      <c r="F138" s="26"/>
      <c r="G138" s="26"/>
      <c r="H138" s="27"/>
    </row>
    <row r="139" spans="2:8" ht="11.45" customHeight="1" x14ac:dyDescent="0.2">
      <c r="B139" s="24"/>
      <c r="C139" s="24"/>
      <c r="D139" s="24"/>
      <c r="E139" s="25"/>
      <c r="F139" s="26"/>
      <c r="G139" s="26"/>
      <c r="H139" s="27"/>
    </row>
    <row r="140" spans="2:8" ht="11.45" customHeight="1" x14ac:dyDescent="0.2">
      <c r="B140" s="24"/>
      <c r="C140" s="24"/>
      <c r="D140" s="30"/>
      <c r="E140" s="25"/>
      <c r="F140" s="26"/>
      <c r="G140" s="26"/>
      <c r="H140" s="27"/>
    </row>
    <row r="141" spans="2:8" ht="11.45" customHeight="1" x14ac:dyDescent="0.2">
      <c r="B141" s="24"/>
      <c r="C141" s="24"/>
      <c r="D141" s="30"/>
      <c r="E141" s="25"/>
      <c r="F141" s="26"/>
      <c r="G141" s="26"/>
      <c r="H141" s="27"/>
    </row>
    <row r="142" spans="2:8" ht="11.45" customHeight="1" x14ac:dyDescent="0.2">
      <c r="B142" s="24"/>
      <c r="C142" s="24"/>
      <c r="D142" s="24"/>
      <c r="E142" s="25"/>
      <c r="F142" s="26"/>
      <c r="G142" s="26"/>
      <c r="H142" s="27"/>
    </row>
    <row r="143" spans="2:8" ht="11.45" customHeight="1" x14ac:dyDescent="0.2">
      <c r="B143" s="24"/>
      <c r="C143" s="24"/>
      <c r="D143" s="24"/>
      <c r="E143" s="25"/>
      <c r="F143" s="26"/>
      <c r="G143" s="26"/>
      <c r="H143" s="27"/>
    </row>
    <row r="144" spans="2:8" ht="11.45" customHeight="1" x14ac:dyDescent="0.2">
      <c r="B144" s="24"/>
      <c r="C144" s="31"/>
      <c r="D144" s="28"/>
      <c r="E144" s="25"/>
      <c r="F144" s="26"/>
      <c r="G144" s="26"/>
      <c r="H144" s="29"/>
    </row>
    <row r="145" spans="2:8" ht="11.45" customHeight="1" x14ac:dyDescent="0.2">
      <c r="B145" s="24"/>
      <c r="C145" s="24"/>
      <c r="D145" s="24"/>
      <c r="E145" s="25"/>
      <c r="F145" s="26"/>
      <c r="G145" s="26"/>
      <c r="H145" s="27"/>
    </row>
    <row r="146" spans="2:8" ht="11.45" customHeight="1" x14ac:dyDescent="0.2">
      <c r="B146" s="24"/>
      <c r="C146" s="24"/>
      <c r="D146" s="24"/>
      <c r="E146" s="25"/>
      <c r="F146" s="26"/>
      <c r="G146" s="26"/>
      <c r="H146" s="27"/>
    </row>
    <row r="147" spans="2:8" ht="11.45" customHeight="1" x14ac:dyDescent="0.2">
      <c r="B147" s="24"/>
      <c r="C147" s="24"/>
      <c r="D147" s="24"/>
      <c r="E147" s="25"/>
      <c r="F147" s="26"/>
      <c r="G147" s="26"/>
      <c r="H147" s="27"/>
    </row>
    <row r="148" spans="2:8" ht="11.45" customHeight="1" x14ac:dyDescent="0.2">
      <c r="B148" s="24"/>
      <c r="C148" s="24"/>
      <c r="D148" s="24"/>
      <c r="E148" s="25"/>
      <c r="F148" s="32"/>
      <c r="G148" s="26"/>
      <c r="H148" s="27"/>
    </row>
    <row r="149" spans="2:8" ht="11.45" customHeight="1" x14ac:dyDescent="0.2">
      <c r="B149" s="24"/>
      <c r="C149" s="24"/>
      <c r="D149" s="24"/>
      <c r="E149" s="25"/>
      <c r="F149" s="26"/>
      <c r="G149" s="26"/>
      <c r="H149" s="27"/>
    </row>
    <row r="150" spans="2:8" ht="11.45" customHeight="1" x14ac:dyDescent="0.2">
      <c r="B150" s="24"/>
      <c r="C150" s="31"/>
      <c r="D150" s="28"/>
      <c r="E150" s="25"/>
      <c r="F150" s="26"/>
      <c r="G150" s="26"/>
      <c r="H150" s="27"/>
    </row>
    <row r="151" spans="2:8" ht="11.45" customHeight="1" x14ac:dyDescent="0.2">
      <c r="B151" s="24"/>
      <c r="C151" s="12"/>
      <c r="D151" s="33"/>
      <c r="E151" s="25"/>
      <c r="F151" s="26"/>
      <c r="G151" s="26"/>
      <c r="H151" s="29"/>
    </row>
    <row r="152" spans="2:8" ht="11.45" customHeight="1" x14ac:dyDescent="0.2">
      <c r="B152" s="24"/>
      <c r="C152" s="24"/>
      <c r="D152" s="24"/>
      <c r="E152" s="25"/>
      <c r="F152" s="32"/>
      <c r="G152" s="26"/>
      <c r="H152" s="27"/>
    </row>
    <row r="153" spans="2:8" ht="11.45" customHeight="1" x14ac:dyDescent="0.2">
      <c r="B153" s="24"/>
      <c r="C153" s="24"/>
      <c r="D153" s="30"/>
      <c r="E153" s="34"/>
      <c r="F153" s="34"/>
      <c r="G153" s="35"/>
      <c r="H153" s="36"/>
    </row>
    <row r="154" spans="2:8" ht="11.45" customHeight="1" x14ac:dyDescent="0.2">
      <c r="B154" s="24"/>
      <c r="C154" s="24"/>
      <c r="D154" s="24"/>
      <c r="E154" s="25"/>
      <c r="F154" s="32"/>
      <c r="G154" s="26"/>
      <c r="H154" s="36"/>
    </row>
    <row r="155" spans="2:8" ht="11.45" customHeight="1" x14ac:dyDescent="0.2">
      <c r="B155" s="24"/>
      <c r="C155" s="24"/>
      <c r="D155" s="24"/>
      <c r="E155" s="25"/>
      <c r="F155" s="26"/>
      <c r="G155" s="26"/>
      <c r="H155" s="36"/>
    </row>
    <row r="156" spans="2:8" ht="11.45" customHeight="1" x14ac:dyDescent="0.2">
      <c r="B156" s="24"/>
      <c r="C156" s="24"/>
      <c r="D156" s="24"/>
      <c r="E156" s="25"/>
      <c r="F156" s="26"/>
      <c r="G156" s="32"/>
      <c r="H156" s="36"/>
    </row>
    <row r="157" spans="2:8" ht="11.45" customHeight="1" x14ac:dyDescent="0.2">
      <c r="B157" s="24"/>
      <c r="C157" s="24"/>
      <c r="D157" s="24"/>
      <c r="E157" s="25"/>
      <c r="F157" s="26"/>
      <c r="G157" s="26"/>
      <c r="H157" s="36"/>
    </row>
    <row r="158" spans="2:8" ht="11.45" customHeight="1" x14ac:dyDescent="0.2">
      <c r="B158" s="24"/>
      <c r="C158" s="24"/>
      <c r="D158" s="24"/>
      <c r="E158" s="37"/>
      <c r="F158" s="26"/>
      <c r="G158" s="26"/>
      <c r="H158" s="36"/>
    </row>
    <row r="159" spans="2:8" ht="11.45" customHeight="1" x14ac:dyDescent="0.2">
      <c r="B159" s="24"/>
      <c r="C159" s="24"/>
      <c r="D159" s="24"/>
      <c r="E159" s="37"/>
      <c r="F159" s="26"/>
      <c r="G159" s="26"/>
      <c r="H159" s="27"/>
    </row>
    <row r="160" spans="2:8" ht="11.45" customHeight="1" x14ac:dyDescent="0.2">
      <c r="B160" s="24"/>
      <c r="C160" s="24"/>
      <c r="D160" s="24"/>
      <c r="E160" s="38"/>
      <c r="F160" s="26"/>
      <c r="G160" s="26"/>
      <c r="H160" s="27"/>
    </row>
    <row r="161" spans="2:9" ht="11.45" customHeight="1" x14ac:dyDescent="0.2">
      <c r="B161" s="24"/>
      <c r="C161" s="24"/>
      <c r="D161" s="24"/>
      <c r="E161" s="25"/>
      <c r="F161" s="26"/>
      <c r="G161" s="26"/>
      <c r="H161" s="27"/>
    </row>
    <row r="162" spans="2:9" ht="11.45" customHeight="1" x14ac:dyDescent="0.2">
      <c r="B162" s="24"/>
      <c r="C162" s="31"/>
      <c r="D162" s="28"/>
      <c r="E162" s="25"/>
      <c r="F162" s="26"/>
      <c r="G162" s="26"/>
      <c r="H162" s="29"/>
    </row>
    <row r="163" spans="2:9" ht="11.45" customHeight="1" x14ac:dyDescent="0.2">
      <c r="B163" s="24"/>
      <c r="C163" s="24"/>
      <c r="D163" s="24"/>
      <c r="E163" s="25"/>
      <c r="F163" s="32"/>
      <c r="G163" s="26"/>
      <c r="H163" s="27"/>
    </row>
    <row r="164" spans="2:9" ht="11.45" customHeight="1" x14ac:dyDescent="0.2">
      <c r="B164" s="24"/>
      <c r="C164" s="24"/>
      <c r="D164" s="30"/>
      <c r="E164" s="25"/>
      <c r="F164" s="32"/>
      <c r="G164" s="26"/>
      <c r="H164" s="27"/>
    </row>
    <row r="165" spans="2:9" ht="11.45" customHeight="1" x14ac:dyDescent="0.2">
      <c r="B165" s="24"/>
      <c r="C165" s="24"/>
      <c r="D165" s="24"/>
      <c r="E165" s="25"/>
      <c r="F165" s="26"/>
      <c r="G165" s="26"/>
      <c r="H165" s="27"/>
    </row>
    <row r="166" spans="2:9" ht="11.45" customHeight="1" x14ac:dyDescent="0.2">
      <c r="B166" s="24"/>
      <c r="C166" s="31"/>
      <c r="D166" s="28"/>
      <c r="E166" s="25"/>
      <c r="F166" s="26"/>
      <c r="G166" s="26"/>
      <c r="H166" s="29"/>
    </row>
    <row r="167" spans="2:9" ht="11.45" customHeight="1" x14ac:dyDescent="0.2">
      <c r="B167" s="24"/>
      <c r="C167" s="12"/>
      <c r="D167" s="28"/>
      <c r="E167" s="25"/>
      <c r="F167" s="26"/>
      <c r="G167" s="26"/>
      <c r="H167" s="29"/>
    </row>
    <row r="168" spans="2:9" ht="11.45" customHeight="1" x14ac:dyDescent="0.2">
      <c r="B168" s="24"/>
      <c r="C168" s="31"/>
      <c r="D168" s="30"/>
      <c r="E168" s="25"/>
      <c r="F168" s="32"/>
      <c r="G168" s="26"/>
      <c r="H168" s="27"/>
    </row>
    <row r="169" spans="2:9" ht="11.45" customHeight="1" x14ac:dyDescent="0.2">
      <c r="B169" s="24"/>
      <c r="C169" s="12"/>
      <c r="D169" s="33"/>
      <c r="E169" s="25"/>
      <c r="F169" s="26"/>
      <c r="G169" s="26"/>
      <c r="H169" s="29"/>
      <c r="I169" s="2"/>
    </row>
    <row r="170" spans="2:9" ht="11.45" customHeight="1" x14ac:dyDescent="0.2">
      <c r="B170" s="24"/>
      <c r="C170" s="12"/>
      <c r="D170" s="39"/>
      <c r="E170" s="25"/>
      <c r="F170" s="26"/>
      <c r="G170" s="26"/>
      <c r="H170" s="29"/>
    </row>
    <row r="171" spans="2:9" ht="11.45" customHeight="1" x14ac:dyDescent="0.2">
      <c r="B171" s="32"/>
      <c r="C171" s="32"/>
      <c r="D171" s="40"/>
      <c r="E171" s="25"/>
      <c r="F171" s="32"/>
      <c r="G171" s="26"/>
      <c r="H171" s="29"/>
    </row>
    <row r="172" spans="2:9" ht="11.45" customHeight="1" x14ac:dyDescent="0.2">
      <c r="B172" s="4"/>
      <c r="C172" s="4"/>
      <c r="D172" s="5"/>
      <c r="E172" s="6"/>
      <c r="F172" s="7"/>
      <c r="G172" s="8"/>
      <c r="H172" s="8"/>
    </row>
    <row r="173" spans="2:9" ht="11.45" customHeight="1" x14ac:dyDescent="0.2">
      <c r="B173" s="4"/>
      <c r="C173" s="4"/>
      <c r="D173" s="5"/>
      <c r="E173" s="6"/>
      <c r="F173" s="7"/>
      <c r="G173" s="8"/>
      <c r="H173" s="8"/>
    </row>
    <row r="174" spans="2:9" ht="11.45" customHeight="1" x14ac:dyDescent="0.2">
      <c r="B174" s="4"/>
      <c r="C174" s="4"/>
      <c r="D174" s="4"/>
      <c r="E174" s="4"/>
      <c r="F174" s="4"/>
      <c r="G174" s="4"/>
      <c r="H174" s="4"/>
    </row>
    <row r="175" spans="2:9" ht="11.45" customHeight="1" x14ac:dyDescent="0.2">
      <c r="B175" s="4"/>
      <c r="C175" s="4"/>
      <c r="D175" s="4"/>
      <c r="E175" s="4"/>
      <c r="F175" s="4"/>
      <c r="G175" s="4"/>
      <c r="H175" s="4"/>
    </row>
    <row r="176" spans="2:9" ht="11.45" customHeight="1" x14ac:dyDescent="0.2">
      <c r="B176" s="4"/>
      <c r="C176" s="4"/>
      <c r="D176" s="4"/>
      <c r="E176" s="4"/>
      <c r="F176" s="4"/>
      <c r="G176" s="4"/>
      <c r="H176" s="4"/>
    </row>
    <row r="177" spans="2:8" ht="11.45" customHeight="1" x14ac:dyDescent="0.2">
      <c r="B177" s="4"/>
      <c r="C177" s="4"/>
      <c r="D177" s="4"/>
      <c r="E177" s="4"/>
      <c r="F177" s="4"/>
      <c r="G177" s="4"/>
      <c r="H177" s="4"/>
    </row>
    <row r="178" spans="2:8" ht="11.45" customHeight="1" x14ac:dyDescent="0.2">
      <c r="B178" s="4"/>
      <c r="C178" s="4"/>
      <c r="D178" s="4"/>
      <c r="E178" s="4"/>
      <c r="F178" s="4"/>
      <c r="G178" s="4"/>
      <c r="H178" s="4"/>
    </row>
    <row r="179" spans="2:8" ht="11.45" customHeight="1" x14ac:dyDescent="0.2">
      <c r="B179" s="4"/>
      <c r="C179" s="4"/>
      <c r="D179" s="4"/>
      <c r="E179" s="4"/>
      <c r="F179" s="4"/>
      <c r="G179" s="4"/>
      <c r="H179" s="4"/>
    </row>
    <row r="180" spans="2:8" ht="11.45" customHeight="1" x14ac:dyDescent="0.2">
      <c r="B180" s="4"/>
      <c r="C180" s="4"/>
      <c r="D180" s="4"/>
      <c r="E180" s="4"/>
      <c r="F180" s="4"/>
      <c r="G180" s="4"/>
      <c r="H180" s="4"/>
    </row>
    <row r="181" spans="2:8" x14ac:dyDescent="0.2">
      <c r="B181" s="4"/>
      <c r="C181" s="4"/>
      <c r="D181" s="4"/>
      <c r="E181" s="4"/>
      <c r="F181" s="4"/>
      <c r="G181" s="4"/>
      <c r="H181" s="4"/>
    </row>
    <row r="182" spans="2:8" x14ac:dyDescent="0.2">
      <c r="B182" s="10"/>
      <c r="C182" s="10"/>
      <c r="D182" s="10"/>
      <c r="E182" s="10"/>
      <c r="F182" s="10"/>
      <c r="G182" s="10"/>
      <c r="H182" s="10"/>
    </row>
    <row r="183" spans="2:8" x14ac:dyDescent="0.2">
      <c r="B183" s="10"/>
      <c r="C183" s="10"/>
      <c r="D183" s="10"/>
      <c r="E183" s="10"/>
      <c r="F183" s="10"/>
      <c r="G183" s="10"/>
      <c r="H183" s="10"/>
    </row>
    <row r="184" spans="2:8" x14ac:dyDescent="0.2">
      <c r="B184" s="10"/>
      <c r="C184" s="10"/>
      <c r="D184" s="10"/>
      <c r="E184" s="10"/>
      <c r="F184" s="10"/>
      <c r="G184" s="10"/>
      <c r="H184" s="10"/>
    </row>
    <row r="185" spans="2:8" x14ac:dyDescent="0.2">
      <c r="B185" s="10"/>
      <c r="C185" s="10"/>
      <c r="D185" s="10"/>
      <c r="E185" s="10"/>
      <c r="F185" s="10"/>
      <c r="G185" s="10"/>
      <c r="H185" s="10"/>
    </row>
    <row r="186" spans="2:8" x14ac:dyDescent="0.2">
      <c r="B186" s="10"/>
      <c r="C186" s="10"/>
      <c r="D186" s="10"/>
      <c r="E186" s="10"/>
      <c r="F186" s="10"/>
      <c r="G186" s="10"/>
      <c r="H186" s="10"/>
    </row>
    <row r="187" spans="2:8" x14ac:dyDescent="0.2">
      <c r="B187" s="10"/>
      <c r="C187" s="10"/>
      <c r="D187" s="10"/>
      <c r="E187" s="10"/>
      <c r="F187" s="10"/>
      <c r="G187" s="10"/>
      <c r="H187" s="10"/>
    </row>
    <row r="188" spans="2:8" x14ac:dyDescent="0.2">
      <c r="B188" s="10"/>
      <c r="C188" s="10"/>
      <c r="D188" s="10"/>
      <c r="E188" s="10"/>
      <c r="F188" s="10"/>
      <c r="G188" s="10"/>
      <c r="H188" s="10"/>
    </row>
    <row r="189" spans="2:8" x14ac:dyDescent="0.2">
      <c r="B189" s="10"/>
      <c r="C189" s="10"/>
      <c r="D189" s="10"/>
      <c r="E189" s="10"/>
      <c r="F189" s="10"/>
      <c r="G189" s="10"/>
      <c r="H189" s="10"/>
    </row>
    <row r="190" spans="2:8" x14ac:dyDescent="0.2">
      <c r="B190" s="10"/>
      <c r="C190" s="10"/>
      <c r="D190" s="10"/>
      <c r="E190" s="10"/>
      <c r="F190" s="10"/>
      <c r="G190" s="10"/>
      <c r="H190" s="10"/>
    </row>
    <row r="191" spans="2:8" x14ac:dyDescent="0.2">
      <c r="B191" s="10"/>
      <c r="C191" s="10"/>
      <c r="D191" s="10"/>
      <c r="E191" s="10"/>
      <c r="F191" s="10"/>
      <c r="G191" s="10"/>
      <c r="H191" s="10"/>
    </row>
    <row r="192" spans="2:8" x14ac:dyDescent="0.2">
      <c r="B192" s="10"/>
      <c r="C192" s="10"/>
      <c r="D192" s="10"/>
      <c r="E192" s="10"/>
      <c r="F192" s="10"/>
      <c r="G192" s="10"/>
      <c r="H192" s="10"/>
    </row>
  </sheetData>
  <mergeCells count="57">
    <mergeCell ref="E28:F28"/>
    <mergeCell ref="E21:F21"/>
    <mergeCell ref="E22:F22"/>
    <mergeCell ref="E23:F23"/>
    <mergeCell ref="E24:F24"/>
    <mergeCell ref="E25:F25"/>
    <mergeCell ref="E26:F26"/>
    <mergeCell ref="G28:H28"/>
    <mergeCell ref="G21:H21"/>
    <mergeCell ref="G22:H22"/>
    <mergeCell ref="G23:H23"/>
    <mergeCell ref="G24:H24"/>
    <mergeCell ref="G26:H26"/>
    <mergeCell ref="G20:H20"/>
    <mergeCell ref="G27:H27"/>
    <mergeCell ref="E9:F9"/>
    <mergeCell ref="G14:H14"/>
    <mergeCell ref="E15:F15"/>
    <mergeCell ref="E27:F27"/>
    <mergeCell ref="E20:F20"/>
    <mergeCell ref="E18:F18"/>
    <mergeCell ref="E19:F19"/>
    <mergeCell ref="E14:F14"/>
    <mergeCell ref="E16:F16"/>
    <mergeCell ref="E17:F17"/>
    <mergeCell ref="E10:F10"/>
    <mergeCell ref="E11:F11"/>
    <mergeCell ref="E12:F12"/>
    <mergeCell ref="E13:F13"/>
    <mergeCell ref="G12:H12"/>
    <mergeCell ref="G13:H13"/>
    <mergeCell ref="G17:H17"/>
    <mergeCell ref="G18:H18"/>
    <mergeCell ref="G19:H19"/>
    <mergeCell ref="G15:H15"/>
    <mergeCell ref="B1:H1"/>
    <mergeCell ref="B2:H2"/>
    <mergeCell ref="B3:H3"/>
    <mergeCell ref="B4:H4"/>
    <mergeCell ref="G9:H9"/>
    <mergeCell ref="B7:C7"/>
    <mergeCell ref="J9:M9"/>
    <mergeCell ref="B121:H121"/>
    <mergeCell ref="B47:H47"/>
    <mergeCell ref="B48:H48"/>
    <mergeCell ref="B49:H49"/>
    <mergeCell ref="B117:H117"/>
    <mergeCell ref="B120:H120"/>
    <mergeCell ref="B44:H44"/>
    <mergeCell ref="B46:H46"/>
    <mergeCell ref="B118:H118"/>
    <mergeCell ref="B119:H119"/>
    <mergeCell ref="G16:H16"/>
    <mergeCell ref="G10:H10"/>
    <mergeCell ref="G11:H11"/>
    <mergeCell ref="G25:H25"/>
    <mergeCell ref="B29:D29"/>
  </mergeCells>
  <pageMargins left="0.59055118110236227" right="0.59055118110236227" top="0.39" bottom="0" header="0.55118110236220474" footer="0.51181102362204722"/>
  <pageSetup scale="9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84"/>
  <sheetViews>
    <sheetView topLeftCell="A87" workbookViewId="0">
      <selection activeCell="C103" sqref="C103:C117"/>
    </sheetView>
  </sheetViews>
  <sheetFormatPr baseColWidth="10" defaultColWidth="11.42578125" defaultRowHeight="11.25" x14ac:dyDescent="0.2"/>
  <cols>
    <col min="1" max="1" width="45.85546875" style="87" customWidth="1"/>
    <col min="2" max="3" width="12.85546875" style="89" customWidth="1"/>
    <col min="4" max="4" width="22.7109375" style="87" customWidth="1"/>
    <col min="5" max="6" width="16.85546875" style="87" customWidth="1"/>
    <col min="7" max="7" width="17" style="87" customWidth="1"/>
    <col min="8" max="8" width="12.140625" style="87" bestFit="1" customWidth="1"/>
    <col min="9" max="9" width="4.7109375" style="87" customWidth="1"/>
    <col min="10" max="10" width="18.85546875" style="87" customWidth="1"/>
    <col min="11" max="11" width="12" style="87" bestFit="1" customWidth="1"/>
    <col min="12" max="16" width="11.42578125" style="87"/>
    <col min="17" max="17" width="13" style="87" bestFit="1" customWidth="1"/>
    <col min="18" max="241" width="11.42578125" style="87"/>
    <col min="242" max="242" width="45.85546875" style="87" customWidth="1"/>
    <col min="243" max="257" width="0" style="87" hidden="1" customWidth="1"/>
    <col min="258" max="259" width="12.85546875" style="87" customWidth="1"/>
    <col min="260" max="260" width="22.7109375" style="87" customWidth="1"/>
    <col min="261" max="262" width="16.85546875" style="87" customWidth="1"/>
    <col min="263" max="263" width="17" style="87" customWidth="1"/>
    <col min="264" max="264" width="12.140625" style="87" bestFit="1" customWidth="1"/>
    <col min="265" max="265" width="4.7109375" style="87" customWidth="1"/>
    <col min="266" max="266" width="18.85546875" style="87" customWidth="1"/>
    <col min="267" max="267" width="12" style="87" bestFit="1" customWidth="1"/>
    <col min="268" max="272" width="11.42578125" style="87"/>
    <col min="273" max="273" width="13" style="87" bestFit="1" customWidth="1"/>
    <col min="274" max="497" width="11.42578125" style="87"/>
    <col min="498" max="498" width="45.85546875" style="87" customWidth="1"/>
    <col min="499" max="513" width="0" style="87" hidden="1" customWidth="1"/>
    <col min="514" max="515" width="12.85546875" style="87" customWidth="1"/>
    <col min="516" max="516" width="22.7109375" style="87" customWidth="1"/>
    <col min="517" max="518" width="16.85546875" style="87" customWidth="1"/>
    <col min="519" max="519" width="17" style="87" customWidth="1"/>
    <col min="520" max="520" width="12.140625" style="87" bestFit="1" customWidth="1"/>
    <col min="521" max="521" width="4.7109375" style="87" customWidth="1"/>
    <col min="522" max="522" width="18.85546875" style="87" customWidth="1"/>
    <col min="523" max="523" width="12" style="87" bestFit="1" customWidth="1"/>
    <col min="524" max="528" width="11.42578125" style="87"/>
    <col min="529" max="529" width="13" style="87" bestFit="1" customWidth="1"/>
    <col min="530" max="753" width="11.42578125" style="87"/>
    <col min="754" max="754" width="45.85546875" style="87" customWidth="1"/>
    <col min="755" max="769" width="0" style="87" hidden="1" customWidth="1"/>
    <col min="770" max="771" width="12.85546875" style="87" customWidth="1"/>
    <col min="772" max="772" width="22.7109375" style="87" customWidth="1"/>
    <col min="773" max="774" width="16.85546875" style="87" customWidth="1"/>
    <col min="775" max="775" width="17" style="87" customWidth="1"/>
    <col min="776" max="776" width="12.140625" style="87" bestFit="1" customWidth="1"/>
    <col min="777" max="777" width="4.7109375" style="87" customWidth="1"/>
    <col min="778" max="778" width="18.85546875" style="87" customWidth="1"/>
    <col min="779" max="779" width="12" style="87" bestFit="1" customWidth="1"/>
    <col min="780" max="784" width="11.42578125" style="87"/>
    <col min="785" max="785" width="13" style="87" bestFit="1" customWidth="1"/>
    <col min="786" max="1009" width="11.42578125" style="87"/>
    <col min="1010" max="1010" width="45.85546875" style="87" customWidth="1"/>
    <col min="1011" max="1025" width="0" style="87" hidden="1" customWidth="1"/>
    <col min="1026" max="1027" width="12.85546875" style="87" customWidth="1"/>
    <col min="1028" max="1028" width="22.7109375" style="87" customWidth="1"/>
    <col min="1029" max="1030" width="16.85546875" style="87" customWidth="1"/>
    <col min="1031" max="1031" width="17" style="87" customWidth="1"/>
    <col min="1032" max="1032" width="12.140625" style="87" bestFit="1" customWidth="1"/>
    <col min="1033" max="1033" width="4.7109375" style="87" customWidth="1"/>
    <col min="1034" max="1034" width="18.85546875" style="87" customWidth="1"/>
    <col min="1035" max="1035" width="12" style="87" bestFit="1" customWidth="1"/>
    <col min="1036" max="1040" width="11.42578125" style="87"/>
    <col min="1041" max="1041" width="13" style="87" bestFit="1" customWidth="1"/>
    <col min="1042" max="1265" width="11.42578125" style="87"/>
    <col min="1266" max="1266" width="45.85546875" style="87" customWidth="1"/>
    <col min="1267" max="1281" width="0" style="87" hidden="1" customWidth="1"/>
    <col min="1282" max="1283" width="12.85546875" style="87" customWidth="1"/>
    <col min="1284" max="1284" width="22.7109375" style="87" customWidth="1"/>
    <col min="1285" max="1286" width="16.85546875" style="87" customWidth="1"/>
    <col min="1287" max="1287" width="17" style="87" customWidth="1"/>
    <col min="1288" max="1288" width="12.140625" style="87" bestFit="1" customWidth="1"/>
    <col min="1289" max="1289" width="4.7109375" style="87" customWidth="1"/>
    <col min="1290" max="1290" width="18.85546875" style="87" customWidth="1"/>
    <col min="1291" max="1291" width="12" style="87" bestFit="1" customWidth="1"/>
    <col min="1292" max="1296" width="11.42578125" style="87"/>
    <col min="1297" max="1297" width="13" style="87" bestFit="1" customWidth="1"/>
    <col min="1298" max="1521" width="11.42578125" style="87"/>
    <col min="1522" max="1522" width="45.85546875" style="87" customWidth="1"/>
    <col min="1523" max="1537" width="0" style="87" hidden="1" customWidth="1"/>
    <col min="1538" max="1539" width="12.85546875" style="87" customWidth="1"/>
    <col min="1540" max="1540" width="22.7109375" style="87" customWidth="1"/>
    <col min="1541" max="1542" width="16.85546875" style="87" customWidth="1"/>
    <col min="1543" max="1543" width="17" style="87" customWidth="1"/>
    <col min="1544" max="1544" width="12.140625" style="87" bestFit="1" customWidth="1"/>
    <col min="1545" max="1545" width="4.7109375" style="87" customWidth="1"/>
    <col min="1546" max="1546" width="18.85546875" style="87" customWidth="1"/>
    <col min="1547" max="1547" width="12" style="87" bestFit="1" customWidth="1"/>
    <col min="1548" max="1552" width="11.42578125" style="87"/>
    <col min="1553" max="1553" width="13" style="87" bestFit="1" customWidth="1"/>
    <col min="1554" max="1777" width="11.42578125" style="87"/>
    <col min="1778" max="1778" width="45.85546875" style="87" customWidth="1"/>
    <col min="1779" max="1793" width="0" style="87" hidden="1" customWidth="1"/>
    <col min="1794" max="1795" width="12.85546875" style="87" customWidth="1"/>
    <col min="1796" max="1796" width="22.7109375" style="87" customWidth="1"/>
    <col min="1797" max="1798" width="16.85546875" style="87" customWidth="1"/>
    <col min="1799" max="1799" width="17" style="87" customWidth="1"/>
    <col min="1800" max="1800" width="12.140625" style="87" bestFit="1" customWidth="1"/>
    <col min="1801" max="1801" width="4.7109375" style="87" customWidth="1"/>
    <col min="1802" max="1802" width="18.85546875" style="87" customWidth="1"/>
    <col min="1803" max="1803" width="12" style="87" bestFit="1" customWidth="1"/>
    <col min="1804" max="1808" width="11.42578125" style="87"/>
    <col min="1809" max="1809" width="13" style="87" bestFit="1" customWidth="1"/>
    <col min="1810" max="2033" width="11.42578125" style="87"/>
    <col min="2034" max="2034" width="45.85546875" style="87" customWidth="1"/>
    <col min="2035" max="2049" width="0" style="87" hidden="1" customWidth="1"/>
    <col min="2050" max="2051" width="12.85546875" style="87" customWidth="1"/>
    <col min="2052" max="2052" width="22.7109375" style="87" customWidth="1"/>
    <col min="2053" max="2054" width="16.85546875" style="87" customWidth="1"/>
    <col min="2055" max="2055" width="17" style="87" customWidth="1"/>
    <col min="2056" max="2056" width="12.140625" style="87" bestFit="1" customWidth="1"/>
    <col min="2057" max="2057" width="4.7109375" style="87" customWidth="1"/>
    <col min="2058" max="2058" width="18.85546875" style="87" customWidth="1"/>
    <col min="2059" max="2059" width="12" style="87" bestFit="1" customWidth="1"/>
    <col min="2060" max="2064" width="11.42578125" style="87"/>
    <col min="2065" max="2065" width="13" style="87" bestFit="1" customWidth="1"/>
    <col min="2066" max="2289" width="11.42578125" style="87"/>
    <col min="2290" max="2290" width="45.85546875" style="87" customWidth="1"/>
    <col min="2291" max="2305" width="0" style="87" hidden="1" customWidth="1"/>
    <col min="2306" max="2307" width="12.85546875" style="87" customWidth="1"/>
    <col min="2308" max="2308" width="22.7109375" style="87" customWidth="1"/>
    <col min="2309" max="2310" width="16.85546875" style="87" customWidth="1"/>
    <col min="2311" max="2311" width="17" style="87" customWidth="1"/>
    <col min="2312" max="2312" width="12.140625" style="87" bestFit="1" customWidth="1"/>
    <col min="2313" max="2313" width="4.7109375" style="87" customWidth="1"/>
    <col min="2314" max="2314" width="18.85546875" style="87" customWidth="1"/>
    <col min="2315" max="2315" width="12" style="87" bestFit="1" customWidth="1"/>
    <col min="2316" max="2320" width="11.42578125" style="87"/>
    <col min="2321" max="2321" width="13" style="87" bestFit="1" customWidth="1"/>
    <col min="2322" max="2545" width="11.42578125" style="87"/>
    <col min="2546" max="2546" width="45.85546875" style="87" customWidth="1"/>
    <col min="2547" max="2561" width="0" style="87" hidden="1" customWidth="1"/>
    <col min="2562" max="2563" width="12.85546875" style="87" customWidth="1"/>
    <col min="2564" max="2564" width="22.7109375" style="87" customWidth="1"/>
    <col min="2565" max="2566" width="16.85546875" style="87" customWidth="1"/>
    <col min="2567" max="2567" width="17" style="87" customWidth="1"/>
    <col min="2568" max="2568" width="12.140625" style="87" bestFit="1" customWidth="1"/>
    <col min="2569" max="2569" width="4.7109375" style="87" customWidth="1"/>
    <col min="2570" max="2570" width="18.85546875" style="87" customWidth="1"/>
    <col min="2571" max="2571" width="12" style="87" bestFit="1" customWidth="1"/>
    <col min="2572" max="2576" width="11.42578125" style="87"/>
    <col min="2577" max="2577" width="13" style="87" bestFit="1" customWidth="1"/>
    <col min="2578" max="2801" width="11.42578125" style="87"/>
    <col min="2802" max="2802" width="45.85546875" style="87" customWidth="1"/>
    <col min="2803" max="2817" width="0" style="87" hidden="1" customWidth="1"/>
    <col min="2818" max="2819" width="12.85546875" style="87" customWidth="1"/>
    <col min="2820" max="2820" width="22.7109375" style="87" customWidth="1"/>
    <col min="2821" max="2822" width="16.85546875" style="87" customWidth="1"/>
    <col min="2823" max="2823" width="17" style="87" customWidth="1"/>
    <col min="2824" max="2824" width="12.140625" style="87" bestFit="1" customWidth="1"/>
    <col min="2825" max="2825" width="4.7109375" style="87" customWidth="1"/>
    <col min="2826" max="2826" width="18.85546875" style="87" customWidth="1"/>
    <col min="2827" max="2827" width="12" style="87" bestFit="1" customWidth="1"/>
    <col min="2828" max="2832" width="11.42578125" style="87"/>
    <col min="2833" max="2833" width="13" style="87" bestFit="1" customWidth="1"/>
    <col min="2834" max="3057" width="11.42578125" style="87"/>
    <col min="3058" max="3058" width="45.85546875" style="87" customWidth="1"/>
    <col min="3059" max="3073" width="0" style="87" hidden="1" customWidth="1"/>
    <col min="3074" max="3075" width="12.85546875" style="87" customWidth="1"/>
    <col min="3076" max="3076" width="22.7109375" style="87" customWidth="1"/>
    <col min="3077" max="3078" width="16.85546875" style="87" customWidth="1"/>
    <col min="3079" max="3079" width="17" style="87" customWidth="1"/>
    <col min="3080" max="3080" width="12.140625" style="87" bestFit="1" customWidth="1"/>
    <col min="3081" max="3081" width="4.7109375" style="87" customWidth="1"/>
    <col min="3082" max="3082" width="18.85546875" style="87" customWidth="1"/>
    <col min="3083" max="3083" width="12" style="87" bestFit="1" customWidth="1"/>
    <col min="3084" max="3088" width="11.42578125" style="87"/>
    <col min="3089" max="3089" width="13" style="87" bestFit="1" customWidth="1"/>
    <col min="3090" max="3313" width="11.42578125" style="87"/>
    <col min="3314" max="3314" width="45.85546875" style="87" customWidth="1"/>
    <col min="3315" max="3329" width="0" style="87" hidden="1" customWidth="1"/>
    <col min="3330" max="3331" width="12.85546875" style="87" customWidth="1"/>
    <col min="3332" max="3332" width="22.7109375" style="87" customWidth="1"/>
    <col min="3333" max="3334" width="16.85546875" style="87" customWidth="1"/>
    <col min="3335" max="3335" width="17" style="87" customWidth="1"/>
    <col min="3336" max="3336" width="12.140625" style="87" bestFit="1" customWidth="1"/>
    <col min="3337" max="3337" width="4.7109375" style="87" customWidth="1"/>
    <col min="3338" max="3338" width="18.85546875" style="87" customWidth="1"/>
    <col min="3339" max="3339" width="12" style="87" bestFit="1" customWidth="1"/>
    <col min="3340" max="3344" width="11.42578125" style="87"/>
    <col min="3345" max="3345" width="13" style="87" bestFit="1" customWidth="1"/>
    <col min="3346" max="3569" width="11.42578125" style="87"/>
    <col min="3570" max="3570" width="45.85546875" style="87" customWidth="1"/>
    <col min="3571" max="3585" width="0" style="87" hidden="1" customWidth="1"/>
    <col min="3586" max="3587" width="12.85546875" style="87" customWidth="1"/>
    <col min="3588" max="3588" width="22.7109375" style="87" customWidth="1"/>
    <col min="3589" max="3590" width="16.85546875" style="87" customWidth="1"/>
    <col min="3591" max="3591" width="17" style="87" customWidth="1"/>
    <col min="3592" max="3592" width="12.140625" style="87" bestFit="1" customWidth="1"/>
    <col min="3593" max="3593" width="4.7109375" style="87" customWidth="1"/>
    <col min="3594" max="3594" width="18.85546875" style="87" customWidth="1"/>
    <col min="3595" max="3595" width="12" style="87" bestFit="1" customWidth="1"/>
    <col min="3596" max="3600" width="11.42578125" style="87"/>
    <col min="3601" max="3601" width="13" style="87" bestFit="1" customWidth="1"/>
    <col min="3602" max="3825" width="11.42578125" style="87"/>
    <col min="3826" max="3826" width="45.85546875" style="87" customWidth="1"/>
    <col min="3827" max="3841" width="0" style="87" hidden="1" customWidth="1"/>
    <col min="3842" max="3843" width="12.85546875" style="87" customWidth="1"/>
    <col min="3844" max="3844" width="22.7109375" style="87" customWidth="1"/>
    <col min="3845" max="3846" width="16.85546875" style="87" customWidth="1"/>
    <col min="3847" max="3847" width="17" style="87" customWidth="1"/>
    <col min="3848" max="3848" width="12.140625" style="87" bestFit="1" customWidth="1"/>
    <col min="3849" max="3849" width="4.7109375" style="87" customWidth="1"/>
    <col min="3850" max="3850" width="18.85546875" style="87" customWidth="1"/>
    <col min="3851" max="3851" width="12" style="87" bestFit="1" customWidth="1"/>
    <col min="3852" max="3856" width="11.42578125" style="87"/>
    <col min="3857" max="3857" width="13" style="87" bestFit="1" customWidth="1"/>
    <col min="3858" max="4081" width="11.42578125" style="87"/>
    <col min="4082" max="4082" width="45.85546875" style="87" customWidth="1"/>
    <col min="4083" max="4097" width="0" style="87" hidden="1" customWidth="1"/>
    <col min="4098" max="4099" width="12.85546875" style="87" customWidth="1"/>
    <col min="4100" max="4100" width="22.7109375" style="87" customWidth="1"/>
    <col min="4101" max="4102" width="16.85546875" style="87" customWidth="1"/>
    <col min="4103" max="4103" width="17" style="87" customWidth="1"/>
    <col min="4104" max="4104" width="12.140625" style="87" bestFit="1" customWidth="1"/>
    <col min="4105" max="4105" width="4.7109375" style="87" customWidth="1"/>
    <col min="4106" max="4106" width="18.85546875" style="87" customWidth="1"/>
    <col min="4107" max="4107" width="12" style="87" bestFit="1" customWidth="1"/>
    <col min="4108" max="4112" width="11.42578125" style="87"/>
    <col min="4113" max="4113" width="13" style="87" bestFit="1" customWidth="1"/>
    <col min="4114" max="4337" width="11.42578125" style="87"/>
    <col min="4338" max="4338" width="45.85546875" style="87" customWidth="1"/>
    <col min="4339" max="4353" width="0" style="87" hidden="1" customWidth="1"/>
    <col min="4354" max="4355" width="12.85546875" style="87" customWidth="1"/>
    <col min="4356" max="4356" width="22.7109375" style="87" customWidth="1"/>
    <col min="4357" max="4358" width="16.85546875" style="87" customWidth="1"/>
    <col min="4359" max="4359" width="17" style="87" customWidth="1"/>
    <col min="4360" max="4360" width="12.140625" style="87" bestFit="1" customWidth="1"/>
    <col min="4361" max="4361" width="4.7109375" style="87" customWidth="1"/>
    <col min="4362" max="4362" width="18.85546875" style="87" customWidth="1"/>
    <col min="4363" max="4363" width="12" style="87" bestFit="1" customWidth="1"/>
    <col min="4364" max="4368" width="11.42578125" style="87"/>
    <col min="4369" max="4369" width="13" style="87" bestFit="1" customWidth="1"/>
    <col min="4370" max="4593" width="11.42578125" style="87"/>
    <col min="4594" max="4594" width="45.85546875" style="87" customWidth="1"/>
    <col min="4595" max="4609" width="0" style="87" hidden="1" customWidth="1"/>
    <col min="4610" max="4611" width="12.85546875" style="87" customWidth="1"/>
    <col min="4612" max="4612" width="22.7109375" style="87" customWidth="1"/>
    <col min="4613" max="4614" width="16.85546875" style="87" customWidth="1"/>
    <col min="4615" max="4615" width="17" style="87" customWidth="1"/>
    <col min="4616" max="4616" width="12.140625" style="87" bestFit="1" customWidth="1"/>
    <col min="4617" max="4617" width="4.7109375" style="87" customWidth="1"/>
    <col min="4618" max="4618" width="18.85546875" style="87" customWidth="1"/>
    <col min="4619" max="4619" width="12" style="87" bestFit="1" customWidth="1"/>
    <col min="4620" max="4624" width="11.42578125" style="87"/>
    <col min="4625" max="4625" width="13" style="87" bestFit="1" customWidth="1"/>
    <col min="4626" max="4849" width="11.42578125" style="87"/>
    <col min="4850" max="4850" width="45.85546875" style="87" customWidth="1"/>
    <col min="4851" max="4865" width="0" style="87" hidden="1" customWidth="1"/>
    <col min="4866" max="4867" width="12.85546875" style="87" customWidth="1"/>
    <col min="4868" max="4868" width="22.7109375" style="87" customWidth="1"/>
    <col min="4869" max="4870" width="16.85546875" style="87" customWidth="1"/>
    <col min="4871" max="4871" width="17" style="87" customWidth="1"/>
    <col min="4872" max="4872" width="12.140625" style="87" bestFit="1" customWidth="1"/>
    <col min="4873" max="4873" width="4.7109375" style="87" customWidth="1"/>
    <col min="4874" max="4874" width="18.85546875" style="87" customWidth="1"/>
    <col min="4875" max="4875" width="12" style="87" bestFit="1" customWidth="1"/>
    <col min="4876" max="4880" width="11.42578125" style="87"/>
    <col min="4881" max="4881" width="13" style="87" bestFit="1" customWidth="1"/>
    <col min="4882" max="5105" width="11.42578125" style="87"/>
    <col min="5106" max="5106" width="45.85546875" style="87" customWidth="1"/>
    <col min="5107" max="5121" width="0" style="87" hidden="1" customWidth="1"/>
    <col min="5122" max="5123" width="12.85546875" style="87" customWidth="1"/>
    <col min="5124" max="5124" width="22.7109375" style="87" customWidth="1"/>
    <col min="5125" max="5126" width="16.85546875" style="87" customWidth="1"/>
    <col min="5127" max="5127" width="17" style="87" customWidth="1"/>
    <col min="5128" max="5128" width="12.140625" style="87" bestFit="1" customWidth="1"/>
    <col min="5129" max="5129" width="4.7109375" style="87" customWidth="1"/>
    <col min="5130" max="5130" width="18.85546875" style="87" customWidth="1"/>
    <col min="5131" max="5131" width="12" style="87" bestFit="1" customWidth="1"/>
    <col min="5132" max="5136" width="11.42578125" style="87"/>
    <col min="5137" max="5137" width="13" style="87" bestFit="1" customWidth="1"/>
    <col min="5138" max="5361" width="11.42578125" style="87"/>
    <col min="5362" max="5362" width="45.85546875" style="87" customWidth="1"/>
    <col min="5363" max="5377" width="0" style="87" hidden="1" customWidth="1"/>
    <col min="5378" max="5379" width="12.85546875" style="87" customWidth="1"/>
    <col min="5380" max="5380" width="22.7109375" style="87" customWidth="1"/>
    <col min="5381" max="5382" width="16.85546875" style="87" customWidth="1"/>
    <col min="5383" max="5383" width="17" style="87" customWidth="1"/>
    <col min="5384" max="5384" width="12.140625" style="87" bestFit="1" customWidth="1"/>
    <col min="5385" max="5385" width="4.7109375" style="87" customWidth="1"/>
    <col min="5386" max="5386" width="18.85546875" style="87" customWidth="1"/>
    <col min="5387" max="5387" width="12" style="87" bestFit="1" customWidth="1"/>
    <col min="5388" max="5392" width="11.42578125" style="87"/>
    <col min="5393" max="5393" width="13" style="87" bestFit="1" customWidth="1"/>
    <col min="5394" max="5617" width="11.42578125" style="87"/>
    <col min="5618" max="5618" width="45.85546875" style="87" customWidth="1"/>
    <col min="5619" max="5633" width="0" style="87" hidden="1" customWidth="1"/>
    <col min="5634" max="5635" width="12.85546875" style="87" customWidth="1"/>
    <col min="5636" max="5636" width="22.7109375" style="87" customWidth="1"/>
    <col min="5637" max="5638" width="16.85546875" style="87" customWidth="1"/>
    <col min="5639" max="5639" width="17" style="87" customWidth="1"/>
    <col min="5640" max="5640" width="12.140625" style="87" bestFit="1" customWidth="1"/>
    <col min="5641" max="5641" width="4.7109375" style="87" customWidth="1"/>
    <col min="5642" max="5642" width="18.85546875" style="87" customWidth="1"/>
    <col min="5643" max="5643" width="12" style="87" bestFit="1" customWidth="1"/>
    <col min="5644" max="5648" width="11.42578125" style="87"/>
    <col min="5649" max="5649" width="13" style="87" bestFit="1" customWidth="1"/>
    <col min="5650" max="5873" width="11.42578125" style="87"/>
    <col min="5874" max="5874" width="45.85546875" style="87" customWidth="1"/>
    <col min="5875" max="5889" width="0" style="87" hidden="1" customWidth="1"/>
    <col min="5890" max="5891" width="12.85546875" style="87" customWidth="1"/>
    <col min="5892" max="5892" width="22.7109375" style="87" customWidth="1"/>
    <col min="5893" max="5894" width="16.85546875" style="87" customWidth="1"/>
    <col min="5895" max="5895" width="17" style="87" customWidth="1"/>
    <col min="5896" max="5896" width="12.140625" style="87" bestFit="1" customWidth="1"/>
    <col min="5897" max="5897" width="4.7109375" style="87" customWidth="1"/>
    <col min="5898" max="5898" width="18.85546875" style="87" customWidth="1"/>
    <col min="5899" max="5899" width="12" style="87" bestFit="1" customWidth="1"/>
    <col min="5900" max="5904" width="11.42578125" style="87"/>
    <col min="5905" max="5905" width="13" style="87" bestFit="1" customWidth="1"/>
    <col min="5906" max="6129" width="11.42578125" style="87"/>
    <col min="6130" max="6130" width="45.85546875" style="87" customWidth="1"/>
    <col min="6131" max="6145" width="0" style="87" hidden="1" customWidth="1"/>
    <col min="6146" max="6147" width="12.85546875" style="87" customWidth="1"/>
    <col min="6148" max="6148" width="22.7109375" style="87" customWidth="1"/>
    <col min="6149" max="6150" width="16.85546875" style="87" customWidth="1"/>
    <col min="6151" max="6151" width="17" style="87" customWidth="1"/>
    <col min="6152" max="6152" width="12.140625" style="87" bestFit="1" customWidth="1"/>
    <col min="6153" max="6153" width="4.7109375" style="87" customWidth="1"/>
    <col min="6154" max="6154" width="18.85546875" style="87" customWidth="1"/>
    <col min="6155" max="6155" width="12" style="87" bestFit="1" customWidth="1"/>
    <col min="6156" max="6160" width="11.42578125" style="87"/>
    <col min="6161" max="6161" width="13" style="87" bestFit="1" customWidth="1"/>
    <col min="6162" max="6385" width="11.42578125" style="87"/>
    <col min="6386" max="6386" width="45.85546875" style="87" customWidth="1"/>
    <col min="6387" max="6401" width="0" style="87" hidden="1" customWidth="1"/>
    <col min="6402" max="6403" width="12.85546875" style="87" customWidth="1"/>
    <col min="6404" max="6404" width="22.7109375" style="87" customWidth="1"/>
    <col min="6405" max="6406" width="16.85546875" style="87" customWidth="1"/>
    <col min="6407" max="6407" width="17" style="87" customWidth="1"/>
    <col min="6408" max="6408" width="12.140625" style="87" bestFit="1" customWidth="1"/>
    <col min="6409" max="6409" width="4.7109375" style="87" customWidth="1"/>
    <col min="6410" max="6410" width="18.85546875" style="87" customWidth="1"/>
    <col min="6411" max="6411" width="12" style="87" bestFit="1" customWidth="1"/>
    <col min="6412" max="6416" width="11.42578125" style="87"/>
    <col min="6417" max="6417" width="13" style="87" bestFit="1" customWidth="1"/>
    <col min="6418" max="6641" width="11.42578125" style="87"/>
    <col min="6642" max="6642" width="45.85546875" style="87" customWidth="1"/>
    <col min="6643" max="6657" width="0" style="87" hidden="1" customWidth="1"/>
    <col min="6658" max="6659" width="12.85546875" style="87" customWidth="1"/>
    <col min="6660" max="6660" width="22.7109375" style="87" customWidth="1"/>
    <col min="6661" max="6662" width="16.85546875" style="87" customWidth="1"/>
    <col min="6663" max="6663" width="17" style="87" customWidth="1"/>
    <col min="6664" max="6664" width="12.140625" style="87" bestFit="1" customWidth="1"/>
    <col min="6665" max="6665" width="4.7109375" style="87" customWidth="1"/>
    <col min="6666" max="6666" width="18.85546875" style="87" customWidth="1"/>
    <col min="6667" max="6667" width="12" style="87" bestFit="1" customWidth="1"/>
    <col min="6668" max="6672" width="11.42578125" style="87"/>
    <col min="6673" max="6673" width="13" style="87" bestFit="1" customWidth="1"/>
    <col min="6674" max="6897" width="11.42578125" style="87"/>
    <col min="6898" max="6898" width="45.85546875" style="87" customWidth="1"/>
    <col min="6899" max="6913" width="0" style="87" hidden="1" customWidth="1"/>
    <col min="6914" max="6915" width="12.85546875" style="87" customWidth="1"/>
    <col min="6916" max="6916" width="22.7109375" style="87" customWidth="1"/>
    <col min="6917" max="6918" width="16.85546875" style="87" customWidth="1"/>
    <col min="6919" max="6919" width="17" style="87" customWidth="1"/>
    <col min="6920" max="6920" width="12.140625" style="87" bestFit="1" customWidth="1"/>
    <col min="6921" max="6921" width="4.7109375" style="87" customWidth="1"/>
    <col min="6922" max="6922" width="18.85546875" style="87" customWidth="1"/>
    <col min="6923" max="6923" width="12" style="87" bestFit="1" customWidth="1"/>
    <col min="6924" max="6928" width="11.42578125" style="87"/>
    <col min="6929" max="6929" width="13" style="87" bestFit="1" customWidth="1"/>
    <col min="6930" max="7153" width="11.42578125" style="87"/>
    <col min="7154" max="7154" width="45.85546875" style="87" customWidth="1"/>
    <col min="7155" max="7169" width="0" style="87" hidden="1" customWidth="1"/>
    <col min="7170" max="7171" width="12.85546875" style="87" customWidth="1"/>
    <col min="7172" max="7172" width="22.7109375" style="87" customWidth="1"/>
    <col min="7173" max="7174" width="16.85546875" style="87" customWidth="1"/>
    <col min="7175" max="7175" width="17" style="87" customWidth="1"/>
    <col min="7176" max="7176" width="12.140625" style="87" bestFit="1" customWidth="1"/>
    <col min="7177" max="7177" width="4.7109375" style="87" customWidth="1"/>
    <col min="7178" max="7178" width="18.85546875" style="87" customWidth="1"/>
    <col min="7179" max="7179" width="12" style="87" bestFit="1" customWidth="1"/>
    <col min="7180" max="7184" width="11.42578125" style="87"/>
    <col min="7185" max="7185" width="13" style="87" bestFit="1" customWidth="1"/>
    <col min="7186" max="7409" width="11.42578125" style="87"/>
    <col min="7410" max="7410" width="45.85546875" style="87" customWidth="1"/>
    <col min="7411" max="7425" width="0" style="87" hidden="1" customWidth="1"/>
    <col min="7426" max="7427" width="12.85546875" style="87" customWidth="1"/>
    <col min="7428" max="7428" width="22.7109375" style="87" customWidth="1"/>
    <col min="7429" max="7430" width="16.85546875" style="87" customWidth="1"/>
    <col min="7431" max="7431" width="17" style="87" customWidth="1"/>
    <col min="7432" max="7432" width="12.140625" style="87" bestFit="1" customWidth="1"/>
    <col min="7433" max="7433" width="4.7109375" style="87" customWidth="1"/>
    <col min="7434" max="7434" width="18.85546875" style="87" customWidth="1"/>
    <col min="7435" max="7435" width="12" style="87" bestFit="1" customWidth="1"/>
    <col min="7436" max="7440" width="11.42578125" style="87"/>
    <col min="7441" max="7441" width="13" style="87" bestFit="1" customWidth="1"/>
    <col min="7442" max="7665" width="11.42578125" style="87"/>
    <col min="7666" max="7666" width="45.85546875" style="87" customWidth="1"/>
    <col min="7667" max="7681" width="0" style="87" hidden="1" customWidth="1"/>
    <col min="7682" max="7683" width="12.85546875" style="87" customWidth="1"/>
    <col min="7684" max="7684" width="22.7109375" style="87" customWidth="1"/>
    <col min="7685" max="7686" width="16.85546875" style="87" customWidth="1"/>
    <col min="7687" max="7687" width="17" style="87" customWidth="1"/>
    <col min="7688" max="7688" width="12.140625" style="87" bestFit="1" customWidth="1"/>
    <col min="7689" max="7689" width="4.7109375" style="87" customWidth="1"/>
    <col min="7690" max="7690" width="18.85546875" style="87" customWidth="1"/>
    <col min="7691" max="7691" width="12" style="87" bestFit="1" customWidth="1"/>
    <col min="7692" max="7696" width="11.42578125" style="87"/>
    <col min="7697" max="7697" width="13" style="87" bestFit="1" customWidth="1"/>
    <col min="7698" max="7921" width="11.42578125" style="87"/>
    <col min="7922" max="7922" width="45.85546875" style="87" customWidth="1"/>
    <col min="7923" max="7937" width="0" style="87" hidden="1" customWidth="1"/>
    <col min="7938" max="7939" width="12.85546875" style="87" customWidth="1"/>
    <col min="7940" max="7940" width="22.7109375" style="87" customWidth="1"/>
    <col min="7941" max="7942" width="16.85546875" style="87" customWidth="1"/>
    <col min="7943" max="7943" width="17" style="87" customWidth="1"/>
    <col min="7944" max="7944" width="12.140625" style="87" bestFit="1" customWidth="1"/>
    <col min="7945" max="7945" width="4.7109375" style="87" customWidth="1"/>
    <col min="7946" max="7946" width="18.85546875" style="87" customWidth="1"/>
    <col min="7947" max="7947" width="12" style="87" bestFit="1" customWidth="1"/>
    <col min="7948" max="7952" width="11.42578125" style="87"/>
    <col min="7953" max="7953" width="13" style="87" bestFit="1" customWidth="1"/>
    <col min="7954" max="8177" width="11.42578125" style="87"/>
    <col min="8178" max="8178" width="45.85546875" style="87" customWidth="1"/>
    <col min="8179" max="8193" width="0" style="87" hidden="1" customWidth="1"/>
    <col min="8194" max="8195" width="12.85546875" style="87" customWidth="1"/>
    <col min="8196" max="8196" width="22.7109375" style="87" customWidth="1"/>
    <col min="8197" max="8198" width="16.85546875" style="87" customWidth="1"/>
    <col min="8199" max="8199" width="17" style="87" customWidth="1"/>
    <col min="8200" max="8200" width="12.140625" style="87" bestFit="1" customWidth="1"/>
    <col min="8201" max="8201" width="4.7109375" style="87" customWidth="1"/>
    <col min="8202" max="8202" width="18.85546875" style="87" customWidth="1"/>
    <col min="8203" max="8203" width="12" style="87" bestFit="1" customWidth="1"/>
    <col min="8204" max="8208" width="11.42578125" style="87"/>
    <col min="8209" max="8209" width="13" style="87" bestFit="1" customWidth="1"/>
    <col min="8210" max="8433" width="11.42578125" style="87"/>
    <col min="8434" max="8434" width="45.85546875" style="87" customWidth="1"/>
    <col min="8435" max="8449" width="0" style="87" hidden="1" customWidth="1"/>
    <col min="8450" max="8451" width="12.85546875" style="87" customWidth="1"/>
    <col min="8452" max="8452" width="22.7109375" style="87" customWidth="1"/>
    <col min="8453" max="8454" width="16.85546875" style="87" customWidth="1"/>
    <col min="8455" max="8455" width="17" style="87" customWidth="1"/>
    <col min="8456" max="8456" width="12.140625" style="87" bestFit="1" customWidth="1"/>
    <col min="8457" max="8457" width="4.7109375" style="87" customWidth="1"/>
    <col min="8458" max="8458" width="18.85546875" style="87" customWidth="1"/>
    <col min="8459" max="8459" width="12" style="87" bestFit="1" customWidth="1"/>
    <col min="8460" max="8464" width="11.42578125" style="87"/>
    <col min="8465" max="8465" width="13" style="87" bestFit="1" customWidth="1"/>
    <col min="8466" max="8689" width="11.42578125" style="87"/>
    <col min="8690" max="8690" width="45.85546875" style="87" customWidth="1"/>
    <col min="8691" max="8705" width="0" style="87" hidden="1" customWidth="1"/>
    <col min="8706" max="8707" width="12.85546875" style="87" customWidth="1"/>
    <col min="8708" max="8708" width="22.7109375" style="87" customWidth="1"/>
    <col min="8709" max="8710" width="16.85546875" style="87" customWidth="1"/>
    <col min="8711" max="8711" width="17" style="87" customWidth="1"/>
    <col min="8712" max="8712" width="12.140625" style="87" bestFit="1" customWidth="1"/>
    <col min="8713" max="8713" width="4.7109375" style="87" customWidth="1"/>
    <col min="8714" max="8714" width="18.85546875" style="87" customWidth="1"/>
    <col min="8715" max="8715" width="12" style="87" bestFit="1" customWidth="1"/>
    <col min="8716" max="8720" width="11.42578125" style="87"/>
    <col min="8721" max="8721" width="13" style="87" bestFit="1" customWidth="1"/>
    <col min="8722" max="8945" width="11.42578125" style="87"/>
    <col min="8946" max="8946" width="45.85546875" style="87" customWidth="1"/>
    <col min="8947" max="8961" width="0" style="87" hidden="1" customWidth="1"/>
    <col min="8962" max="8963" width="12.85546875" style="87" customWidth="1"/>
    <col min="8964" max="8964" width="22.7109375" style="87" customWidth="1"/>
    <col min="8965" max="8966" width="16.85546875" style="87" customWidth="1"/>
    <col min="8967" max="8967" width="17" style="87" customWidth="1"/>
    <col min="8968" max="8968" width="12.140625" style="87" bestFit="1" customWidth="1"/>
    <col min="8969" max="8969" width="4.7109375" style="87" customWidth="1"/>
    <col min="8970" max="8970" width="18.85546875" style="87" customWidth="1"/>
    <col min="8971" max="8971" width="12" style="87" bestFit="1" customWidth="1"/>
    <col min="8972" max="8976" width="11.42578125" style="87"/>
    <col min="8977" max="8977" width="13" style="87" bestFit="1" customWidth="1"/>
    <col min="8978" max="9201" width="11.42578125" style="87"/>
    <col min="9202" max="9202" width="45.85546875" style="87" customWidth="1"/>
    <col min="9203" max="9217" width="0" style="87" hidden="1" customWidth="1"/>
    <col min="9218" max="9219" width="12.85546875" style="87" customWidth="1"/>
    <col min="9220" max="9220" width="22.7109375" style="87" customWidth="1"/>
    <col min="9221" max="9222" width="16.85546875" style="87" customWidth="1"/>
    <col min="9223" max="9223" width="17" style="87" customWidth="1"/>
    <col min="9224" max="9224" width="12.140625" style="87" bestFit="1" customWidth="1"/>
    <col min="9225" max="9225" width="4.7109375" style="87" customWidth="1"/>
    <col min="9226" max="9226" width="18.85546875" style="87" customWidth="1"/>
    <col min="9227" max="9227" width="12" style="87" bestFit="1" customWidth="1"/>
    <col min="9228" max="9232" width="11.42578125" style="87"/>
    <col min="9233" max="9233" width="13" style="87" bestFit="1" customWidth="1"/>
    <col min="9234" max="9457" width="11.42578125" style="87"/>
    <col min="9458" max="9458" width="45.85546875" style="87" customWidth="1"/>
    <col min="9459" max="9473" width="0" style="87" hidden="1" customWidth="1"/>
    <col min="9474" max="9475" width="12.85546875" style="87" customWidth="1"/>
    <col min="9476" max="9476" width="22.7109375" style="87" customWidth="1"/>
    <col min="9477" max="9478" width="16.85546875" style="87" customWidth="1"/>
    <col min="9479" max="9479" width="17" style="87" customWidth="1"/>
    <col min="9480" max="9480" width="12.140625" style="87" bestFit="1" customWidth="1"/>
    <col min="9481" max="9481" width="4.7109375" style="87" customWidth="1"/>
    <col min="9482" max="9482" width="18.85546875" style="87" customWidth="1"/>
    <col min="9483" max="9483" width="12" style="87" bestFit="1" customWidth="1"/>
    <col min="9484" max="9488" width="11.42578125" style="87"/>
    <col min="9489" max="9489" width="13" style="87" bestFit="1" customWidth="1"/>
    <col min="9490" max="9713" width="11.42578125" style="87"/>
    <col min="9714" max="9714" width="45.85546875" style="87" customWidth="1"/>
    <col min="9715" max="9729" width="0" style="87" hidden="1" customWidth="1"/>
    <col min="9730" max="9731" width="12.85546875" style="87" customWidth="1"/>
    <col min="9732" max="9732" width="22.7109375" style="87" customWidth="1"/>
    <col min="9733" max="9734" width="16.85546875" style="87" customWidth="1"/>
    <col min="9735" max="9735" width="17" style="87" customWidth="1"/>
    <col min="9736" max="9736" width="12.140625" style="87" bestFit="1" customWidth="1"/>
    <col min="9737" max="9737" width="4.7109375" style="87" customWidth="1"/>
    <col min="9738" max="9738" width="18.85546875" style="87" customWidth="1"/>
    <col min="9739" max="9739" width="12" style="87" bestFit="1" customWidth="1"/>
    <col min="9740" max="9744" width="11.42578125" style="87"/>
    <col min="9745" max="9745" width="13" style="87" bestFit="1" customWidth="1"/>
    <col min="9746" max="9969" width="11.42578125" style="87"/>
    <col min="9970" max="9970" width="45.85546875" style="87" customWidth="1"/>
    <col min="9971" max="9985" width="0" style="87" hidden="1" customWidth="1"/>
    <col min="9986" max="9987" width="12.85546875" style="87" customWidth="1"/>
    <col min="9988" max="9988" width="22.7109375" style="87" customWidth="1"/>
    <col min="9989" max="9990" width="16.85546875" style="87" customWidth="1"/>
    <col min="9991" max="9991" width="17" style="87" customWidth="1"/>
    <col min="9992" max="9992" width="12.140625" style="87" bestFit="1" customWidth="1"/>
    <col min="9993" max="9993" width="4.7109375" style="87" customWidth="1"/>
    <col min="9994" max="9994" width="18.85546875" style="87" customWidth="1"/>
    <col min="9995" max="9995" width="12" style="87" bestFit="1" customWidth="1"/>
    <col min="9996" max="10000" width="11.42578125" style="87"/>
    <col min="10001" max="10001" width="13" style="87" bestFit="1" customWidth="1"/>
    <col min="10002" max="10225" width="11.42578125" style="87"/>
    <col min="10226" max="10226" width="45.85546875" style="87" customWidth="1"/>
    <col min="10227" max="10241" width="0" style="87" hidden="1" customWidth="1"/>
    <col min="10242" max="10243" width="12.85546875" style="87" customWidth="1"/>
    <col min="10244" max="10244" width="22.7109375" style="87" customWidth="1"/>
    <col min="10245" max="10246" width="16.85546875" style="87" customWidth="1"/>
    <col min="10247" max="10247" width="17" style="87" customWidth="1"/>
    <col min="10248" max="10248" width="12.140625" style="87" bestFit="1" customWidth="1"/>
    <col min="10249" max="10249" width="4.7109375" style="87" customWidth="1"/>
    <col min="10250" max="10250" width="18.85546875" style="87" customWidth="1"/>
    <col min="10251" max="10251" width="12" style="87" bestFit="1" customWidth="1"/>
    <col min="10252" max="10256" width="11.42578125" style="87"/>
    <col min="10257" max="10257" width="13" style="87" bestFit="1" customWidth="1"/>
    <col min="10258" max="10481" width="11.42578125" style="87"/>
    <col min="10482" max="10482" width="45.85546875" style="87" customWidth="1"/>
    <col min="10483" max="10497" width="0" style="87" hidden="1" customWidth="1"/>
    <col min="10498" max="10499" width="12.85546875" style="87" customWidth="1"/>
    <col min="10500" max="10500" width="22.7109375" style="87" customWidth="1"/>
    <col min="10501" max="10502" width="16.85546875" style="87" customWidth="1"/>
    <col min="10503" max="10503" width="17" style="87" customWidth="1"/>
    <col min="10504" max="10504" width="12.140625" style="87" bestFit="1" customWidth="1"/>
    <col min="10505" max="10505" width="4.7109375" style="87" customWidth="1"/>
    <col min="10506" max="10506" width="18.85546875" style="87" customWidth="1"/>
    <col min="10507" max="10507" width="12" style="87" bestFit="1" customWidth="1"/>
    <col min="10508" max="10512" width="11.42578125" style="87"/>
    <col min="10513" max="10513" width="13" style="87" bestFit="1" customWidth="1"/>
    <col min="10514" max="10737" width="11.42578125" style="87"/>
    <col min="10738" max="10738" width="45.85546875" style="87" customWidth="1"/>
    <col min="10739" max="10753" width="0" style="87" hidden="1" customWidth="1"/>
    <col min="10754" max="10755" width="12.85546875" style="87" customWidth="1"/>
    <col min="10756" max="10756" width="22.7109375" style="87" customWidth="1"/>
    <col min="10757" max="10758" width="16.85546875" style="87" customWidth="1"/>
    <col min="10759" max="10759" width="17" style="87" customWidth="1"/>
    <col min="10760" max="10760" width="12.140625" style="87" bestFit="1" customWidth="1"/>
    <col min="10761" max="10761" width="4.7109375" style="87" customWidth="1"/>
    <col min="10762" max="10762" width="18.85546875" style="87" customWidth="1"/>
    <col min="10763" max="10763" width="12" style="87" bestFit="1" customWidth="1"/>
    <col min="10764" max="10768" width="11.42578125" style="87"/>
    <col min="10769" max="10769" width="13" style="87" bestFit="1" customWidth="1"/>
    <col min="10770" max="10993" width="11.42578125" style="87"/>
    <col min="10994" max="10994" width="45.85546875" style="87" customWidth="1"/>
    <col min="10995" max="11009" width="0" style="87" hidden="1" customWidth="1"/>
    <col min="11010" max="11011" width="12.85546875" style="87" customWidth="1"/>
    <col min="11012" max="11012" width="22.7109375" style="87" customWidth="1"/>
    <col min="11013" max="11014" width="16.85546875" style="87" customWidth="1"/>
    <col min="11015" max="11015" width="17" style="87" customWidth="1"/>
    <col min="11016" max="11016" width="12.140625" style="87" bestFit="1" customWidth="1"/>
    <col min="11017" max="11017" width="4.7109375" style="87" customWidth="1"/>
    <col min="11018" max="11018" width="18.85546875" style="87" customWidth="1"/>
    <col min="11019" max="11019" width="12" style="87" bestFit="1" customWidth="1"/>
    <col min="11020" max="11024" width="11.42578125" style="87"/>
    <col min="11025" max="11025" width="13" style="87" bestFit="1" customWidth="1"/>
    <col min="11026" max="11249" width="11.42578125" style="87"/>
    <col min="11250" max="11250" width="45.85546875" style="87" customWidth="1"/>
    <col min="11251" max="11265" width="0" style="87" hidden="1" customWidth="1"/>
    <col min="11266" max="11267" width="12.85546875" style="87" customWidth="1"/>
    <col min="11268" max="11268" width="22.7109375" style="87" customWidth="1"/>
    <col min="11269" max="11270" width="16.85546875" style="87" customWidth="1"/>
    <col min="11271" max="11271" width="17" style="87" customWidth="1"/>
    <col min="11272" max="11272" width="12.140625" style="87" bestFit="1" customWidth="1"/>
    <col min="11273" max="11273" width="4.7109375" style="87" customWidth="1"/>
    <col min="11274" max="11274" width="18.85546875" style="87" customWidth="1"/>
    <col min="11275" max="11275" width="12" style="87" bestFit="1" customWidth="1"/>
    <col min="11276" max="11280" width="11.42578125" style="87"/>
    <col min="11281" max="11281" width="13" style="87" bestFit="1" customWidth="1"/>
    <col min="11282" max="11505" width="11.42578125" style="87"/>
    <col min="11506" max="11506" width="45.85546875" style="87" customWidth="1"/>
    <col min="11507" max="11521" width="0" style="87" hidden="1" customWidth="1"/>
    <col min="11522" max="11523" width="12.85546875" style="87" customWidth="1"/>
    <col min="11524" max="11524" width="22.7109375" style="87" customWidth="1"/>
    <col min="11525" max="11526" width="16.85546875" style="87" customWidth="1"/>
    <col min="11527" max="11527" width="17" style="87" customWidth="1"/>
    <col min="11528" max="11528" width="12.140625" style="87" bestFit="1" customWidth="1"/>
    <col min="11529" max="11529" width="4.7109375" style="87" customWidth="1"/>
    <col min="11530" max="11530" width="18.85546875" style="87" customWidth="1"/>
    <col min="11531" max="11531" width="12" style="87" bestFit="1" customWidth="1"/>
    <col min="11532" max="11536" width="11.42578125" style="87"/>
    <col min="11537" max="11537" width="13" style="87" bestFit="1" customWidth="1"/>
    <col min="11538" max="11761" width="11.42578125" style="87"/>
    <col min="11762" max="11762" width="45.85546875" style="87" customWidth="1"/>
    <col min="11763" max="11777" width="0" style="87" hidden="1" customWidth="1"/>
    <col min="11778" max="11779" width="12.85546875" style="87" customWidth="1"/>
    <col min="11780" max="11780" width="22.7109375" style="87" customWidth="1"/>
    <col min="11781" max="11782" width="16.85546875" style="87" customWidth="1"/>
    <col min="11783" max="11783" width="17" style="87" customWidth="1"/>
    <col min="11784" max="11784" width="12.140625" style="87" bestFit="1" customWidth="1"/>
    <col min="11785" max="11785" width="4.7109375" style="87" customWidth="1"/>
    <col min="11786" max="11786" width="18.85546875" style="87" customWidth="1"/>
    <col min="11787" max="11787" width="12" style="87" bestFit="1" customWidth="1"/>
    <col min="11788" max="11792" width="11.42578125" style="87"/>
    <col min="11793" max="11793" width="13" style="87" bestFit="1" customWidth="1"/>
    <col min="11794" max="12017" width="11.42578125" style="87"/>
    <col min="12018" max="12018" width="45.85546875" style="87" customWidth="1"/>
    <col min="12019" max="12033" width="0" style="87" hidden="1" customWidth="1"/>
    <col min="12034" max="12035" width="12.85546875" style="87" customWidth="1"/>
    <col min="12036" max="12036" width="22.7109375" style="87" customWidth="1"/>
    <col min="12037" max="12038" width="16.85546875" style="87" customWidth="1"/>
    <col min="12039" max="12039" width="17" style="87" customWidth="1"/>
    <col min="12040" max="12040" width="12.140625" style="87" bestFit="1" customWidth="1"/>
    <col min="12041" max="12041" width="4.7109375" style="87" customWidth="1"/>
    <col min="12042" max="12042" width="18.85546875" style="87" customWidth="1"/>
    <col min="12043" max="12043" width="12" style="87" bestFit="1" customWidth="1"/>
    <col min="12044" max="12048" width="11.42578125" style="87"/>
    <col min="12049" max="12049" width="13" style="87" bestFit="1" customWidth="1"/>
    <col min="12050" max="12273" width="11.42578125" style="87"/>
    <col min="12274" max="12274" width="45.85546875" style="87" customWidth="1"/>
    <col min="12275" max="12289" width="0" style="87" hidden="1" customWidth="1"/>
    <col min="12290" max="12291" width="12.85546875" style="87" customWidth="1"/>
    <col min="12292" max="12292" width="22.7109375" style="87" customWidth="1"/>
    <col min="12293" max="12294" width="16.85546875" style="87" customWidth="1"/>
    <col min="12295" max="12295" width="17" style="87" customWidth="1"/>
    <col min="12296" max="12296" width="12.140625" style="87" bestFit="1" customWidth="1"/>
    <col min="12297" max="12297" width="4.7109375" style="87" customWidth="1"/>
    <col min="12298" max="12298" width="18.85546875" style="87" customWidth="1"/>
    <col min="12299" max="12299" width="12" style="87" bestFit="1" customWidth="1"/>
    <col min="12300" max="12304" width="11.42578125" style="87"/>
    <col min="12305" max="12305" width="13" style="87" bestFit="1" customWidth="1"/>
    <col min="12306" max="12529" width="11.42578125" style="87"/>
    <col min="12530" max="12530" width="45.85546875" style="87" customWidth="1"/>
    <col min="12531" max="12545" width="0" style="87" hidden="1" customWidth="1"/>
    <col min="12546" max="12547" width="12.85546875" style="87" customWidth="1"/>
    <col min="12548" max="12548" width="22.7109375" style="87" customWidth="1"/>
    <col min="12549" max="12550" width="16.85546875" style="87" customWidth="1"/>
    <col min="12551" max="12551" width="17" style="87" customWidth="1"/>
    <col min="12552" max="12552" width="12.140625" style="87" bestFit="1" customWidth="1"/>
    <col min="12553" max="12553" width="4.7109375" style="87" customWidth="1"/>
    <col min="12554" max="12554" width="18.85546875" style="87" customWidth="1"/>
    <col min="12555" max="12555" width="12" style="87" bestFit="1" customWidth="1"/>
    <col min="12556" max="12560" width="11.42578125" style="87"/>
    <col min="12561" max="12561" width="13" style="87" bestFit="1" customWidth="1"/>
    <col min="12562" max="12785" width="11.42578125" style="87"/>
    <col min="12786" max="12786" width="45.85546875" style="87" customWidth="1"/>
    <col min="12787" max="12801" width="0" style="87" hidden="1" customWidth="1"/>
    <col min="12802" max="12803" width="12.85546875" style="87" customWidth="1"/>
    <col min="12804" max="12804" width="22.7109375" style="87" customWidth="1"/>
    <col min="12805" max="12806" width="16.85546875" style="87" customWidth="1"/>
    <col min="12807" max="12807" width="17" style="87" customWidth="1"/>
    <col min="12808" max="12808" width="12.140625" style="87" bestFit="1" customWidth="1"/>
    <col min="12809" max="12809" width="4.7109375" style="87" customWidth="1"/>
    <col min="12810" max="12810" width="18.85546875" style="87" customWidth="1"/>
    <col min="12811" max="12811" width="12" style="87" bestFit="1" customWidth="1"/>
    <col min="12812" max="12816" width="11.42578125" style="87"/>
    <col min="12817" max="12817" width="13" style="87" bestFit="1" customWidth="1"/>
    <col min="12818" max="13041" width="11.42578125" style="87"/>
    <col min="13042" max="13042" width="45.85546875" style="87" customWidth="1"/>
    <col min="13043" max="13057" width="0" style="87" hidden="1" customWidth="1"/>
    <col min="13058" max="13059" width="12.85546875" style="87" customWidth="1"/>
    <col min="13060" max="13060" width="22.7109375" style="87" customWidth="1"/>
    <col min="13061" max="13062" width="16.85546875" style="87" customWidth="1"/>
    <col min="13063" max="13063" width="17" style="87" customWidth="1"/>
    <col min="13064" max="13064" width="12.140625" style="87" bestFit="1" customWidth="1"/>
    <col min="13065" max="13065" width="4.7109375" style="87" customWidth="1"/>
    <col min="13066" max="13066" width="18.85546875" style="87" customWidth="1"/>
    <col min="13067" max="13067" width="12" style="87" bestFit="1" customWidth="1"/>
    <col min="13068" max="13072" width="11.42578125" style="87"/>
    <col min="13073" max="13073" width="13" style="87" bestFit="1" customWidth="1"/>
    <col min="13074" max="13297" width="11.42578125" style="87"/>
    <col min="13298" max="13298" width="45.85546875" style="87" customWidth="1"/>
    <col min="13299" max="13313" width="0" style="87" hidden="1" customWidth="1"/>
    <col min="13314" max="13315" width="12.85546875" style="87" customWidth="1"/>
    <col min="13316" max="13316" width="22.7109375" style="87" customWidth="1"/>
    <col min="13317" max="13318" width="16.85546875" style="87" customWidth="1"/>
    <col min="13319" max="13319" width="17" style="87" customWidth="1"/>
    <col min="13320" max="13320" width="12.140625" style="87" bestFit="1" customWidth="1"/>
    <col min="13321" max="13321" width="4.7109375" style="87" customWidth="1"/>
    <col min="13322" max="13322" width="18.85546875" style="87" customWidth="1"/>
    <col min="13323" max="13323" width="12" style="87" bestFit="1" customWidth="1"/>
    <col min="13324" max="13328" width="11.42578125" style="87"/>
    <col min="13329" max="13329" width="13" style="87" bestFit="1" customWidth="1"/>
    <col min="13330" max="13553" width="11.42578125" style="87"/>
    <col min="13554" max="13554" width="45.85546875" style="87" customWidth="1"/>
    <col min="13555" max="13569" width="0" style="87" hidden="1" customWidth="1"/>
    <col min="13570" max="13571" width="12.85546875" style="87" customWidth="1"/>
    <col min="13572" max="13572" width="22.7109375" style="87" customWidth="1"/>
    <col min="13573" max="13574" width="16.85546875" style="87" customWidth="1"/>
    <col min="13575" max="13575" width="17" style="87" customWidth="1"/>
    <col min="13576" max="13576" width="12.140625" style="87" bestFit="1" customWidth="1"/>
    <col min="13577" max="13577" width="4.7109375" style="87" customWidth="1"/>
    <col min="13578" max="13578" width="18.85546875" style="87" customWidth="1"/>
    <col min="13579" max="13579" width="12" style="87" bestFit="1" customWidth="1"/>
    <col min="13580" max="13584" width="11.42578125" style="87"/>
    <col min="13585" max="13585" width="13" style="87" bestFit="1" customWidth="1"/>
    <col min="13586" max="13809" width="11.42578125" style="87"/>
    <col min="13810" max="13810" width="45.85546875" style="87" customWidth="1"/>
    <col min="13811" max="13825" width="0" style="87" hidden="1" customWidth="1"/>
    <col min="13826" max="13827" width="12.85546875" style="87" customWidth="1"/>
    <col min="13828" max="13828" width="22.7109375" style="87" customWidth="1"/>
    <col min="13829" max="13830" width="16.85546875" style="87" customWidth="1"/>
    <col min="13831" max="13831" width="17" style="87" customWidth="1"/>
    <col min="13832" max="13832" width="12.140625" style="87" bestFit="1" customWidth="1"/>
    <col min="13833" max="13833" width="4.7109375" style="87" customWidth="1"/>
    <col min="13834" max="13834" width="18.85546875" style="87" customWidth="1"/>
    <col min="13835" max="13835" width="12" style="87" bestFit="1" customWidth="1"/>
    <col min="13836" max="13840" width="11.42578125" style="87"/>
    <col min="13841" max="13841" width="13" style="87" bestFit="1" customWidth="1"/>
    <col min="13842" max="14065" width="11.42578125" style="87"/>
    <col min="14066" max="14066" width="45.85546875" style="87" customWidth="1"/>
    <col min="14067" max="14081" width="0" style="87" hidden="1" customWidth="1"/>
    <col min="14082" max="14083" width="12.85546875" style="87" customWidth="1"/>
    <col min="14084" max="14084" width="22.7109375" style="87" customWidth="1"/>
    <col min="14085" max="14086" width="16.85546875" style="87" customWidth="1"/>
    <col min="14087" max="14087" width="17" style="87" customWidth="1"/>
    <col min="14088" max="14088" width="12.140625" style="87" bestFit="1" customWidth="1"/>
    <col min="14089" max="14089" width="4.7109375" style="87" customWidth="1"/>
    <col min="14090" max="14090" width="18.85546875" style="87" customWidth="1"/>
    <col min="14091" max="14091" width="12" style="87" bestFit="1" customWidth="1"/>
    <col min="14092" max="14096" width="11.42578125" style="87"/>
    <col min="14097" max="14097" width="13" style="87" bestFit="1" customWidth="1"/>
    <col min="14098" max="14321" width="11.42578125" style="87"/>
    <col min="14322" max="14322" width="45.85546875" style="87" customWidth="1"/>
    <col min="14323" max="14337" width="0" style="87" hidden="1" customWidth="1"/>
    <col min="14338" max="14339" width="12.85546875" style="87" customWidth="1"/>
    <col min="14340" max="14340" width="22.7109375" style="87" customWidth="1"/>
    <col min="14341" max="14342" width="16.85546875" style="87" customWidth="1"/>
    <col min="14343" max="14343" width="17" style="87" customWidth="1"/>
    <col min="14344" max="14344" width="12.140625" style="87" bestFit="1" customWidth="1"/>
    <col min="14345" max="14345" width="4.7109375" style="87" customWidth="1"/>
    <col min="14346" max="14346" width="18.85546875" style="87" customWidth="1"/>
    <col min="14347" max="14347" width="12" style="87" bestFit="1" customWidth="1"/>
    <col min="14348" max="14352" width="11.42578125" style="87"/>
    <col min="14353" max="14353" width="13" style="87" bestFit="1" customWidth="1"/>
    <col min="14354" max="14577" width="11.42578125" style="87"/>
    <col min="14578" max="14578" width="45.85546875" style="87" customWidth="1"/>
    <col min="14579" max="14593" width="0" style="87" hidden="1" customWidth="1"/>
    <col min="14594" max="14595" width="12.85546875" style="87" customWidth="1"/>
    <col min="14596" max="14596" width="22.7109375" style="87" customWidth="1"/>
    <col min="14597" max="14598" width="16.85546875" style="87" customWidth="1"/>
    <col min="14599" max="14599" width="17" style="87" customWidth="1"/>
    <col min="14600" max="14600" width="12.140625" style="87" bestFit="1" customWidth="1"/>
    <col min="14601" max="14601" width="4.7109375" style="87" customWidth="1"/>
    <col min="14602" max="14602" width="18.85546875" style="87" customWidth="1"/>
    <col min="14603" max="14603" width="12" style="87" bestFit="1" customWidth="1"/>
    <col min="14604" max="14608" width="11.42578125" style="87"/>
    <col min="14609" max="14609" width="13" style="87" bestFit="1" customWidth="1"/>
    <col min="14610" max="14833" width="11.42578125" style="87"/>
    <col min="14834" max="14834" width="45.85546875" style="87" customWidth="1"/>
    <col min="14835" max="14849" width="0" style="87" hidden="1" customWidth="1"/>
    <col min="14850" max="14851" width="12.85546875" style="87" customWidth="1"/>
    <col min="14852" max="14852" width="22.7109375" style="87" customWidth="1"/>
    <col min="14853" max="14854" width="16.85546875" style="87" customWidth="1"/>
    <col min="14855" max="14855" width="17" style="87" customWidth="1"/>
    <col min="14856" max="14856" width="12.140625" style="87" bestFit="1" customWidth="1"/>
    <col min="14857" max="14857" width="4.7109375" style="87" customWidth="1"/>
    <col min="14858" max="14858" width="18.85546875" style="87" customWidth="1"/>
    <col min="14859" max="14859" width="12" style="87" bestFit="1" customWidth="1"/>
    <col min="14860" max="14864" width="11.42578125" style="87"/>
    <col min="14865" max="14865" width="13" style="87" bestFit="1" customWidth="1"/>
    <col min="14866" max="15089" width="11.42578125" style="87"/>
    <col min="15090" max="15090" width="45.85546875" style="87" customWidth="1"/>
    <col min="15091" max="15105" width="0" style="87" hidden="1" customWidth="1"/>
    <col min="15106" max="15107" width="12.85546875" style="87" customWidth="1"/>
    <col min="15108" max="15108" width="22.7109375" style="87" customWidth="1"/>
    <col min="15109" max="15110" width="16.85546875" style="87" customWidth="1"/>
    <col min="15111" max="15111" width="17" style="87" customWidth="1"/>
    <col min="15112" max="15112" width="12.140625" style="87" bestFit="1" customWidth="1"/>
    <col min="15113" max="15113" width="4.7109375" style="87" customWidth="1"/>
    <col min="15114" max="15114" width="18.85546875" style="87" customWidth="1"/>
    <col min="15115" max="15115" width="12" style="87" bestFit="1" customWidth="1"/>
    <col min="15116" max="15120" width="11.42578125" style="87"/>
    <col min="15121" max="15121" width="13" style="87" bestFit="1" customWidth="1"/>
    <col min="15122" max="15345" width="11.42578125" style="87"/>
    <col min="15346" max="15346" width="45.85546875" style="87" customWidth="1"/>
    <col min="15347" max="15361" width="0" style="87" hidden="1" customWidth="1"/>
    <col min="15362" max="15363" width="12.85546875" style="87" customWidth="1"/>
    <col min="15364" max="15364" width="22.7109375" style="87" customWidth="1"/>
    <col min="15365" max="15366" width="16.85546875" style="87" customWidth="1"/>
    <col min="15367" max="15367" width="17" style="87" customWidth="1"/>
    <col min="15368" max="15368" width="12.140625" style="87" bestFit="1" customWidth="1"/>
    <col min="15369" max="15369" width="4.7109375" style="87" customWidth="1"/>
    <col min="15370" max="15370" width="18.85546875" style="87" customWidth="1"/>
    <col min="15371" max="15371" width="12" style="87" bestFit="1" customWidth="1"/>
    <col min="15372" max="15376" width="11.42578125" style="87"/>
    <col min="15377" max="15377" width="13" style="87" bestFit="1" customWidth="1"/>
    <col min="15378" max="15601" width="11.42578125" style="87"/>
    <col min="15602" max="15602" width="45.85546875" style="87" customWidth="1"/>
    <col min="15603" max="15617" width="0" style="87" hidden="1" customWidth="1"/>
    <col min="15618" max="15619" width="12.85546875" style="87" customWidth="1"/>
    <col min="15620" max="15620" width="22.7109375" style="87" customWidth="1"/>
    <col min="15621" max="15622" width="16.85546875" style="87" customWidth="1"/>
    <col min="15623" max="15623" width="17" style="87" customWidth="1"/>
    <col min="15624" max="15624" width="12.140625" style="87" bestFit="1" customWidth="1"/>
    <col min="15625" max="15625" width="4.7109375" style="87" customWidth="1"/>
    <col min="15626" max="15626" width="18.85546875" style="87" customWidth="1"/>
    <col min="15627" max="15627" width="12" style="87" bestFit="1" customWidth="1"/>
    <col min="15628" max="15632" width="11.42578125" style="87"/>
    <col min="15633" max="15633" width="13" style="87" bestFit="1" customWidth="1"/>
    <col min="15634" max="15857" width="11.42578125" style="87"/>
    <col min="15858" max="15858" width="45.85546875" style="87" customWidth="1"/>
    <col min="15859" max="15873" width="0" style="87" hidden="1" customWidth="1"/>
    <col min="15874" max="15875" width="12.85546875" style="87" customWidth="1"/>
    <col min="15876" max="15876" width="22.7109375" style="87" customWidth="1"/>
    <col min="15877" max="15878" width="16.85546875" style="87" customWidth="1"/>
    <col min="15879" max="15879" width="17" style="87" customWidth="1"/>
    <col min="15880" max="15880" width="12.140625" style="87" bestFit="1" customWidth="1"/>
    <col min="15881" max="15881" width="4.7109375" style="87" customWidth="1"/>
    <col min="15882" max="15882" width="18.85546875" style="87" customWidth="1"/>
    <col min="15883" max="15883" width="12" style="87" bestFit="1" customWidth="1"/>
    <col min="15884" max="15888" width="11.42578125" style="87"/>
    <col min="15889" max="15889" width="13" style="87" bestFit="1" customWidth="1"/>
    <col min="15890" max="16113" width="11.42578125" style="87"/>
    <col min="16114" max="16114" width="45.85546875" style="87" customWidth="1"/>
    <col min="16115" max="16129" width="0" style="87" hidden="1" customWidth="1"/>
    <col min="16130" max="16131" width="12.85546875" style="87" customWidth="1"/>
    <col min="16132" max="16132" width="22.7109375" style="87" customWidth="1"/>
    <col min="16133" max="16134" width="16.85546875" style="87" customWidth="1"/>
    <col min="16135" max="16135" width="17" style="87" customWidth="1"/>
    <col min="16136" max="16136" width="12.140625" style="87" bestFit="1" customWidth="1"/>
    <col min="16137" max="16137" width="4.7109375" style="87" customWidth="1"/>
    <col min="16138" max="16138" width="18.85546875" style="87" customWidth="1"/>
    <col min="16139" max="16139" width="12" style="87" bestFit="1" customWidth="1"/>
    <col min="16140" max="16144" width="11.42578125" style="87"/>
    <col min="16145" max="16145" width="13" style="87" bestFit="1" customWidth="1"/>
    <col min="16146" max="16384" width="11.42578125" style="87"/>
  </cols>
  <sheetData>
    <row r="1" spans="1:9" ht="13.5" customHeight="1" x14ac:dyDescent="0.25">
      <c r="A1" s="615" t="s">
        <v>288</v>
      </c>
      <c r="B1" s="615"/>
      <c r="C1" s="615"/>
      <c r="D1" s="615"/>
      <c r="E1" s="306"/>
      <c r="F1" s="306"/>
    </row>
    <row r="2" spans="1:9" ht="12.75" x14ac:dyDescent="0.2">
      <c r="A2" s="616" t="s">
        <v>1107</v>
      </c>
      <c r="B2" s="616"/>
      <c r="C2" s="616"/>
      <c r="D2" s="616"/>
      <c r="E2" s="306"/>
      <c r="F2" s="306"/>
    </row>
    <row r="3" spans="1:9" ht="12.75" x14ac:dyDescent="0.2">
      <c r="A3" s="307" t="s">
        <v>55</v>
      </c>
      <c r="B3" s="617" t="s">
        <v>56</v>
      </c>
      <c r="C3" s="617"/>
      <c r="D3" s="308">
        <v>0.16020000000000001</v>
      </c>
      <c r="E3" s="91"/>
      <c r="F3" s="91"/>
      <c r="G3" s="89"/>
    </row>
    <row r="4" spans="1:9" ht="12.75" x14ac:dyDescent="0.2">
      <c r="A4" s="307" t="s">
        <v>57</v>
      </c>
      <c r="B4" s="618" t="s">
        <v>1108</v>
      </c>
      <c r="C4" s="618"/>
      <c r="D4" s="449">
        <v>1300000</v>
      </c>
      <c r="E4" s="91"/>
      <c r="F4" s="91"/>
      <c r="G4" s="89"/>
    </row>
    <row r="5" spans="1:9" ht="12.75" x14ac:dyDescent="0.2">
      <c r="A5" s="307" t="s">
        <v>1109</v>
      </c>
      <c r="B5" s="309"/>
      <c r="C5" s="309"/>
      <c r="D5" s="309"/>
      <c r="E5" s="89"/>
      <c r="F5" s="89"/>
      <c r="G5" s="89"/>
    </row>
    <row r="6" spans="1:9" ht="12.75" x14ac:dyDescent="0.2">
      <c r="A6" s="307" t="s">
        <v>1110</v>
      </c>
      <c r="B6" s="309"/>
      <c r="C6" s="309"/>
      <c r="D6" s="309"/>
      <c r="E6" s="89"/>
      <c r="F6" s="89"/>
      <c r="G6" s="89"/>
    </row>
    <row r="7" spans="1:9" ht="12.75" x14ac:dyDescent="0.2">
      <c r="A7" s="307" t="s">
        <v>1111</v>
      </c>
      <c r="B7" s="309"/>
      <c r="C7" s="309"/>
      <c r="D7" s="309"/>
      <c r="E7" s="89"/>
      <c r="F7" s="89"/>
      <c r="G7" s="89"/>
    </row>
    <row r="8" spans="1:9" x14ac:dyDescent="0.2">
      <c r="A8" s="88"/>
      <c r="D8" s="89"/>
      <c r="E8" s="89"/>
      <c r="F8" s="89"/>
      <c r="G8" s="89"/>
    </row>
    <row r="9" spans="1:9" x14ac:dyDescent="0.2">
      <c r="A9" s="88"/>
      <c r="D9" s="89"/>
      <c r="E9" s="89"/>
      <c r="F9" s="89"/>
      <c r="G9" s="89"/>
    </row>
    <row r="10" spans="1:9" x14ac:dyDescent="0.2">
      <c r="A10" s="88"/>
      <c r="D10" s="89"/>
      <c r="E10" s="89"/>
      <c r="F10" s="89"/>
      <c r="G10" s="89"/>
    </row>
    <row r="11" spans="1:9" s="92" customFormat="1" ht="12.75" x14ac:dyDescent="0.2">
      <c r="A11" s="612" t="s">
        <v>1100</v>
      </c>
      <c r="B11" s="613"/>
      <c r="C11" s="613"/>
      <c r="D11" s="614"/>
      <c r="E11" s="310"/>
      <c r="F11" s="310"/>
      <c r="G11" s="311"/>
    </row>
    <row r="12" spans="1:9" s="92" customFormat="1" ht="12.75" x14ac:dyDescent="0.2">
      <c r="A12" s="612" t="s">
        <v>685</v>
      </c>
      <c r="B12" s="613"/>
      <c r="C12" s="613"/>
      <c r="D12" s="614"/>
      <c r="E12" s="310"/>
      <c r="F12" s="310"/>
      <c r="G12" s="311"/>
    </row>
    <row r="13" spans="1:9" ht="45" x14ac:dyDescent="0.2">
      <c r="A13" s="312" t="s">
        <v>686</v>
      </c>
      <c r="B13" s="95" t="s">
        <v>687</v>
      </c>
      <c r="C13" s="313" t="s">
        <v>278</v>
      </c>
      <c r="D13" s="314" t="s">
        <v>64</v>
      </c>
      <c r="E13" s="315"/>
      <c r="F13" s="315"/>
      <c r="G13" s="121"/>
    </row>
    <row r="14" spans="1:9" ht="21.75" customHeight="1" x14ac:dyDescent="0.2">
      <c r="A14" s="316" t="s">
        <v>67</v>
      </c>
      <c r="B14" s="317">
        <v>2900</v>
      </c>
      <c r="C14" s="317" t="s">
        <v>68</v>
      </c>
      <c r="D14" s="101"/>
      <c r="E14" s="318"/>
      <c r="F14" s="318"/>
      <c r="G14" s="102">
        <f>IFERROR(VLOOKUP(C14,'2025'!B660,0),0)</f>
        <v>0</v>
      </c>
      <c r="H14" s="103"/>
      <c r="I14" s="104"/>
    </row>
    <row r="15" spans="1:9" ht="21.75" customHeight="1" x14ac:dyDescent="0.2">
      <c r="A15" s="450" t="s">
        <v>1112</v>
      </c>
      <c r="B15" s="451">
        <v>8900</v>
      </c>
      <c r="C15" s="317"/>
      <c r="D15" s="101"/>
      <c r="E15" s="318"/>
      <c r="F15" s="318"/>
      <c r="G15" s="102"/>
      <c r="H15" s="103"/>
      <c r="I15" s="104"/>
    </row>
    <row r="16" spans="1:9" ht="21.75" customHeight="1" x14ac:dyDescent="0.2">
      <c r="A16" s="316" t="s">
        <v>69</v>
      </c>
      <c r="B16" s="317">
        <v>15200</v>
      </c>
      <c r="C16" s="317" t="s">
        <v>68</v>
      </c>
      <c r="D16" s="105"/>
      <c r="E16" s="318"/>
      <c r="F16" s="318"/>
      <c r="G16" s="102"/>
    </row>
    <row r="17" spans="1:7" ht="21.75" customHeight="1" x14ac:dyDescent="0.2">
      <c r="A17" s="450" t="s">
        <v>1113</v>
      </c>
      <c r="B17" s="451">
        <v>22500</v>
      </c>
      <c r="C17" s="317"/>
      <c r="D17" s="105"/>
      <c r="E17" s="318"/>
      <c r="F17" s="318"/>
      <c r="G17" s="102"/>
    </row>
    <row r="18" spans="1:7" ht="21.75" customHeight="1" x14ac:dyDescent="0.2">
      <c r="A18" s="316" t="s">
        <v>70</v>
      </c>
      <c r="B18" s="317">
        <v>2900</v>
      </c>
      <c r="C18" s="317" t="s">
        <v>68</v>
      </c>
      <c r="D18" s="101"/>
      <c r="E18" s="318"/>
      <c r="F18" s="318"/>
      <c r="G18" s="102"/>
    </row>
    <row r="19" spans="1:7" ht="21.75" customHeight="1" x14ac:dyDescent="0.2">
      <c r="A19" s="316" t="s">
        <v>71</v>
      </c>
      <c r="B19" s="317">
        <v>2900</v>
      </c>
      <c r="C19" s="317" t="s">
        <v>68</v>
      </c>
      <c r="D19" s="101"/>
      <c r="E19" s="318"/>
      <c r="F19" s="318"/>
      <c r="G19" s="102"/>
    </row>
    <row r="20" spans="1:7" ht="21.75" customHeight="1" x14ac:dyDescent="0.2">
      <c r="A20" s="316" t="s">
        <v>72</v>
      </c>
      <c r="B20" s="317">
        <v>22200</v>
      </c>
      <c r="C20" s="317" t="s">
        <v>68</v>
      </c>
      <c r="D20" s="101"/>
      <c r="E20" s="318"/>
      <c r="F20" s="318"/>
      <c r="G20" s="102"/>
    </row>
    <row r="21" spans="1:7" ht="21.75" customHeight="1" x14ac:dyDescent="0.2">
      <c r="A21" s="316" t="s">
        <v>73</v>
      </c>
      <c r="B21" s="317">
        <v>8200</v>
      </c>
      <c r="C21" s="317" t="s">
        <v>68</v>
      </c>
      <c r="D21" s="101"/>
      <c r="E21" s="318"/>
      <c r="F21" s="318"/>
      <c r="G21" s="102"/>
    </row>
    <row r="22" spans="1:7" ht="21.75" customHeight="1" x14ac:dyDescent="0.2">
      <c r="A22" s="316" t="s">
        <v>688</v>
      </c>
      <c r="B22" s="317">
        <v>180800</v>
      </c>
      <c r="C22" s="317" t="s">
        <v>68</v>
      </c>
      <c r="D22" s="101"/>
      <c r="E22" s="318"/>
      <c r="F22" s="318"/>
      <c r="G22" s="102"/>
    </row>
    <row r="23" spans="1:7" ht="21.75" customHeight="1" x14ac:dyDescent="0.2">
      <c r="A23" s="316" t="s">
        <v>1101</v>
      </c>
      <c r="B23" s="317">
        <v>30200</v>
      </c>
      <c r="C23" s="317"/>
      <c r="D23" s="101"/>
      <c r="E23" s="318"/>
      <c r="F23" s="318"/>
      <c r="G23" s="102"/>
    </row>
    <row r="24" spans="1:7" ht="21.75" customHeight="1" x14ac:dyDescent="0.2">
      <c r="A24" s="316" t="s">
        <v>74</v>
      </c>
      <c r="B24" s="317">
        <v>2900</v>
      </c>
      <c r="C24" s="317" t="s">
        <v>68</v>
      </c>
      <c r="D24" s="105"/>
      <c r="E24" s="318"/>
      <c r="F24" s="318"/>
      <c r="G24" s="102"/>
    </row>
    <row r="25" spans="1:7" ht="25.5" x14ac:dyDescent="0.2">
      <c r="A25" s="319" t="s">
        <v>75</v>
      </c>
      <c r="B25" s="317">
        <v>2900</v>
      </c>
      <c r="C25" s="317" t="s">
        <v>68</v>
      </c>
      <c r="D25" s="105"/>
      <c r="E25" s="318"/>
      <c r="F25" s="318"/>
      <c r="G25" s="102"/>
    </row>
    <row r="26" spans="1:7" ht="21.75" customHeight="1" x14ac:dyDescent="0.2">
      <c r="A26" s="316" t="s">
        <v>76</v>
      </c>
      <c r="B26" s="317">
        <v>17300</v>
      </c>
      <c r="C26" s="317" t="s">
        <v>68</v>
      </c>
      <c r="D26" s="101" t="s">
        <v>77</v>
      </c>
      <c r="E26" s="318"/>
      <c r="F26" s="318"/>
      <c r="G26" s="102"/>
    </row>
    <row r="27" spans="1:7" ht="21.75" customHeight="1" x14ac:dyDescent="0.2">
      <c r="A27" s="316" t="s">
        <v>78</v>
      </c>
      <c r="B27" s="317"/>
      <c r="C27" s="317" t="s">
        <v>68</v>
      </c>
      <c r="D27" s="101"/>
      <c r="E27" s="318"/>
      <c r="F27" s="318"/>
      <c r="G27" s="102"/>
    </row>
    <row r="28" spans="1:7" ht="21.75" customHeight="1" x14ac:dyDescent="0.2">
      <c r="A28" s="316" t="s">
        <v>82</v>
      </c>
      <c r="B28" s="317" t="s">
        <v>68</v>
      </c>
      <c r="C28" s="320">
        <v>31000</v>
      </c>
      <c r="D28" s="101" t="s">
        <v>83</v>
      </c>
      <c r="E28" s="318"/>
      <c r="F28" s="318"/>
      <c r="G28" s="102"/>
    </row>
    <row r="29" spans="1:7" ht="21.75" customHeight="1" x14ac:dyDescent="0.2">
      <c r="A29" s="450" t="s">
        <v>1114</v>
      </c>
      <c r="B29" s="451">
        <v>480000</v>
      </c>
      <c r="C29" s="451">
        <v>480000</v>
      </c>
      <c r="D29" s="92"/>
      <c r="E29" s="318"/>
      <c r="F29" s="318"/>
      <c r="G29" s="102"/>
    </row>
    <row r="30" spans="1:7" ht="18.75" customHeight="1" x14ac:dyDescent="0.2">
      <c r="A30" s="619" t="s">
        <v>689</v>
      </c>
      <c r="B30" s="619"/>
      <c r="C30" s="619"/>
      <c r="D30" s="619"/>
      <c r="E30" s="323"/>
      <c r="F30" s="323"/>
      <c r="G30" s="109"/>
    </row>
    <row r="31" spans="1:7" ht="45" x14ac:dyDescent="0.2">
      <c r="A31" s="324" t="s">
        <v>686</v>
      </c>
      <c r="B31" s="325" t="s">
        <v>687</v>
      </c>
      <c r="C31" s="326" t="s">
        <v>278</v>
      </c>
      <c r="D31" s="327" t="s">
        <v>64</v>
      </c>
      <c r="E31" s="323"/>
      <c r="F31" s="323"/>
      <c r="G31" s="109"/>
    </row>
    <row r="32" spans="1:7" ht="21.75" customHeight="1" x14ac:dyDescent="0.2">
      <c r="A32" s="316" t="s">
        <v>87</v>
      </c>
      <c r="B32" s="317">
        <v>100</v>
      </c>
      <c r="C32" s="317" t="s">
        <v>68</v>
      </c>
      <c r="D32" s="101"/>
      <c r="E32" s="318"/>
      <c r="F32" s="318"/>
      <c r="G32" s="109"/>
    </row>
    <row r="33" spans="1:11" ht="21.75" customHeight="1" x14ac:dyDescent="0.2">
      <c r="A33" s="316" t="s">
        <v>88</v>
      </c>
      <c r="B33" s="317">
        <v>100</v>
      </c>
      <c r="C33" s="317" t="s">
        <v>68</v>
      </c>
      <c r="D33" s="105"/>
      <c r="E33" s="318"/>
      <c r="F33" s="318"/>
      <c r="G33" s="109"/>
    </row>
    <row r="34" spans="1:11" ht="21.75" customHeight="1" x14ac:dyDescent="0.2">
      <c r="A34" s="316" t="s">
        <v>89</v>
      </c>
      <c r="B34" s="317">
        <v>200</v>
      </c>
      <c r="C34" s="317" t="s">
        <v>68</v>
      </c>
      <c r="D34" s="105"/>
      <c r="E34" s="318"/>
      <c r="F34" s="318"/>
      <c r="G34" s="109"/>
    </row>
    <row r="35" spans="1:11" ht="21.75" customHeight="1" x14ac:dyDescent="0.2">
      <c r="A35" s="316" t="s">
        <v>98</v>
      </c>
      <c r="B35" s="317">
        <v>4800</v>
      </c>
      <c r="C35" s="317" t="s">
        <v>68</v>
      </c>
      <c r="D35" s="101" t="s">
        <v>99</v>
      </c>
      <c r="E35" s="92"/>
      <c r="F35" s="92"/>
      <c r="G35" s="110"/>
    </row>
    <row r="36" spans="1:11" ht="21.75" customHeight="1" x14ac:dyDescent="0.2">
      <c r="A36" s="113"/>
      <c r="B36" s="321"/>
      <c r="C36" s="321"/>
      <c r="D36" s="92"/>
      <c r="E36" s="92"/>
      <c r="F36" s="92"/>
      <c r="G36" s="110"/>
    </row>
    <row r="37" spans="1:11" ht="21.75" customHeight="1" x14ac:dyDescent="0.2">
      <c r="A37" s="113"/>
      <c r="B37" s="321"/>
      <c r="C37" s="321"/>
      <c r="D37" s="329"/>
      <c r="E37" s="328"/>
      <c r="F37" s="328"/>
      <c r="G37" s="121"/>
    </row>
    <row r="38" spans="1:11" ht="21.75" customHeight="1" x14ac:dyDescent="0.2">
      <c r="A38" s="619" t="s">
        <v>690</v>
      </c>
      <c r="B38" s="619"/>
      <c r="C38" s="619"/>
      <c r="D38" s="619"/>
      <c r="E38" s="330"/>
      <c r="F38" s="330"/>
      <c r="G38" s="121"/>
    </row>
    <row r="39" spans="1:11" ht="45.75" customHeight="1" x14ac:dyDescent="0.2">
      <c r="A39" s="331" t="s">
        <v>686</v>
      </c>
      <c r="B39" s="95" t="s">
        <v>687</v>
      </c>
      <c r="C39" s="313" t="s">
        <v>278</v>
      </c>
      <c r="D39" s="314" t="s">
        <v>64</v>
      </c>
      <c r="E39" s="330"/>
      <c r="F39" s="330"/>
      <c r="G39" s="121"/>
    </row>
    <row r="40" spans="1:11" ht="21.75" customHeight="1" x14ac:dyDescent="0.2">
      <c r="A40" s="316" t="s">
        <v>106</v>
      </c>
      <c r="B40" s="317" t="s">
        <v>68</v>
      </c>
      <c r="C40" s="317">
        <v>19100</v>
      </c>
      <c r="D40" s="101" t="s">
        <v>107</v>
      </c>
      <c r="E40" s="328"/>
      <c r="F40" s="328"/>
      <c r="G40" s="129"/>
    </row>
    <row r="41" spans="1:11" ht="21.75" customHeight="1" x14ac:dyDescent="0.2">
      <c r="A41" s="316" t="s">
        <v>108</v>
      </c>
      <c r="B41" s="317" t="s">
        <v>68</v>
      </c>
      <c r="C41" s="317">
        <v>19100</v>
      </c>
      <c r="D41" s="101" t="s">
        <v>107</v>
      </c>
      <c r="E41" s="328"/>
      <c r="F41" s="328"/>
      <c r="G41" s="129"/>
    </row>
    <row r="42" spans="1:11" ht="21.75" customHeight="1" x14ac:dyDescent="0.2">
      <c r="A42" s="316" t="s">
        <v>109</v>
      </c>
      <c r="B42" s="317" t="s">
        <v>68</v>
      </c>
      <c r="C42" s="317">
        <v>96400</v>
      </c>
      <c r="D42" s="101" t="s">
        <v>110</v>
      </c>
      <c r="E42" s="328"/>
      <c r="F42" s="328"/>
      <c r="G42" s="129"/>
    </row>
    <row r="43" spans="1:11" ht="21.75" customHeight="1" x14ac:dyDescent="0.2">
      <c r="A43" s="316" t="s">
        <v>691</v>
      </c>
      <c r="B43" s="317" t="s">
        <v>68</v>
      </c>
      <c r="C43" s="317">
        <v>19700</v>
      </c>
      <c r="D43" s="101" t="s">
        <v>1102</v>
      </c>
      <c r="E43" s="328"/>
      <c r="F43" s="328"/>
      <c r="G43" s="129"/>
    </row>
    <row r="44" spans="1:11" ht="21.75" customHeight="1" x14ac:dyDescent="0.2">
      <c r="A44" s="113"/>
      <c r="B44" s="321"/>
      <c r="C44" s="321"/>
      <c r="D44" s="92"/>
      <c r="E44" s="328"/>
      <c r="F44" s="328"/>
      <c r="G44" s="129"/>
    </row>
    <row r="45" spans="1:11" ht="21.75" customHeight="1" x14ac:dyDescent="0.2">
      <c r="A45" s="631" t="s">
        <v>692</v>
      </c>
      <c r="B45" s="632"/>
      <c r="C45" s="632"/>
      <c r="D45" s="632"/>
      <c r="E45" s="332"/>
      <c r="F45" s="332"/>
      <c r="G45" s="121"/>
    </row>
    <row r="46" spans="1:11" ht="48.75" customHeight="1" x14ac:dyDescent="0.2">
      <c r="A46" s="312" t="s">
        <v>686</v>
      </c>
      <c r="B46" s="95" t="s">
        <v>687</v>
      </c>
      <c r="C46" s="313" t="s">
        <v>278</v>
      </c>
      <c r="D46" s="314" t="s">
        <v>64</v>
      </c>
      <c r="E46" s="332"/>
      <c r="F46" s="332"/>
      <c r="G46" s="121"/>
    </row>
    <row r="47" spans="1:11" ht="30" customHeight="1" x14ac:dyDescent="0.2">
      <c r="A47" s="316" t="s">
        <v>112</v>
      </c>
      <c r="B47" s="317">
        <v>409000</v>
      </c>
      <c r="C47" s="317">
        <v>409000</v>
      </c>
      <c r="D47" s="101" t="s">
        <v>113</v>
      </c>
      <c r="E47" s="318"/>
      <c r="F47" s="318"/>
      <c r="G47" s="120"/>
      <c r="H47" s="121"/>
      <c r="I47" s="122"/>
      <c r="J47" s="103"/>
      <c r="K47" s="110"/>
    </row>
    <row r="48" spans="1:11" ht="21.75" customHeight="1" x14ac:dyDescent="0.2">
      <c r="A48" s="316" t="s">
        <v>114</v>
      </c>
      <c r="B48" s="317">
        <v>613500</v>
      </c>
      <c r="C48" s="317">
        <v>613500</v>
      </c>
      <c r="D48" s="101" t="s">
        <v>113</v>
      </c>
      <c r="E48" s="318"/>
      <c r="F48" s="318"/>
      <c r="G48" s="120"/>
      <c r="H48" s="121"/>
      <c r="I48" s="122"/>
      <c r="J48" s="103"/>
      <c r="K48" s="110"/>
    </row>
    <row r="49" spans="1:9" ht="21.75" customHeight="1" x14ac:dyDescent="0.2">
      <c r="A49" s="316" t="s">
        <v>115</v>
      </c>
      <c r="B49" s="317">
        <v>204500</v>
      </c>
      <c r="C49" s="317">
        <v>204500</v>
      </c>
      <c r="D49" s="101"/>
      <c r="E49" s="318"/>
      <c r="F49" s="318"/>
      <c r="G49" s="120"/>
      <c r="H49" s="121"/>
      <c r="I49" s="122"/>
    </row>
    <row r="50" spans="1:9" ht="21.75" customHeight="1" x14ac:dyDescent="0.2">
      <c r="A50" s="316" t="s">
        <v>116</v>
      </c>
      <c r="B50" s="317">
        <v>204500</v>
      </c>
      <c r="C50" s="317">
        <v>204500</v>
      </c>
      <c r="D50" s="101"/>
      <c r="E50" s="318"/>
      <c r="F50" s="318"/>
      <c r="G50" s="120"/>
      <c r="H50" s="121"/>
      <c r="I50" s="122"/>
    </row>
    <row r="51" spans="1:9" ht="21.75" customHeight="1" x14ac:dyDescent="0.2">
      <c r="A51" s="631" t="s">
        <v>692</v>
      </c>
      <c r="B51" s="632"/>
      <c r="C51" s="632"/>
      <c r="D51" s="632"/>
      <c r="E51" s="318"/>
      <c r="F51" s="318"/>
      <c r="G51" s="120"/>
      <c r="H51" s="121"/>
      <c r="I51" s="122"/>
    </row>
    <row r="52" spans="1:9" ht="48.75" customHeight="1" x14ac:dyDescent="0.2">
      <c r="A52" s="327" t="s">
        <v>686</v>
      </c>
      <c r="B52" s="325" t="s">
        <v>687</v>
      </c>
      <c r="C52" s="326" t="s">
        <v>278</v>
      </c>
      <c r="D52" s="327" t="s">
        <v>64</v>
      </c>
      <c r="E52" s="318"/>
      <c r="F52" s="318"/>
      <c r="G52" s="120"/>
      <c r="H52" s="121"/>
      <c r="I52" s="122"/>
    </row>
    <row r="53" spans="1:9" ht="21.75" customHeight="1" x14ac:dyDescent="0.2">
      <c r="A53" s="316" t="s">
        <v>117</v>
      </c>
      <c r="B53" s="317">
        <v>204500</v>
      </c>
      <c r="C53" s="317">
        <v>204500</v>
      </c>
      <c r="D53" s="101" t="s">
        <v>113</v>
      </c>
      <c r="E53" s="318"/>
      <c r="F53" s="318"/>
      <c r="G53" s="120"/>
      <c r="H53" s="121"/>
      <c r="I53" s="122"/>
    </row>
    <row r="54" spans="1:9" ht="21.75" customHeight="1" x14ac:dyDescent="0.2">
      <c r="A54" s="316" t="s">
        <v>108</v>
      </c>
      <c r="B54" s="317">
        <v>178700</v>
      </c>
      <c r="C54" s="317">
        <v>178700</v>
      </c>
      <c r="D54" s="101"/>
      <c r="E54" s="318"/>
      <c r="F54" s="318"/>
      <c r="G54" s="120"/>
      <c r="H54" s="121"/>
      <c r="I54" s="122"/>
    </row>
    <row r="55" spans="1:9" ht="21.75" customHeight="1" x14ac:dyDescent="0.2">
      <c r="A55" s="316" t="s">
        <v>118</v>
      </c>
      <c r="B55" s="317">
        <v>178700</v>
      </c>
      <c r="C55" s="317">
        <v>178700</v>
      </c>
      <c r="D55" s="101"/>
      <c r="E55" s="318"/>
      <c r="F55" s="318"/>
      <c r="G55" s="120"/>
      <c r="H55" s="121"/>
      <c r="I55" s="122"/>
    </row>
    <row r="56" spans="1:9" ht="21.75" customHeight="1" x14ac:dyDescent="0.2">
      <c r="A56" s="316" t="s">
        <v>119</v>
      </c>
      <c r="B56" s="317">
        <v>178700</v>
      </c>
      <c r="C56" s="317">
        <v>178700</v>
      </c>
      <c r="D56" s="101"/>
      <c r="E56" s="318"/>
      <c r="F56" s="318"/>
      <c r="G56" s="120"/>
      <c r="H56" s="121"/>
      <c r="I56" s="122"/>
    </row>
    <row r="57" spans="1:9" ht="21.75" customHeight="1" x14ac:dyDescent="0.2">
      <c r="A57" s="113"/>
      <c r="B57" s="321"/>
      <c r="C57" s="321"/>
      <c r="D57" s="92"/>
      <c r="E57" s="318"/>
      <c r="F57" s="318"/>
      <c r="G57" s="120"/>
      <c r="H57" s="121"/>
      <c r="I57" s="122"/>
    </row>
    <row r="58" spans="1:9" ht="21.75" customHeight="1" x14ac:dyDescent="0.2">
      <c r="A58" s="633" t="s">
        <v>124</v>
      </c>
      <c r="B58" s="633"/>
      <c r="C58" s="633"/>
      <c r="D58" s="633"/>
      <c r="E58" s="318"/>
      <c r="F58" s="318"/>
      <c r="G58" s="121"/>
      <c r="H58" s="121"/>
    </row>
    <row r="59" spans="1:9" ht="21.75" customHeight="1" x14ac:dyDescent="0.2">
      <c r="A59" s="133" t="s">
        <v>125</v>
      </c>
      <c r="B59" s="136"/>
      <c r="C59" s="136"/>
      <c r="D59" s="137"/>
      <c r="E59" s="318"/>
      <c r="F59" s="318"/>
      <c r="G59" s="333" t="s">
        <v>693</v>
      </c>
      <c r="H59" s="121"/>
    </row>
    <row r="60" spans="1:9" ht="45.75" customHeight="1" x14ac:dyDescent="0.2">
      <c r="A60" s="312" t="s">
        <v>686</v>
      </c>
      <c r="B60" s="95" t="s">
        <v>687</v>
      </c>
      <c r="C60" s="313" t="s">
        <v>278</v>
      </c>
      <c r="D60" s="314" t="s">
        <v>64</v>
      </c>
      <c r="E60" s="318"/>
      <c r="F60" s="318"/>
      <c r="G60" s="333"/>
      <c r="H60" s="121"/>
    </row>
    <row r="61" spans="1:9" ht="24.75" customHeight="1" x14ac:dyDescent="0.2">
      <c r="A61" s="488" t="s">
        <v>1186</v>
      </c>
      <c r="B61" s="317">
        <v>1299500</v>
      </c>
      <c r="C61" s="317">
        <v>1619200</v>
      </c>
      <c r="D61" s="138"/>
      <c r="E61" s="334"/>
      <c r="F61" s="334"/>
      <c r="G61" s="335"/>
      <c r="H61" s="140"/>
      <c r="I61" s="122"/>
    </row>
    <row r="62" spans="1:9" ht="24.75" customHeight="1" x14ac:dyDescent="0.2">
      <c r="A62" s="488" t="s">
        <v>1187</v>
      </c>
      <c r="B62" s="317">
        <v>2185000</v>
      </c>
      <c r="C62" s="317">
        <v>2753100</v>
      </c>
      <c r="D62" s="138"/>
      <c r="E62" s="334"/>
      <c r="F62" s="334"/>
      <c r="G62" s="140"/>
      <c r="H62" s="121"/>
    </row>
    <row r="63" spans="1:9" ht="24.75" customHeight="1" x14ac:dyDescent="0.2">
      <c r="A63" s="488" t="s">
        <v>1188</v>
      </c>
      <c r="B63" s="317">
        <v>276000</v>
      </c>
      <c r="C63" s="317">
        <v>340400</v>
      </c>
      <c r="D63" s="138"/>
      <c r="E63" s="334"/>
      <c r="F63" s="334"/>
      <c r="G63" s="141"/>
      <c r="H63" s="121"/>
    </row>
    <row r="64" spans="1:9" ht="24.75" customHeight="1" x14ac:dyDescent="0.2">
      <c r="A64" s="488" t="s">
        <v>1189</v>
      </c>
      <c r="B64" s="317">
        <v>943000</v>
      </c>
      <c r="C64" s="317">
        <v>1619200</v>
      </c>
      <c r="D64" s="138"/>
      <c r="E64" s="334"/>
      <c r="F64" s="334"/>
      <c r="G64" s="141"/>
      <c r="H64" s="121"/>
    </row>
    <row r="65" spans="1:8" ht="24.75" customHeight="1" x14ac:dyDescent="0.2">
      <c r="A65" s="488" t="s">
        <v>1190</v>
      </c>
      <c r="B65" s="317">
        <v>1725000</v>
      </c>
      <c r="C65" s="317">
        <v>2753100</v>
      </c>
      <c r="D65" s="138"/>
      <c r="E65" s="334"/>
      <c r="F65" s="334"/>
      <c r="G65" s="141"/>
      <c r="H65" s="121"/>
    </row>
    <row r="66" spans="1:8" ht="24.75" customHeight="1" x14ac:dyDescent="0.2">
      <c r="A66" s="488" t="s">
        <v>1191</v>
      </c>
      <c r="B66" s="317">
        <v>207000</v>
      </c>
      <c r="C66" s="317">
        <v>340400</v>
      </c>
      <c r="D66" s="138"/>
      <c r="E66" s="334"/>
      <c r="F66" s="334"/>
      <c r="G66" s="141"/>
      <c r="H66" s="121"/>
    </row>
    <row r="67" spans="1:8" ht="24.75" customHeight="1" x14ac:dyDescent="0.2">
      <c r="A67" s="488" t="s">
        <v>1192</v>
      </c>
      <c r="B67" s="317">
        <v>862500</v>
      </c>
      <c r="C67" s="317">
        <v>1071800</v>
      </c>
      <c r="D67" s="138"/>
      <c r="E67" s="334"/>
      <c r="F67" s="334"/>
      <c r="G67" s="141"/>
      <c r="H67" s="121"/>
    </row>
    <row r="68" spans="1:8" ht="24.75" customHeight="1" x14ac:dyDescent="0.2">
      <c r="A68" s="488" t="s">
        <v>1193</v>
      </c>
      <c r="B68" s="317">
        <v>1495000</v>
      </c>
      <c r="C68" s="317">
        <v>1821600</v>
      </c>
      <c r="D68" s="138"/>
      <c r="E68" s="334"/>
      <c r="F68" s="334"/>
      <c r="G68" s="141"/>
      <c r="H68" s="121"/>
    </row>
    <row r="69" spans="1:8" ht="24.75" customHeight="1" x14ac:dyDescent="0.2">
      <c r="A69" s="488" t="s">
        <v>1194</v>
      </c>
      <c r="B69" s="317">
        <v>179400</v>
      </c>
      <c r="C69" s="317">
        <v>225400</v>
      </c>
      <c r="D69" s="138"/>
      <c r="E69" s="334"/>
      <c r="F69" s="334"/>
      <c r="G69" s="141"/>
      <c r="H69" s="121"/>
    </row>
    <row r="70" spans="1:8" ht="24.75" customHeight="1" x14ac:dyDescent="0.2">
      <c r="A70" s="488" t="s">
        <v>1195</v>
      </c>
      <c r="B70" s="317">
        <v>660000</v>
      </c>
      <c r="C70" s="317">
        <v>822800</v>
      </c>
      <c r="D70" s="138"/>
      <c r="E70" s="334"/>
      <c r="F70" s="334"/>
      <c r="G70" s="141"/>
      <c r="H70" s="121"/>
    </row>
    <row r="71" spans="1:8" ht="24.75" customHeight="1" x14ac:dyDescent="0.2">
      <c r="A71" s="488" t="s">
        <v>1196</v>
      </c>
      <c r="B71" s="317">
        <v>1122000</v>
      </c>
      <c r="C71" s="317">
        <v>1399200</v>
      </c>
      <c r="D71" s="138"/>
      <c r="E71" s="334"/>
      <c r="F71" s="334"/>
      <c r="G71" s="141"/>
      <c r="H71" s="121"/>
    </row>
    <row r="72" spans="1:8" ht="24.75" customHeight="1" x14ac:dyDescent="0.2">
      <c r="A72" s="488" t="s">
        <v>1197</v>
      </c>
      <c r="B72" s="317">
        <v>143000</v>
      </c>
      <c r="C72" s="317">
        <v>172700</v>
      </c>
      <c r="D72" s="138"/>
      <c r="E72" s="334"/>
      <c r="F72" s="334"/>
      <c r="G72" s="141"/>
      <c r="H72" s="121"/>
    </row>
    <row r="73" spans="1:8" ht="24.75" customHeight="1" x14ac:dyDescent="0.2">
      <c r="A73" s="488" t="s">
        <v>1198</v>
      </c>
      <c r="B73" s="317">
        <v>747500</v>
      </c>
      <c r="C73" s="317">
        <v>862500</v>
      </c>
      <c r="D73" s="138"/>
      <c r="E73" s="334"/>
      <c r="F73" s="334"/>
      <c r="G73" s="141"/>
      <c r="H73" s="121"/>
    </row>
    <row r="74" spans="1:8" ht="24.75" customHeight="1" x14ac:dyDescent="0.2">
      <c r="A74" s="488" t="s">
        <v>1199</v>
      </c>
      <c r="B74" s="317">
        <v>1265000</v>
      </c>
      <c r="C74" s="317">
        <v>1466250</v>
      </c>
      <c r="D74" s="138"/>
      <c r="E74" s="334"/>
      <c r="F74" s="334"/>
      <c r="G74" s="141"/>
      <c r="H74" s="121"/>
    </row>
    <row r="75" spans="1:8" ht="24.75" customHeight="1" x14ac:dyDescent="0.2">
      <c r="A75" s="488" t="s">
        <v>1200</v>
      </c>
      <c r="B75" s="317">
        <v>161000</v>
      </c>
      <c r="C75" s="317">
        <v>181700</v>
      </c>
      <c r="D75" s="138"/>
      <c r="E75" s="334"/>
      <c r="F75" s="334"/>
      <c r="G75" s="141"/>
      <c r="H75" s="121"/>
    </row>
    <row r="76" spans="1:8" ht="24.75" customHeight="1" x14ac:dyDescent="0.2">
      <c r="A76" s="489" t="s">
        <v>1201</v>
      </c>
      <c r="B76" s="317">
        <v>540500</v>
      </c>
      <c r="C76" s="317">
        <v>602600</v>
      </c>
      <c r="D76" s="138"/>
      <c r="E76" s="334"/>
      <c r="F76" s="334"/>
      <c r="G76" s="141"/>
      <c r="H76" s="121"/>
    </row>
    <row r="77" spans="1:8" ht="24.75" customHeight="1" x14ac:dyDescent="0.2">
      <c r="A77" s="489" t="s">
        <v>1202</v>
      </c>
      <c r="B77" s="317">
        <v>920000</v>
      </c>
      <c r="C77" s="317">
        <v>1024650</v>
      </c>
      <c r="D77" s="138"/>
      <c r="E77" s="334"/>
      <c r="F77" s="334"/>
      <c r="G77" s="141"/>
      <c r="H77" s="121"/>
    </row>
    <row r="78" spans="1:8" ht="24.75" customHeight="1" x14ac:dyDescent="0.2">
      <c r="A78" s="489" t="s">
        <v>1203</v>
      </c>
      <c r="B78" s="317">
        <v>113850</v>
      </c>
      <c r="C78" s="317">
        <v>126500</v>
      </c>
      <c r="D78" s="138"/>
      <c r="E78" s="334"/>
      <c r="F78" s="334"/>
      <c r="G78" s="141"/>
      <c r="H78" s="121"/>
    </row>
    <row r="79" spans="1:8" ht="24.75" customHeight="1" x14ac:dyDescent="0.2">
      <c r="A79" s="489" t="s">
        <v>1204</v>
      </c>
      <c r="B79" s="317">
        <v>1092500</v>
      </c>
      <c r="C79" s="317">
        <v>1205200</v>
      </c>
      <c r="D79" s="138"/>
      <c r="E79" s="334"/>
      <c r="F79" s="334"/>
      <c r="G79" s="141"/>
      <c r="H79" s="121"/>
    </row>
    <row r="80" spans="1:8" ht="24.75" customHeight="1" x14ac:dyDescent="0.2">
      <c r="A80" s="489" t="s">
        <v>1205</v>
      </c>
      <c r="B80" s="317">
        <v>1840000</v>
      </c>
      <c r="C80" s="317">
        <v>2049300</v>
      </c>
      <c r="D80" s="138"/>
      <c r="E80" s="334"/>
      <c r="F80" s="334"/>
      <c r="G80" s="141"/>
      <c r="H80" s="121"/>
    </row>
    <row r="81" spans="1:8" ht="24.75" customHeight="1" x14ac:dyDescent="0.2">
      <c r="A81" s="489" t="s">
        <v>1206</v>
      </c>
      <c r="B81" s="317">
        <v>230000</v>
      </c>
      <c r="C81" s="317">
        <v>253000</v>
      </c>
      <c r="D81" s="138"/>
      <c r="E81" s="334"/>
      <c r="F81" s="334"/>
      <c r="G81" s="141"/>
      <c r="H81" s="121"/>
    </row>
    <row r="82" spans="1:8" ht="24.75" customHeight="1" x14ac:dyDescent="0.2">
      <c r="A82" s="488" t="s">
        <v>1207</v>
      </c>
      <c r="B82" s="317">
        <v>230000</v>
      </c>
      <c r="C82" s="317">
        <v>230000</v>
      </c>
      <c r="D82" s="138"/>
      <c r="E82" s="334"/>
      <c r="F82" s="334"/>
      <c r="G82" s="141"/>
      <c r="H82" s="121"/>
    </row>
    <row r="83" spans="1:8" ht="24.75" customHeight="1" x14ac:dyDescent="0.2">
      <c r="A83" s="488" t="s">
        <v>1208</v>
      </c>
      <c r="B83" s="317">
        <v>460000</v>
      </c>
      <c r="C83" s="317">
        <v>460000</v>
      </c>
      <c r="D83" s="138"/>
      <c r="E83" s="334"/>
      <c r="F83" s="334"/>
      <c r="G83" s="141"/>
      <c r="H83" s="121"/>
    </row>
    <row r="84" spans="1:8" ht="24.75" customHeight="1" x14ac:dyDescent="0.2">
      <c r="A84" s="488" t="s">
        <v>1209</v>
      </c>
      <c r="B84" s="317">
        <v>57500</v>
      </c>
      <c r="C84" s="317">
        <v>57500</v>
      </c>
      <c r="D84" s="138"/>
      <c r="E84" s="334"/>
      <c r="F84" s="334"/>
      <c r="G84" s="141"/>
      <c r="H84" s="121"/>
    </row>
    <row r="85" spans="1:8" ht="24.75" customHeight="1" x14ac:dyDescent="0.2">
      <c r="A85" s="319" t="s">
        <v>1103</v>
      </c>
      <c r="B85" s="317" t="s">
        <v>1106</v>
      </c>
      <c r="C85" s="317"/>
      <c r="D85" s="138"/>
      <c r="E85" s="334"/>
      <c r="F85" s="334"/>
      <c r="G85" s="129"/>
      <c r="H85" s="121"/>
    </row>
    <row r="86" spans="1:8" ht="24.75" customHeight="1" x14ac:dyDescent="0.2">
      <c r="A86" s="319" t="s">
        <v>1104</v>
      </c>
      <c r="B86" s="317" t="s">
        <v>1105</v>
      </c>
      <c r="C86" s="317"/>
      <c r="D86" s="138"/>
      <c r="E86" s="334"/>
      <c r="F86" s="334"/>
      <c r="G86" s="129"/>
      <c r="H86" s="140"/>
    </row>
    <row r="87" spans="1:8" ht="24.75" customHeight="1" x14ac:dyDescent="0.2">
      <c r="A87" s="133"/>
      <c r="B87" s="133"/>
      <c r="C87" s="133"/>
      <c r="D87" s="133"/>
      <c r="E87" s="337"/>
      <c r="F87" s="337"/>
      <c r="G87" s="337"/>
      <c r="H87" s="337"/>
    </row>
    <row r="88" spans="1:8" ht="21.75" customHeight="1" x14ac:dyDescent="0.2">
      <c r="A88" s="619" t="s">
        <v>694</v>
      </c>
      <c r="B88" s="619"/>
      <c r="C88" s="619"/>
      <c r="D88" s="619"/>
      <c r="E88" s="338"/>
      <c r="F88" s="338"/>
      <c r="G88" s="129"/>
      <c r="H88" s="121"/>
    </row>
    <row r="89" spans="1:8" ht="46.5" customHeight="1" x14ac:dyDescent="0.2">
      <c r="A89" s="312" t="s">
        <v>686</v>
      </c>
      <c r="B89" s="95" t="s">
        <v>687</v>
      </c>
      <c r="C89" s="313" t="s">
        <v>278</v>
      </c>
      <c r="D89" s="314" t="s">
        <v>64</v>
      </c>
      <c r="E89" s="338"/>
      <c r="F89" s="338"/>
      <c r="G89" s="129"/>
      <c r="H89" s="121"/>
    </row>
    <row r="90" spans="1:8" ht="21.75" customHeight="1" x14ac:dyDescent="0.2">
      <c r="A90" s="452" t="s">
        <v>1115</v>
      </c>
      <c r="B90" s="317">
        <v>40000</v>
      </c>
      <c r="C90" s="317">
        <v>60000</v>
      </c>
      <c r="D90" s="101"/>
      <c r="E90" s="328"/>
      <c r="F90" s="311"/>
      <c r="G90" s="129"/>
      <c r="H90" s="121"/>
    </row>
    <row r="91" spans="1:8" ht="21.75" customHeight="1" x14ac:dyDescent="0.2">
      <c r="A91" s="452" t="s">
        <v>1116</v>
      </c>
      <c r="B91" s="317">
        <v>50000</v>
      </c>
      <c r="C91" s="317">
        <v>70000</v>
      </c>
      <c r="D91" s="101"/>
      <c r="E91" s="328"/>
      <c r="F91" s="328"/>
      <c r="G91" s="146"/>
      <c r="H91" s="121"/>
    </row>
    <row r="92" spans="1:8" ht="21.75" customHeight="1" x14ac:dyDescent="0.2">
      <c r="A92" s="339" t="s">
        <v>1117</v>
      </c>
      <c r="B92" s="317">
        <v>96000</v>
      </c>
      <c r="C92" s="317">
        <v>132000</v>
      </c>
      <c r="D92" s="101"/>
      <c r="E92" s="311"/>
      <c r="F92" s="311"/>
      <c r="G92" s="129"/>
      <c r="H92" s="121"/>
    </row>
    <row r="93" spans="1:8" ht="24" customHeight="1" x14ac:dyDescent="0.2">
      <c r="A93" s="319" t="s">
        <v>263</v>
      </c>
      <c r="B93" s="317">
        <v>150000</v>
      </c>
      <c r="C93" s="340">
        <v>300000</v>
      </c>
      <c r="D93" s="101" t="s">
        <v>134</v>
      </c>
      <c r="E93" s="311"/>
      <c r="F93" s="311"/>
      <c r="G93" s="129"/>
      <c r="H93" s="121"/>
    </row>
    <row r="94" spans="1:8" ht="24" customHeight="1" x14ac:dyDescent="0.2">
      <c r="A94" s="316" t="s">
        <v>135</v>
      </c>
      <c r="B94" s="317">
        <v>17300</v>
      </c>
      <c r="C94" s="317">
        <v>27300</v>
      </c>
      <c r="D94" s="101" t="s">
        <v>134</v>
      </c>
      <c r="E94" s="311"/>
      <c r="F94" s="311"/>
      <c r="G94" s="110"/>
    </row>
    <row r="95" spans="1:8" ht="24" customHeight="1" x14ac:dyDescent="0.2">
      <c r="A95" s="316" t="s">
        <v>136</v>
      </c>
      <c r="B95" s="317">
        <v>24400</v>
      </c>
      <c r="C95" s="317">
        <v>32800</v>
      </c>
      <c r="D95" s="101" t="s">
        <v>134</v>
      </c>
      <c r="E95" s="311"/>
      <c r="F95" s="311"/>
      <c r="G95" s="110"/>
    </row>
    <row r="96" spans="1:8" ht="24" customHeight="1" x14ac:dyDescent="0.2">
      <c r="A96" s="316" t="s">
        <v>137</v>
      </c>
      <c r="B96" s="317">
        <v>13800</v>
      </c>
      <c r="C96" s="317">
        <v>27300</v>
      </c>
      <c r="D96" s="101" t="s">
        <v>134</v>
      </c>
      <c r="E96" s="311"/>
      <c r="F96" s="311"/>
      <c r="G96" s="110"/>
    </row>
    <row r="97" spans="1:7" ht="24" customHeight="1" x14ac:dyDescent="0.2">
      <c r="A97" s="316" t="s">
        <v>138</v>
      </c>
      <c r="B97" s="317">
        <v>19200</v>
      </c>
      <c r="C97" s="317">
        <v>27300</v>
      </c>
      <c r="D97" s="101" t="s">
        <v>134</v>
      </c>
      <c r="E97" s="311"/>
      <c r="F97" s="311"/>
      <c r="G97" s="110"/>
    </row>
    <row r="98" spans="1:7" ht="21.75" customHeight="1" x14ac:dyDescent="0.2">
      <c r="A98" s="106" t="s">
        <v>145</v>
      </c>
      <c r="B98" s="152"/>
      <c r="C98" s="152"/>
      <c r="D98" s="153"/>
      <c r="E98" s="311"/>
      <c r="F98" s="311"/>
    </row>
    <row r="99" spans="1:7" ht="21.75" customHeight="1" x14ac:dyDescent="0.2">
      <c r="A99" s="453" t="s">
        <v>1118</v>
      </c>
      <c r="B99" s="152"/>
      <c r="C99" s="152"/>
      <c r="D99" s="153"/>
      <c r="E99" s="311"/>
      <c r="F99" s="311"/>
    </row>
    <row r="100" spans="1:7" ht="21.75" customHeight="1" x14ac:dyDescent="0.2">
      <c r="A100" s="454" t="s">
        <v>1119</v>
      </c>
      <c r="B100" s="455">
        <v>8400</v>
      </c>
      <c r="C100" s="455">
        <v>10500</v>
      </c>
      <c r="D100" s="153"/>
      <c r="E100" s="311"/>
      <c r="F100" s="311"/>
    </row>
    <row r="101" spans="1:7" ht="21.75" customHeight="1" x14ac:dyDescent="0.2">
      <c r="A101" s="454" t="s">
        <v>1120</v>
      </c>
      <c r="B101" s="455">
        <v>40000</v>
      </c>
      <c r="C101" s="455">
        <v>50000</v>
      </c>
      <c r="D101" s="153"/>
      <c r="E101" s="311"/>
      <c r="F101" s="311"/>
    </row>
    <row r="102" spans="1:7" ht="21.75" customHeight="1" x14ac:dyDescent="0.2">
      <c r="A102" s="456" t="s">
        <v>1121</v>
      </c>
      <c r="B102" s="321"/>
      <c r="C102" s="321"/>
      <c r="D102" s="92"/>
      <c r="E102" s="311"/>
      <c r="F102" s="311"/>
      <c r="G102" s="110"/>
    </row>
    <row r="103" spans="1:7" ht="29.45" customHeight="1" x14ac:dyDescent="0.2">
      <c r="A103" s="457" t="s">
        <v>1210</v>
      </c>
      <c r="B103" s="459">
        <v>90000</v>
      </c>
      <c r="C103" s="459">
        <v>110000</v>
      </c>
      <c r="D103" s="167"/>
      <c r="E103" s="311"/>
      <c r="F103" s="311"/>
      <c r="G103" s="110"/>
    </row>
    <row r="104" spans="1:7" ht="21.75" customHeight="1" x14ac:dyDescent="0.2">
      <c r="A104" s="457" t="s">
        <v>1211</v>
      </c>
      <c r="B104" s="459">
        <v>380000</v>
      </c>
      <c r="C104" s="459">
        <v>430000</v>
      </c>
      <c r="D104" s="167"/>
      <c r="E104" s="311"/>
      <c r="F104" s="311"/>
      <c r="G104" s="110"/>
    </row>
    <row r="105" spans="1:7" ht="21.75" customHeight="1" x14ac:dyDescent="0.2">
      <c r="A105" s="458" t="s">
        <v>1212</v>
      </c>
      <c r="B105" s="459">
        <v>50000</v>
      </c>
      <c r="C105" s="459">
        <v>50000</v>
      </c>
      <c r="D105" s="167"/>
      <c r="E105" s="311"/>
      <c r="F105" s="311"/>
      <c r="G105" s="110"/>
    </row>
    <row r="106" spans="1:7" ht="21.75" customHeight="1" x14ac:dyDescent="0.2">
      <c r="A106" s="458" t="s">
        <v>1213</v>
      </c>
      <c r="B106" s="459">
        <v>210000</v>
      </c>
      <c r="C106" s="459">
        <v>250000</v>
      </c>
      <c r="D106" s="167"/>
      <c r="E106" s="311"/>
      <c r="F106" s="311"/>
      <c r="G106" s="110"/>
    </row>
    <row r="107" spans="1:7" ht="21.75" customHeight="1" x14ac:dyDescent="0.2">
      <c r="A107" s="458" t="s">
        <v>1214</v>
      </c>
      <c r="B107" s="459">
        <v>80000</v>
      </c>
      <c r="C107" s="459">
        <v>90000</v>
      </c>
      <c r="D107" s="167"/>
      <c r="E107" s="311"/>
      <c r="F107" s="311"/>
      <c r="G107" s="110"/>
    </row>
    <row r="108" spans="1:7" ht="21.75" customHeight="1" x14ac:dyDescent="0.2">
      <c r="A108" s="458" t="s">
        <v>1215</v>
      </c>
      <c r="B108" s="459">
        <v>100000</v>
      </c>
      <c r="C108" s="459">
        <v>110000</v>
      </c>
      <c r="D108" s="167"/>
      <c r="E108" s="311"/>
      <c r="F108" s="311"/>
      <c r="G108" s="110"/>
    </row>
    <row r="109" spans="1:7" ht="21.75" customHeight="1" x14ac:dyDescent="0.2">
      <c r="A109" s="458" t="s">
        <v>1216</v>
      </c>
      <c r="B109" s="459">
        <v>60000</v>
      </c>
      <c r="C109" s="459">
        <v>70000</v>
      </c>
      <c r="D109" s="167"/>
      <c r="E109" s="311"/>
      <c r="F109" s="311"/>
      <c r="G109" s="110"/>
    </row>
    <row r="110" spans="1:7" ht="21.75" customHeight="1" x14ac:dyDescent="0.2">
      <c r="A110" s="458" t="s">
        <v>1217</v>
      </c>
      <c r="B110" s="459">
        <v>90000</v>
      </c>
      <c r="C110" s="459">
        <v>150000</v>
      </c>
      <c r="D110" s="167"/>
      <c r="E110" s="311"/>
      <c r="F110" s="311"/>
      <c r="G110" s="110"/>
    </row>
    <row r="111" spans="1:7" ht="21.75" customHeight="1" x14ac:dyDescent="0.2">
      <c r="A111" s="458" t="s">
        <v>1218</v>
      </c>
      <c r="B111" s="459">
        <v>80000</v>
      </c>
      <c r="C111" s="459">
        <v>100000</v>
      </c>
      <c r="D111" s="167"/>
      <c r="E111" s="311"/>
      <c r="F111" s="311"/>
      <c r="G111" s="110"/>
    </row>
    <row r="112" spans="1:7" ht="21.75" customHeight="1" x14ac:dyDescent="0.2">
      <c r="A112" s="458" t="s">
        <v>1122</v>
      </c>
      <c r="B112" s="459">
        <v>25000</v>
      </c>
      <c r="C112" s="459"/>
      <c r="D112" s="167"/>
      <c r="E112" s="311"/>
      <c r="F112" s="311"/>
      <c r="G112" s="110"/>
    </row>
    <row r="113" spans="1:7" ht="21.75" customHeight="1" x14ac:dyDescent="0.2">
      <c r="A113" s="458" t="s">
        <v>1123</v>
      </c>
      <c r="B113" s="459">
        <v>20000</v>
      </c>
      <c r="C113" s="459"/>
      <c r="D113" s="167"/>
      <c r="E113" s="311"/>
      <c r="F113" s="311"/>
      <c r="G113" s="110"/>
    </row>
    <row r="114" spans="1:7" ht="21.75" customHeight="1" x14ac:dyDescent="0.2">
      <c r="A114" s="458" t="s">
        <v>1124</v>
      </c>
      <c r="B114" s="459">
        <v>25000</v>
      </c>
      <c r="C114" s="459"/>
      <c r="D114" s="167"/>
      <c r="E114" s="311"/>
      <c r="F114" s="311"/>
      <c r="G114" s="110"/>
    </row>
    <row r="115" spans="1:7" ht="21.75" customHeight="1" x14ac:dyDescent="0.2">
      <c r="A115" s="458" t="s">
        <v>1125</v>
      </c>
      <c r="B115" s="459">
        <v>25000</v>
      </c>
      <c r="C115" s="459"/>
      <c r="D115" s="167"/>
      <c r="E115" s="311"/>
      <c r="F115" s="311"/>
      <c r="G115" s="110"/>
    </row>
    <row r="116" spans="1:7" ht="21.75" customHeight="1" x14ac:dyDescent="0.2">
      <c r="A116" s="458" t="s">
        <v>1126</v>
      </c>
      <c r="B116" s="459">
        <v>30000</v>
      </c>
      <c r="C116" s="459"/>
      <c r="D116" s="167"/>
      <c r="E116" s="311"/>
      <c r="F116" s="311"/>
      <c r="G116" s="110"/>
    </row>
    <row r="117" spans="1:7" ht="21.75" customHeight="1" x14ac:dyDescent="0.2">
      <c r="A117" s="316" t="s">
        <v>152</v>
      </c>
      <c r="B117" s="317">
        <v>62000</v>
      </c>
      <c r="C117" s="317">
        <v>85000</v>
      </c>
      <c r="D117" s="101" t="s">
        <v>153</v>
      </c>
      <c r="E117" s="311"/>
      <c r="F117" s="311"/>
      <c r="G117" s="110"/>
    </row>
    <row r="118" spans="1:7" ht="21.75" customHeight="1" x14ac:dyDescent="0.2">
      <c r="A118" s="113"/>
      <c r="B118" s="321"/>
      <c r="C118" s="321"/>
      <c r="D118" s="92"/>
      <c r="E118" s="311"/>
      <c r="F118" s="311"/>
      <c r="G118" s="110"/>
    </row>
    <row r="119" spans="1:7" ht="21.75" customHeight="1" x14ac:dyDescent="0.2">
      <c r="A119" s="623" t="s">
        <v>1127</v>
      </c>
      <c r="B119" s="624"/>
      <c r="C119" s="624"/>
      <c r="D119" s="624"/>
      <c r="E119" s="311"/>
      <c r="F119" s="311"/>
      <c r="G119" s="110"/>
    </row>
    <row r="120" spans="1:7" ht="21.75" customHeight="1" x14ac:dyDescent="0.2">
      <c r="A120" s="460" t="s">
        <v>1128</v>
      </c>
      <c r="B120" s="461"/>
      <c r="C120" s="340"/>
      <c r="D120" s="167"/>
      <c r="E120" s="311"/>
      <c r="F120" s="311"/>
      <c r="G120" s="110"/>
    </row>
    <row r="121" spans="1:7" ht="21.75" customHeight="1" x14ac:dyDescent="0.2">
      <c r="A121" s="462" t="s">
        <v>1129</v>
      </c>
      <c r="B121" s="625" t="s">
        <v>1130</v>
      </c>
      <c r="C121" s="625"/>
      <c r="D121" s="625"/>
      <c r="E121" s="311"/>
      <c r="F121" s="311"/>
      <c r="G121" s="110"/>
    </row>
    <row r="122" spans="1:7" ht="21.75" customHeight="1" x14ac:dyDescent="0.2">
      <c r="A122" s="462" t="s">
        <v>1131</v>
      </c>
      <c r="B122" s="626" t="s">
        <v>1132</v>
      </c>
      <c r="C122" s="626"/>
      <c r="D122" s="626"/>
      <c r="E122" s="311"/>
      <c r="F122" s="311"/>
      <c r="G122" s="110"/>
    </row>
    <row r="123" spans="1:7" ht="36" customHeight="1" x14ac:dyDescent="0.2">
      <c r="A123" s="620" t="s">
        <v>695</v>
      </c>
      <c r="B123" s="620"/>
      <c r="C123" s="620"/>
      <c r="D123" s="620"/>
      <c r="E123" s="341"/>
      <c r="F123" s="341"/>
      <c r="G123" s="342"/>
    </row>
    <row r="124" spans="1:7" ht="21.75" customHeight="1" x14ac:dyDescent="0.2">
      <c r="A124" s="316" t="s">
        <v>1133</v>
      </c>
      <c r="B124" s="343" t="s">
        <v>696</v>
      </c>
      <c r="C124" s="343" t="s">
        <v>1139</v>
      </c>
      <c r="D124" s="101"/>
      <c r="E124" s="311"/>
      <c r="F124" s="311"/>
      <c r="G124" s="342"/>
    </row>
    <row r="125" spans="1:7" ht="21.75" customHeight="1" x14ac:dyDescent="0.2">
      <c r="A125" s="316" t="s">
        <v>1134</v>
      </c>
      <c r="B125" s="343" t="s">
        <v>1140</v>
      </c>
      <c r="C125" s="343" t="s">
        <v>1141</v>
      </c>
      <c r="D125" s="101"/>
      <c r="E125" s="311"/>
      <c r="F125" s="311"/>
      <c r="G125" s="342"/>
    </row>
    <row r="126" spans="1:7" ht="21.75" customHeight="1" x14ac:dyDescent="0.2">
      <c r="A126" s="316" t="s">
        <v>1135</v>
      </c>
      <c r="B126" s="343" t="s">
        <v>697</v>
      </c>
      <c r="C126" s="343" t="s">
        <v>696</v>
      </c>
      <c r="D126" s="101"/>
      <c r="E126" s="311"/>
      <c r="F126" s="311"/>
      <c r="G126" s="342"/>
    </row>
    <row r="127" spans="1:7" ht="21.75" customHeight="1" x14ac:dyDescent="0.2">
      <c r="A127" s="316" t="s">
        <v>1136</v>
      </c>
      <c r="B127" s="343" t="s">
        <v>698</v>
      </c>
      <c r="C127" s="343" t="s">
        <v>697</v>
      </c>
      <c r="D127" s="101"/>
      <c r="E127" s="311"/>
      <c r="F127" s="311"/>
      <c r="G127" s="342"/>
    </row>
    <row r="128" spans="1:7" ht="21.75" customHeight="1" x14ac:dyDescent="0.2">
      <c r="A128" s="316" t="s">
        <v>1137</v>
      </c>
      <c r="B128" s="343" t="s">
        <v>699</v>
      </c>
      <c r="C128" s="343" t="s">
        <v>1142</v>
      </c>
      <c r="D128" s="101"/>
      <c r="E128" s="311"/>
      <c r="F128" s="311"/>
      <c r="G128" s="342"/>
    </row>
    <row r="129" spans="1:9" ht="21.75" customHeight="1" x14ac:dyDescent="0.2">
      <c r="A129" s="316" t="s">
        <v>1138</v>
      </c>
      <c r="B129" s="343" t="s">
        <v>700</v>
      </c>
      <c r="C129" s="343" t="s">
        <v>1143</v>
      </c>
      <c r="D129" s="101"/>
      <c r="E129" s="311"/>
      <c r="F129" s="311"/>
      <c r="G129" s="342"/>
    </row>
    <row r="130" spans="1:9" ht="21.75" customHeight="1" x14ac:dyDescent="0.2">
      <c r="A130" s="113" t="s">
        <v>1144</v>
      </c>
      <c r="B130" s="627" t="s">
        <v>1145</v>
      </c>
      <c r="C130" s="627"/>
      <c r="D130" s="627"/>
      <c r="E130" s="311"/>
      <c r="F130" s="311"/>
      <c r="G130" s="342"/>
    </row>
    <row r="131" spans="1:9" ht="21.75" customHeight="1" x14ac:dyDescent="0.2">
      <c r="A131" s="113"/>
      <c r="B131" s="463"/>
      <c r="C131" s="463"/>
      <c r="D131" s="463"/>
      <c r="E131" s="311"/>
      <c r="F131" s="311"/>
      <c r="G131" s="342"/>
    </row>
    <row r="132" spans="1:9" ht="21.75" customHeight="1" x14ac:dyDescent="0.2">
      <c r="A132" s="621" t="s">
        <v>182</v>
      </c>
      <c r="B132" s="621"/>
      <c r="C132" s="621"/>
      <c r="D132" s="621"/>
      <c r="E132" s="330"/>
      <c r="F132" s="330"/>
    </row>
    <row r="133" spans="1:9" ht="45.75" customHeight="1" x14ac:dyDescent="0.2">
      <c r="A133" s="312" t="s">
        <v>686</v>
      </c>
      <c r="B133" s="95" t="s">
        <v>687</v>
      </c>
      <c r="C133" s="313" t="s">
        <v>278</v>
      </c>
      <c r="D133" s="314" t="s">
        <v>64</v>
      </c>
      <c r="E133" s="330"/>
      <c r="F133" s="330"/>
    </row>
    <row r="134" spans="1:9" ht="21.75" customHeight="1" x14ac:dyDescent="0.2">
      <c r="A134" s="316" t="s">
        <v>183</v>
      </c>
      <c r="B134" s="317">
        <v>12100</v>
      </c>
      <c r="C134" s="317">
        <v>12100</v>
      </c>
      <c r="D134" s="168"/>
      <c r="E134" s="344"/>
      <c r="F134" s="344"/>
      <c r="G134" s="110"/>
    </row>
    <row r="135" spans="1:9" ht="21.75" customHeight="1" x14ac:dyDescent="0.2">
      <c r="A135" s="345" t="s">
        <v>184</v>
      </c>
      <c r="B135" s="317">
        <v>19200</v>
      </c>
      <c r="C135" s="317">
        <v>19200</v>
      </c>
      <c r="D135" s="169"/>
      <c r="E135" s="344"/>
      <c r="F135" s="344"/>
      <c r="G135" s="110"/>
    </row>
    <row r="136" spans="1:9" ht="21.75" customHeight="1" x14ac:dyDescent="0.2">
      <c r="A136" s="346" t="s">
        <v>185</v>
      </c>
      <c r="B136" s="135"/>
      <c r="C136" s="135"/>
      <c r="D136" s="170"/>
      <c r="E136" s="344"/>
      <c r="F136" s="344"/>
      <c r="G136" s="110"/>
    </row>
    <row r="137" spans="1:9" ht="21.75" customHeight="1" x14ac:dyDescent="0.2">
      <c r="A137" s="316" t="s">
        <v>701</v>
      </c>
      <c r="B137" s="317">
        <v>6500</v>
      </c>
      <c r="C137" s="317" t="s">
        <v>68</v>
      </c>
      <c r="D137" s="464" t="s">
        <v>1146</v>
      </c>
      <c r="E137" s="347"/>
      <c r="F137" s="311"/>
      <c r="G137" s="110"/>
      <c r="H137" s="102"/>
      <c r="I137" s="171"/>
    </row>
    <row r="138" spans="1:9" ht="21.75" customHeight="1" x14ac:dyDescent="0.2">
      <c r="A138" s="345" t="s">
        <v>188</v>
      </c>
      <c r="B138" s="317">
        <v>5400</v>
      </c>
      <c r="C138" s="317" t="s">
        <v>68</v>
      </c>
      <c r="D138" s="464" t="s">
        <v>1147</v>
      </c>
      <c r="E138" s="348"/>
      <c r="F138" s="311"/>
      <c r="G138" s="110"/>
    </row>
    <row r="139" spans="1:9" ht="21.75" customHeight="1" x14ac:dyDescent="0.2">
      <c r="A139" s="349" t="s">
        <v>189</v>
      </c>
      <c r="B139" s="317">
        <v>9200</v>
      </c>
      <c r="C139" s="317" t="s">
        <v>68</v>
      </c>
      <c r="D139" s="464" t="s">
        <v>1147</v>
      </c>
      <c r="E139" s="311"/>
      <c r="F139" s="311"/>
      <c r="G139" s="110"/>
    </row>
    <row r="140" spans="1:9" ht="21.75" customHeight="1" x14ac:dyDescent="0.2">
      <c r="A140" s="336" t="s">
        <v>190</v>
      </c>
      <c r="B140" s="317">
        <v>9200</v>
      </c>
      <c r="C140" s="317" t="s">
        <v>68</v>
      </c>
      <c r="D140" s="464" t="s">
        <v>1147</v>
      </c>
      <c r="E140" s="311"/>
      <c r="F140" s="311"/>
      <c r="G140" s="110"/>
    </row>
    <row r="141" spans="1:9" ht="21.75" customHeight="1" x14ac:dyDescent="0.2">
      <c r="A141" s="628" t="s">
        <v>1148</v>
      </c>
      <c r="B141" s="629"/>
      <c r="C141" s="629"/>
      <c r="D141" s="630"/>
      <c r="E141" s="311"/>
      <c r="F141" s="311"/>
      <c r="G141" s="110"/>
    </row>
    <row r="142" spans="1:9" ht="21.75" customHeight="1" x14ac:dyDescent="0.2">
      <c r="A142" s="109"/>
      <c r="B142" s="321"/>
      <c r="C142" s="321"/>
      <c r="D142" s="92"/>
      <c r="E142" s="311"/>
      <c r="F142" s="311"/>
      <c r="G142" s="110"/>
    </row>
    <row r="143" spans="1:9" ht="21.75" customHeight="1" x14ac:dyDescent="0.2">
      <c r="A143" s="109"/>
      <c r="B143" s="321"/>
      <c r="C143" s="321"/>
      <c r="D143" s="92"/>
      <c r="E143" s="311"/>
      <c r="F143" s="311"/>
      <c r="G143" s="110"/>
    </row>
    <row r="144" spans="1:9" ht="21.75" customHeight="1" x14ac:dyDescent="0.2">
      <c r="A144" s="109"/>
      <c r="B144" s="321"/>
      <c r="C144" s="321"/>
      <c r="D144" s="92"/>
      <c r="E144" s="311"/>
      <c r="F144" s="311"/>
      <c r="G144" s="110"/>
    </row>
    <row r="145" spans="1:12" ht="21.75" customHeight="1" x14ac:dyDescent="0.2">
      <c r="A145" s="109"/>
      <c r="B145" s="321"/>
      <c r="C145" s="321"/>
      <c r="D145" s="92"/>
      <c r="E145" s="311"/>
      <c r="F145" s="311"/>
      <c r="G145" s="110"/>
    </row>
    <row r="146" spans="1:12" ht="28.5" customHeight="1" x14ac:dyDescent="0.2">
      <c r="A146" s="622" t="s">
        <v>192</v>
      </c>
      <c r="B146" s="622"/>
      <c r="C146" s="622"/>
      <c r="D146" s="622"/>
      <c r="E146" s="350"/>
      <c r="F146" s="350"/>
      <c r="I146" s="164"/>
      <c r="J146" s="113"/>
      <c r="K146" s="113"/>
      <c r="L146" s="113"/>
    </row>
    <row r="147" spans="1:12" ht="45" customHeight="1" x14ac:dyDescent="0.2">
      <c r="A147" s="312" t="s">
        <v>686</v>
      </c>
      <c r="B147" s="95" t="s">
        <v>687</v>
      </c>
      <c r="C147" s="313" t="s">
        <v>278</v>
      </c>
      <c r="D147" s="314" t="s">
        <v>64</v>
      </c>
      <c r="E147" s="350"/>
      <c r="F147" s="350"/>
      <c r="I147" s="164"/>
      <c r="J147" s="113"/>
      <c r="K147" s="113"/>
      <c r="L147" s="113"/>
    </row>
    <row r="148" spans="1:12" ht="21.75" customHeight="1" x14ac:dyDescent="0.2">
      <c r="A148" s="351" t="s">
        <v>1172</v>
      </c>
      <c r="B148" s="352">
        <v>17510</v>
      </c>
      <c r="C148" s="317" t="s">
        <v>68</v>
      </c>
      <c r="D148" s="353">
        <v>2712000</v>
      </c>
      <c r="E148" s="354"/>
      <c r="F148" s="354"/>
      <c r="G148" s="177"/>
      <c r="H148" s="178"/>
      <c r="I148" s="179"/>
      <c r="J148" s="113"/>
      <c r="K148" s="113"/>
      <c r="L148" s="113"/>
    </row>
    <row r="149" spans="1:12" ht="21.75" customHeight="1" x14ac:dyDescent="0.2">
      <c r="A149" s="351" t="s">
        <v>1173</v>
      </c>
      <c r="B149" s="352">
        <v>17790</v>
      </c>
      <c r="C149" s="317" t="s">
        <v>68</v>
      </c>
      <c r="D149" s="353">
        <v>2826000</v>
      </c>
      <c r="E149" s="354"/>
      <c r="F149" s="354"/>
      <c r="G149" s="177"/>
      <c r="H149" s="178"/>
      <c r="I149" s="179"/>
      <c r="J149" s="113"/>
      <c r="K149" s="113"/>
      <c r="L149" s="113"/>
    </row>
    <row r="150" spans="1:12" ht="21.75" customHeight="1" x14ac:dyDescent="0.2">
      <c r="A150" s="351" t="s">
        <v>1174</v>
      </c>
      <c r="B150" s="352">
        <v>18815</v>
      </c>
      <c r="C150" s="317" t="s">
        <v>68</v>
      </c>
      <c r="D150" s="353">
        <v>2989000</v>
      </c>
      <c r="E150" s="354"/>
      <c r="F150" s="354"/>
      <c r="G150" s="177"/>
      <c r="H150" s="178"/>
      <c r="I150" s="179"/>
      <c r="J150" s="113"/>
      <c r="K150" s="113"/>
      <c r="L150" s="113"/>
    </row>
    <row r="151" spans="1:12" ht="21.75" customHeight="1" x14ac:dyDescent="0.2">
      <c r="A151" s="351" t="s">
        <v>1175</v>
      </c>
      <c r="B151" s="352">
        <v>19650</v>
      </c>
      <c r="C151" s="317" t="s">
        <v>68</v>
      </c>
      <c r="D151" s="353">
        <v>3121000</v>
      </c>
      <c r="E151" s="354"/>
      <c r="F151" s="354"/>
      <c r="G151" s="177"/>
      <c r="H151" s="178"/>
      <c r="I151" s="179"/>
      <c r="J151" s="113"/>
      <c r="K151" s="113"/>
      <c r="L151" s="113"/>
    </row>
    <row r="152" spans="1:12" ht="21.75" customHeight="1" x14ac:dyDescent="0.2">
      <c r="A152" s="351" t="s">
        <v>1176</v>
      </c>
      <c r="B152" s="352">
        <v>20920</v>
      </c>
      <c r="C152" s="317" t="s">
        <v>68</v>
      </c>
      <c r="D152" s="353">
        <v>3323000</v>
      </c>
      <c r="E152" s="354"/>
      <c r="F152" s="354"/>
      <c r="G152" s="177"/>
      <c r="H152" s="178"/>
      <c r="I152" s="179"/>
      <c r="J152" s="113"/>
      <c r="K152" s="113"/>
      <c r="L152" s="113"/>
    </row>
    <row r="153" spans="1:12" ht="21.75" customHeight="1" x14ac:dyDescent="0.2">
      <c r="A153" s="351" t="s">
        <v>1177</v>
      </c>
      <c r="B153" s="352">
        <v>20920</v>
      </c>
      <c r="C153" s="317" t="s">
        <v>68</v>
      </c>
      <c r="D153" s="353">
        <v>3323000</v>
      </c>
      <c r="E153" s="354"/>
      <c r="F153" s="354"/>
      <c r="G153" s="177"/>
      <c r="H153" s="178"/>
      <c r="I153" s="179"/>
      <c r="J153" s="113"/>
      <c r="K153" s="113"/>
      <c r="L153" s="113"/>
    </row>
    <row r="154" spans="1:12" ht="21.75" customHeight="1" x14ac:dyDescent="0.2">
      <c r="A154" s="351" t="s">
        <v>1178</v>
      </c>
      <c r="B154" s="352">
        <v>21910</v>
      </c>
      <c r="C154" s="317" t="s">
        <v>68</v>
      </c>
      <c r="D154" s="353">
        <v>3481000</v>
      </c>
      <c r="E154" s="354"/>
      <c r="F154" s="354"/>
      <c r="G154" s="177"/>
      <c r="H154" s="178"/>
      <c r="I154" s="179"/>
      <c r="J154" s="113"/>
      <c r="K154" s="113"/>
      <c r="L154" s="113"/>
    </row>
    <row r="155" spans="1:12" ht="21.75" customHeight="1" x14ac:dyDescent="0.2">
      <c r="A155" s="351" t="s">
        <v>1179</v>
      </c>
      <c r="B155" s="352">
        <v>23110</v>
      </c>
      <c r="C155" s="317" t="s">
        <v>68</v>
      </c>
      <c r="D155" s="353">
        <v>3672000</v>
      </c>
      <c r="E155" s="354"/>
      <c r="F155" s="354"/>
      <c r="G155" s="177"/>
      <c r="H155" s="178"/>
      <c r="I155" s="179"/>
      <c r="J155" s="113"/>
      <c r="K155" s="113"/>
      <c r="L155" s="113"/>
    </row>
    <row r="156" spans="1:12" ht="21.75" customHeight="1" x14ac:dyDescent="0.2">
      <c r="A156" s="351" t="s">
        <v>1180</v>
      </c>
      <c r="B156" s="352">
        <v>24490</v>
      </c>
      <c r="C156" s="317" t="s">
        <v>68</v>
      </c>
      <c r="D156" s="184">
        <v>3891000</v>
      </c>
      <c r="E156" s="354"/>
      <c r="F156" s="354"/>
      <c r="G156" s="177"/>
      <c r="H156" s="178"/>
      <c r="I156" s="179"/>
      <c r="J156" s="113"/>
      <c r="K156" s="113"/>
      <c r="L156" s="113"/>
    </row>
    <row r="157" spans="1:12" ht="21.75" customHeight="1" x14ac:dyDescent="0.2">
      <c r="A157" s="351" t="s">
        <v>1181</v>
      </c>
      <c r="B157" s="352">
        <v>25540</v>
      </c>
      <c r="C157" s="317" t="s">
        <v>68</v>
      </c>
      <c r="D157" s="353">
        <v>4057000</v>
      </c>
      <c r="E157" s="354"/>
      <c r="F157" s="354"/>
      <c r="G157" s="177"/>
      <c r="H157" s="178"/>
      <c r="I157" s="179"/>
      <c r="J157" s="113"/>
      <c r="K157" s="113"/>
      <c r="L157" s="113"/>
    </row>
    <row r="158" spans="1:12" ht="21.75" customHeight="1" x14ac:dyDescent="0.2">
      <c r="A158" s="351" t="s">
        <v>1182</v>
      </c>
      <c r="B158" s="352">
        <v>27090</v>
      </c>
      <c r="C158" s="317" t="s">
        <v>68</v>
      </c>
      <c r="D158" s="353">
        <v>4303000</v>
      </c>
      <c r="E158" s="355"/>
      <c r="F158" s="355"/>
      <c r="G158" s="113"/>
      <c r="H158" s="113"/>
      <c r="I158" s="113"/>
      <c r="J158" s="113"/>
      <c r="K158" s="113"/>
      <c r="L158" s="113"/>
    </row>
    <row r="159" spans="1:12" ht="21.75" customHeight="1" x14ac:dyDescent="0.2">
      <c r="A159" s="356" t="s">
        <v>1183</v>
      </c>
      <c r="B159" s="352">
        <v>28840</v>
      </c>
      <c r="C159" s="317" t="s">
        <v>68</v>
      </c>
      <c r="D159" s="184">
        <v>4581000</v>
      </c>
      <c r="E159" s="355"/>
      <c r="F159" s="355"/>
      <c r="G159" s="113"/>
      <c r="H159" s="113"/>
      <c r="I159" s="113"/>
      <c r="J159" s="113"/>
      <c r="K159" s="113"/>
      <c r="L159" s="113"/>
    </row>
    <row r="160" spans="1:12" ht="21.75" customHeight="1" x14ac:dyDescent="0.2">
      <c r="A160" s="351" t="s">
        <v>1184</v>
      </c>
      <c r="B160" s="352">
        <v>30835</v>
      </c>
      <c r="C160" s="317" t="s">
        <v>68</v>
      </c>
      <c r="D160" s="184">
        <v>4899000</v>
      </c>
      <c r="E160" s="355"/>
      <c r="F160" s="355"/>
      <c r="G160" s="113"/>
      <c r="H160" s="113"/>
      <c r="I160" s="113"/>
      <c r="J160" s="113"/>
      <c r="K160" s="113"/>
      <c r="L160" s="113"/>
    </row>
    <row r="161" spans="1:10" ht="21.75" customHeight="1" x14ac:dyDescent="0.2">
      <c r="A161" s="351" t="s">
        <v>1185</v>
      </c>
      <c r="B161" s="352">
        <v>33270</v>
      </c>
      <c r="C161" s="317" t="s">
        <v>68</v>
      </c>
      <c r="D161" s="184">
        <v>5285000</v>
      </c>
      <c r="E161" s="355"/>
      <c r="F161" s="355"/>
      <c r="G161" s="113"/>
      <c r="H161" s="113"/>
      <c r="I161" s="113"/>
      <c r="J161" s="113"/>
    </row>
    <row r="162" spans="1:10" ht="12.75" x14ac:dyDescent="0.2">
      <c r="A162" s="465" t="s">
        <v>1149</v>
      </c>
      <c r="B162" s="352"/>
      <c r="C162" s="317"/>
      <c r="D162" s="184">
        <v>2489000</v>
      </c>
      <c r="E162" s="358"/>
      <c r="F162" s="358"/>
      <c r="G162" s="113"/>
      <c r="H162" s="113"/>
      <c r="I162" s="113"/>
      <c r="J162" s="113"/>
    </row>
    <row r="163" spans="1:10" ht="21.75" customHeight="1" x14ac:dyDescent="0.2">
      <c r="A163" s="351" t="s">
        <v>1150</v>
      </c>
      <c r="B163" s="359">
        <v>52330</v>
      </c>
      <c r="C163" s="317" t="s">
        <v>68</v>
      </c>
      <c r="D163" s="181"/>
      <c r="E163" s="355"/>
      <c r="F163" s="355"/>
      <c r="G163" s="113"/>
      <c r="H163" s="113"/>
      <c r="I163" s="113"/>
      <c r="J163" s="113"/>
    </row>
    <row r="164" spans="1:10" ht="21.75" customHeight="1" x14ac:dyDescent="0.2">
      <c r="A164" s="351" t="s">
        <v>1151</v>
      </c>
      <c r="B164" s="360">
        <v>52980</v>
      </c>
      <c r="C164" s="317" t="s">
        <v>68</v>
      </c>
      <c r="D164" s="181"/>
      <c r="E164" s="355"/>
      <c r="F164" s="355"/>
      <c r="G164" s="113"/>
      <c r="H164" s="113"/>
      <c r="I164" s="113"/>
      <c r="J164" s="113"/>
    </row>
    <row r="165" spans="1:10" ht="21.75" customHeight="1" x14ac:dyDescent="0.2">
      <c r="A165" s="351" t="s">
        <v>1152</v>
      </c>
      <c r="B165" s="360">
        <v>54990</v>
      </c>
      <c r="C165" s="317" t="s">
        <v>68</v>
      </c>
      <c r="D165" s="181"/>
      <c r="E165" s="355"/>
      <c r="F165" s="355"/>
      <c r="G165" s="113"/>
      <c r="H165" s="113"/>
      <c r="I165" s="113"/>
      <c r="J165" s="113"/>
    </row>
    <row r="166" spans="1:10" ht="21.75" customHeight="1" x14ac:dyDescent="0.2">
      <c r="A166" s="351" t="s">
        <v>1153</v>
      </c>
      <c r="B166" s="360">
        <v>58800</v>
      </c>
      <c r="C166" s="317" t="s">
        <v>68</v>
      </c>
      <c r="D166" s="181"/>
      <c r="E166" s="355"/>
      <c r="F166" s="355"/>
      <c r="G166" s="113"/>
      <c r="H166" s="113"/>
      <c r="I166" s="113"/>
      <c r="J166" s="113"/>
    </row>
    <row r="167" spans="1:10" ht="21.75" customHeight="1" x14ac:dyDescent="0.2">
      <c r="A167" s="145" t="s">
        <v>720</v>
      </c>
      <c r="B167" s="360">
        <f>+B148</f>
        <v>17510</v>
      </c>
      <c r="C167" s="317"/>
      <c r="D167" s="181">
        <v>1352000</v>
      </c>
      <c r="E167" s="355"/>
      <c r="F167" s="355"/>
      <c r="G167" s="113"/>
      <c r="H167" s="113"/>
      <c r="I167" s="113"/>
      <c r="J167" s="113"/>
    </row>
    <row r="168" spans="1:10" ht="21.75" customHeight="1" x14ac:dyDescent="0.2">
      <c r="A168" s="145" t="s">
        <v>721</v>
      </c>
      <c r="B168" s="360">
        <f t="shared" ref="B168:B170" si="0">+B149</f>
        <v>17790</v>
      </c>
      <c r="C168" s="317"/>
      <c r="D168" s="181">
        <v>1490500</v>
      </c>
      <c r="E168" s="355"/>
      <c r="F168" s="355"/>
      <c r="G168" s="113"/>
      <c r="H168" s="113"/>
      <c r="I168" s="113"/>
      <c r="J168" s="113"/>
    </row>
    <row r="169" spans="1:10" ht="21.75" customHeight="1" x14ac:dyDescent="0.2">
      <c r="A169" s="145" t="s">
        <v>722</v>
      </c>
      <c r="B169" s="360">
        <f t="shared" si="0"/>
        <v>18815</v>
      </c>
      <c r="C169" s="317"/>
      <c r="D169" s="181">
        <v>1661500</v>
      </c>
      <c r="E169" s="355"/>
      <c r="F169" s="355"/>
      <c r="G169" s="113"/>
      <c r="H169" s="113"/>
      <c r="I169" s="113"/>
      <c r="J169" s="113"/>
    </row>
    <row r="170" spans="1:10" ht="21.75" customHeight="1" x14ac:dyDescent="0.2">
      <c r="A170" s="145" t="s">
        <v>723</v>
      </c>
      <c r="B170" s="360">
        <f t="shared" si="0"/>
        <v>19650</v>
      </c>
      <c r="C170" s="317"/>
      <c r="D170" s="181">
        <v>2022500</v>
      </c>
      <c r="E170" s="355"/>
      <c r="F170" s="355"/>
      <c r="G170" s="113"/>
      <c r="H170" s="113"/>
      <c r="I170" s="113"/>
      <c r="J170" s="113"/>
    </row>
    <row r="171" spans="1:10" ht="21.75" customHeight="1" x14ac:dyDescent="0.2">
      <c r="A171" s="631" t="s">
        <v>192</v>
      </c>
      <c r="B171" s="631"/>
      <c r="C171" s="631"/>
      <c r="D171" s="631"/>
      <c r="E171" s="355"/>
      <c r="F171" s="355"/>
      <c r="G171" s="185"/>
      <c r="H171" s="178"/>
    </row>
    <row r="172" spans="1:10" ht="21.75" customHeight="1" x14ac:dyDescent="0.2">
      <c r="A172" s="312" t="s">
        <v>686</v>
      </c>
      <c r="B172" s="95" t="s">
        <v>687</v>
      </c>
      <c r="C172" s="313" t="s">
        <v>278</v>
      </c>
      <c r="D172" s="314" t="s">
        <v>64</v>
      </c>
      <c r="E172" s="355"/>
      <c r="F172" s="355"/>
      <c r="G172" s="185"/>
    </row>
    <row r="173" spans="1:10" ht="21.75" customHeight="1" x14ac:dyDescent="0.2">
      <c r="B173" s="87"/>
      <c r="C173" s="87"/>
      <c r="E173" s="361"/>
      <c r="F173" s="361"/>
    </row>
    <row r="174" spans="1:10" ht="21.75" customHeight="1" x14ac:dyDescent="0.2">
      <c r="B174" s="87"/>
      <c r="C174" s="87"/>
      <c r="E174" s="361"/>
      <c r="F174" s="361"/>
    </row>
    <row r="175" spans="1:10" ht="21.75" customHeight="1" x14ac:dyDescent="0.2">
      <c r="A175" s="351" t="s">
        <v>212</v>
      </c>
      <c r="B175" s="635" t="s">
        <v>1154</v>
      </c>
      <c r="C175" s="636"/>
      <c r="D175" s="637"/>
      <c r="E175" s="311"/>
      <c r="F175" s="311"/>
      <c r="G175" s="186"/>
    </row>
    <row r="176" spans="1:10" ht="21.75" customHeight="1" x14ac:dyDescent="0.2">
      <c r="A176" s="351" t="s">
        <v>214</v>
      </c>
      <c r="B176" s="638" t="s">
        <v>1155</v>
      </c>
      <c r="C176" s="639"/>
      <c r="D176" s="640"/>
      <c r="E176" s="311"/>
      <c r="F176" s="311"/>
      <c r="G176" s="186"/>
    </row>
    <row r="177" spans="1:8" ht="22.5" customHeight="1" x14ac:dyDescent="0.2">
      <c r="A177" s="351" t="s">
        <v>216</v>
      </c>
      <c r="B177" s="359">
        <v>316900</v>
      </c>
      <c r="C177" s="317" t="s">
        <v>68</v>
      </c>
      <c r="D177" s="101"/>
      <c r="E177" s="362"/>
      <c r="F177" s="362"/>
      <c r="H177" s="103"/>
    </row>
    <row r="178" spans="1:8" ht="21.75" customHeight="1" x14ac:dyDescent="0.2">
      <c r="A178" s="351" t="s">
        <v>217</v>
      </c>
      <c r="B178" s="359">
        <v>107800</v>
      </c>
      <c r="C178" s="317" t="s">
        <v>68</v>
      </c>
      <c r="D178" s="101"/>
      <c r="E178" s="362"/>
      <c r="F178" s="362"/>
      <c r="H178" s="103"/>
    </row>
    <row r="179" spans="1:8" ht="30.75" customHeight="1" x14ac:dyDescent="0.2">
      <c r="A179" s="363" t="s">
        <v>218</v>
      </c>
      <c r="B179" s="641" t="s">
        <v>219</v>
      </c>
      <c r="C179" s="642"/>
      <c r="D179" s="643"/>
      <c r="E179" s="362"/>
      <c r="F179" s="362"/>
      <c r="H179" s="103"/>
    </row>
    <row r="180" spans="1:8" ht="21.75" customHeight="1" x14ac:dyDescent="0.2">
      <c r="A180" s="351" t="s">
        <v>220</v>
      </c>
      <c r="B180" s="644" t="s">
        <v>221</v>
      </c>
      <c r="C180" s="645"/>
      <c r="D180" s="646"/>
      <c r="E180" s="364"/>
      <c r="F180" s="364"/>
    </row>
    <row r="181" spans="1:8" ht="21.75" customHeight="1" x14ac:dyDescent="0.2">
      <c r="A181" s="365"/>
      <c r="B181" s="362"/>
      <c r="C181" s="362"/>
      <c r="D181" s="362"/>
      <c r="E181" s="364"/>
      <c r="F181" s="364"/>
    </row>
    <row r="182" spans="1:8" ht="21.75" customHeight="1" x14ac:dyDescent="0.2">
      <c r="A182" s="619" t="s">
        <v>702</v>
      </c>
      <c r="B182" s="619"/>
      <c r="C182" s="619"/>
      <c r="D182" s="619"/>
      <c r="E182" s="311"/>
      <c r="F182" s="311"/>
      <c r="G182" s="185"/>
    </row>
    <row r="183" spans="1:8" ht="21.75" customHeight="1" x14ac:dyDescent="0.2">
      <c r="A183" s="366" t="s">
        <v>703</v>
      </c>
      <c r="B183" s="320">
        <v>19800</v>
      </c>
      <c r="C183" s="320" t="s">
        <v>68</v>
      </c>
      <c r="D183" s="193"/>
      <c r="E183" s="311"/>
      <c r="F183" s="311"/>
      <c r="G183" s="185"/>
    </row>
    <row r="184" spans="1:8" ht="21.75" customHeight="1" x14ac:dyDescent="0.2">
      <c r="A184" s="366" t="s">
        <v>224</v>
      </c>
      <c r="B184" s="320">
        <v>31000</v>
      </c>
      <c r="C184" s="320" t="s">
        <v>68</v>
      </c>
      <c r="D184" s="193"/>
      <c r="E184" s="311"/>
      <c r="F184" s="311"/>
      <c r="G184" s="185"/>
    </row>
    <row r="185" spans="1:8" ht="21.75" customHeight="1" x14ac:dyDescent="0.2">
      <c r="A185" s="366" t="s">
        <v>225</v>
      </c>
      <c r="B185" s="320">
        <v>37400</v>
      </c>
      <c r="C185" s="320" t="s">
        <v>68</v>
      </c>
      <c r="D185" s="193"/>
      <c r="E185" s="311"/>
      <c r="F185" s="311"/>
      <c r="G185" s="185"/>
    </row>
    <row r="186" spans="1:8" ht="22.5" customHeight="1" x14ac:dyDescent="0.2">
      <c r="A186" s="366" t="s">
        <v>226</v>
      </c>
      <c r="B186" s="320">
        <v>43600</v>
      </c>
      <c r="C186" s="320" t="s">
        <v>68</v>
      </c>
      <c r="D186" s="193"/>
      <c r="E186" s="311"/>
      <c r="F186" s="311"/>
      <c r="G186" s="185"/>
    </row>
    <row r="187" spans="1:8" ht="22.5" customHeight="1" x14ac:dyDescent="0.2">
      <c r="A187" s="366" t="s">
        <v>227</v>
      </c>
      <c r="B187" s="320">
        <v>49800</v>
      </c>
      <c r="C187" s="320" t="s">
        <v>68</v>
      </c>
      <c r="D187" s="311"/>
      <c r="E187" s="311"/>
      <c r="F187" s="311"/>
      <c r="G187" s="185"/>
    </row>
    <row r="188" spans="1:8" ht="21.75" customHeight="1" x14ac:dyDescent="0.2">
      <c r="A188" s="619" t="s">
        <v>702</v>
      </c>
      <c r="B188" s="619"/>
      <c r="C188" s="619"/>
      <c r="D188" s="619"/>
      <c r="E188" s="311"/>
      <c r="F188" s="311"/>
      <c r="G188" s="185"/>
    </row>
    <row r="189" spans="1:8" ht="21.75" customHeight="1" x14ac:dyDescent="0.2">
      <c r="A189" s="312" t="s">
        <v>686</v>
      </c>
      <c r="B189" s="95" t="s">
        <v>687</v>
      </c>
      <c r="C189" s="313" t="s">
        <v>278</v>
      </c>
      <c r="D189" s="314" t="s">
        <v>64</v>
      </c>
      <c r="E189" s="311"/>
      <c r="F189" s="311"/>
      <c r="G189" s="185"/>
    </row>
    <row r="190" spans="1:8" ht="21.75" customHeight="1" x14ac:dyDescent="0.2">
      <c r="A190" s="366"/>
      <c r="B190" s="320"/>
      <c r="C190" s="320"/>
      <c r="D190" s="193"/>
      <c r="E190" s="311"/>
      <c r="F190" s="311"/>
      <c r="G190" s="185"/>
    </row>
    <row r="191" spans="1:8" ht="21.75" customHeight="1" x14ac:dyDescent="0.2">
      <c r="A191" s="367"/>
      <c r="B191" s="322"/>
      <c r="C191" s="322"/>
      <c r="D191" s="311"/>
      <c r="E191" s="311"/>
      <c r="F191" s="311"/>
      <c r="G191" s="185"/>
    </row>
    <row r="192" spans="1:8" ht="21.75" customHeight="1" x14ac:dyDescent="0.2">
      <c r="A192" s="367"/>
      <c r="B192" s="322"/>
      <c r="C192" s="322"/>
      <c r="D192" s="311"/>
      <c r="E192" s="311"/>
      <c r="F192" s="311"/>
      <c r="G192" s="185"/>
    </row>
    <row r="193" spans="1:8" ht="21.75" customHeight="1" x14ac:dyDescent="0.2">
      <c r="A193" s="367"/>
      <c r="B193" s="322"/>
      <c r="C193" s="322"/>
      <c r="D193" s="311"/>
      <c r="E193" s="311"/>
      <c r="F193" s="311"/>
      <c r="G193" s="185"/>
    </row>
    <row r="194" spans="1:8" ht="21.75" customHeight="1" x14ac:dyDescent="0.2">
      <c r="A194" s="619" t="s">
        <v>236</v>
      </c>
      <c r="B194" s="619"/>
      <c r="C194" s="619"/>
      <c r="D194" s="619"/>
      <c r="E194" s="354"/>
      <c r="F194" s="354"/>
      <c r="H194" s="110"/>
    </row>
    <row r="195" spans="1:8" ht="21.75" customHeight="1" x14ac:dyDescent="0.2">
      <c r="A195" s="327" t="s">
        <v>686</v>
      </c>
      <c r="B195" s="325" t="s">
        <v>687</v>
      </c>
      <c r="C195" s="326" t="s">
        <v>278</v>
      </c>
      <c r="D195" s="327" t="s">
        <v>64</v>
      </c>
      <c r="E195" s="354"/>
      <c r="F195" s="354"/>
    </row>
    <row r="196" spans="1:8" ht="21.75" customHeight="1" x14ac:dyDescent="0.2">
      <c r="A196" s="368" t="s">
        <v>237</v>
      </c>
      <c r="B196" s="369" t="s">
        <v>1156</v>
      </c>
      <c r="C196" s="369" t="s">
        <v>68</v>
      </c>
      <c r="D196" s="156"/>
      <c r="E196" s="354"/>
      <c r="F196" s="354"/>
    </row>
    <row r="197" spans="1:8" ht="21.75" customHeight="1" x14ac:dyDescent="0.2">
      <c r="A197" s="370" t="s">
        <v>239</v>
      </c>
      <c r="B197" s="317" t="s">
        <v>1157</v>
      </c>
      <c r="C197" s="369" t="s">
        <v>68</v>
      </c>
      <c r="D197" s="205"/>
      <c r="E197" s="354"/>
      <c r="F197" s="354"/>
    </row>
    <row r="198" spans="1:8" ht="21.75" customHeight="1" x14ac:dyDescent="0.2">
      <c r="A198" s="370" t="s">
        <v>241</v>
      </c>
      <c r="B198" s="317" t="s">
        <v>1158</v>
      </c>
      <c r="C198" s="317" t="s">
        <v>68</v>
      </c>
      <c r="D198" s="205"/>
      <c r="E198" s="354"/>
      <c r="F198" s="354"/>
    </row>
    <row r="199" spans="1:8" ht="12.75" x14ac:dyDescent="0.2">
      <c r="A199" s="631" t="s">
        <v>704</v>
      </c>
      <c r="B199" s="631"/>
      <c r="C199" s="631"/>
      <c r="D199" s="631"/>
      <c r="E199" s="311"/>
      <c r="F199" s="311"/>
      <c r="G199" s="110"/>
    </row>
    <row r="200" spans="1:8" ht="30.75" customHeight="1" x14ac:dyDescent="0.2">
      <c r="A200" s="312" t="s">
        <v>686</v>
      </c>
      <c r="B200" s="95" t="s">
        <v>687</v>
      </c>
      <c r="C200" s="313" t="s">
        <v>278</v>
      </c>
      <c r="D200" s="314" t="s">
        <v>64</v>
      </c>
      <c r="E200" s="328"/>
      <c r="F200" s="371"/>
      <c r="H200" s="102"/>
    </row>
    <row r="201" spans="1:8" ht="26.25" customHeight="1" x14ac:dyDescent="0.2">
      <c r="A201" s="316" t="s">
        <v>244</v>
      </c>
      <c r="B201" s="317">
        <v>3800</v>
      </c>
      <c r="C201" s="317">
        <v>4900</v>
      </c>
      <c r="D201" s="101" t="s">
        <v>245</v>
      </c>
      <c r="E201" s="371"/>
      <c r="F201" s="371"/>
      <c r="H201" s="102"/>
    </row>
    <row r="202" spans="1:8" ht="21.75" customHeight="1" x14ac:dyDescent="0.2">
      <c r="A202" s="634" t="s">
        <v>246</v>
      </c>
      <c r="B202" s="372" t="s">
        <v>705</v>
      </c>
      <c r="C202" s="373"/>
      <c r="D202" s="373"/>
      <c r="E202" s="371"/>
      <c r="F202" s="371"/>
      <c r="H202" s="102"/>
    </row>
    <row r="203" spans="1:8" ht="9.9499999999999993" customHeight="1" x14ac:dyDescent="0.2">
      <c r="A203" s="634"/>
      <c r="B203" s="373"/>
      <c r="C203" s="373"/>
      <c r="D203" s="373"/>
      <c r="E203" s="374"/>
      <c r="F203" s="374"/>
    </row>
    <row r="204" spans="1:8" ht="22.5" customHeight="1" x14ac:dyDescent="0.2">
      <c r="A204" s="357" t="s">
        <v>706</v>
      </c>
      <c r="B204" s="375" t="s">
        <v>707</v>
      </c>
      <c r="C204" s="375"/>
      <c r="D204" s="375"/>
      <c r="E204" s="121"/>
      <c r="F204" s="121"/>
    </row>
    <row r="205" spans="1:8" x14ac:dyDescent="0.2">
      <c r="A205" s="211" t="s">
        <v>248</v>
      </c>
      <c r="B205" s="109"/>
      <c r="C205" s="109"/>
      <c r="D205" s="109"/>
      <c r="E205" s="121"/>
      <c r="F205" s="121"/>
    </row>
    <row r="206" spans="1:8" x14ac:dyDescent="0.2">
      <c r="A206" s="88" t="s">
        <v>249</v>
      </c>
      <c r="E206" s="121"/>
      <c r="F206" s="121"/>
    </row>
    <row r="207" spans="1:8" x14ac:dyDescent="0.2">
      <c r="A207" s="88"/>
      <c r="E207" s="121"/>
      <c r="F207" s="121"/>
    </row>
    <row r="208" spans="1:8" ht="13.5" customHeight="1" x14ac:dyDescent="0.2">
      <c r="A208" s="88"/>
      <c r="E208" s="311"/>
      <c r="F208" s="311"/>
      <c r="G208" s="92"/>
      <c r="H208" s="92"/>
    </row>
    <row r="209" spans="1:10" ht="12.75" x14ac:dyDescent="0.2">
      <c r="A209" s="376" t="s">
        <v>708</v>
      </c>
      <c r="E209" s="311"/>
      <c r="F209" s="311"/>
      <c r="G209" s="92"/>
      <c r="H209" s="92"/>
    </row>
    <row r="210" spans="1:10" ht="15.75" customHeight="1" x14ac:dyDescent="0.2">
      <c r="A210" s="376" t="s">
        <v>251</v>
      </c>
      <c r="B210" s="92"/>
      <c r="C210" s="92"/>
      <c r="D210" s="92"/>
      <c r="E210" s="121"/>
      <c r="F210" s="121"/>
    </row>
    <row r="211" spans="1:10" s="89" customFormat="1" ht="15.75" customHeight="1" x14ac:dyDescent="0.2">
      <c r="A211" s="212"/>
      <c r="D211" s="87"/>
      <c r="E211" s="121"/>
      <c r="F211" s="121"/>
      <c r="G211" s="87"/>
      <c r="H211" s="87"/>
      <c r="I211" s="87"/>
      <c r="J211" s="87"/>
    </row>
    <row r="212" spans="1:10" s="89" customFormat="1" ht="15.75" customHeight="1" x14ac:dyDescent="0.2">
      <c r="A212" s="390" t="s">
        <v>743</v>
      </c>
      <c r="D212" s="87"/>
      <c r="E212" s="121"/>
      <c r="F212" s="121"/>
      <c r="G212" s="87"/>
      <c r="H212" s="87"/>
      <c r="I212" s="87"/>
      <c r="J212" s="87"/>
    </row>
    <row r="213" spans="1:10" s="89" customFormat="1" ht="15.75" customHeight="1" x14ac:dyDescent="0.2">
      <c r="A213" t="s">
        <v>725</v>
      </c>
      <c r="D213" s="87"/>
      <c r="E213" s="121"/>
      <c r="F213" s="121"/>
      <c r="G213" s="87"/>
      <c r="H213" s="179"/>
      <c r="I213" s="87"/>
      <c r="J213" s="87"/>
    </row>
    <row r="214" spans="1:10" s="89" customFormat="1" ht="15.75" customHeight="1" x14ac:dyDescent="0.2">
      <c r="A214" t="s">
        <v>726</v>
      </c>
      <c r="D214" s="87"/>
      <c r="E214" s="121"/>
      <c r="F214" s="121"/>
      <c r="G214" s="87"/>
      <c r="H214" s="87"/>
      <c r="I214" s="87"/>
      <c r="J214" s="87"/>
    </row>
    <row r="215" spans="1:10" s="89" customFormat="1" ht="15.75" customHeight="1" x14ac:dyDescent="0.2">
      <c r="A215" s="243" t="s">
        <v>737</v>
      </c>
      <c r="D215" s="87"/>
      <c r="E215" s="121"/>
      <c r="F215" s="121"/>
      <c r="G215" s="87"/>
      <c r="H215" s="87"/>
      <c r="I215" s="87"/>
      <c r="J215" s="87"/>
    </row>
    <row r="216" spans="1:10" s="89" customFormat="1" ht="15.75" customHeight="1" x14ac:dyDescent="0.2">
      <c r="A216" t="s">
        <v>727</v>
      </c>
      <c r="D216" s="87"/>
      <c r="E216" s="121"/>
      <c r="F216" s="121"/>
      <c r="G216" s="87"/>
      <c r="H216" s="179"/>
      <c r="I216" s="87"/>
      <c r="J216" s="87"/>
    </row>
    <row r="217" spans="1:10" s="89" customFormat="1" ht="15.75" customHeight="1" x14ac:dyDescent="0.2">
      <c r="A217" t="s">
        <v>728</v>
      </c>
      <c r="D217" s="87"/>
      <c r="E217" s="121"/>
      <c r="F217" s="121"/>
      <c r="G217" s="87"/>
      <c r="H217" s="87"/>
      <c r="I217" s="87"/>
      <c r="J217" s="87"/>
    </row>
    <row r="218" spans="1:10" s="89" customFormat="1" ht="15.75" customHeight="1" x14ac:dyDescent="0.2">
      <c r="A218" s="243" t="s">
        <v>738</v>
      </c>
      <c r="D218" s="87"/>
      <c r="E218" s="121"/>
      <c r="F218" s="121"/>
      <c r="G218" s="87"/>
      <c r="H218" s="87"/>
      <c r="I218" s="87"/>
      <c r="J218" s="87"/>
    </row>
    <row r="219" spans="1:10" s="89" customFormat="1" ht="15.75" customHeight="1" x14ac:dyDescent="0.2">
      <c r="A219" s="243" t="s">
        <v>739</v>
      </c>
      <c r="D219" s="87"/>
      <c r="E219" s="121"/>
      <c r="F219" s="121"/>
      <c r="G219" s="87"/>
      <c r="H219" s="87"/>
      <c r="I219" s="87"/>
      <c r="J219" s="87"/>
    </row>
    <row r="220" spans="1:10" s="89" customFormat="1" ht="15.75" customHeight="1" x14ac:dyDescent="0.2">
      <c r="A220" s="243" t="s">
        <v>740</v>
      </c>
      <c r="D220" s="87"/>
      <c r="E220" s="121"/>
      <c r="F220" s="121"/>
      <c r="G220" s="87"/>
      <c r="H220" s="87"/>
      <c r="I220" s="87"/>
      <c r="J220" s="87"/>
    </row>
    <row r="221" spans="1:10" s="89" customFormat="1" ht="15.75" customHeight="1" x14ac:dyDescent="0.2">
      <c r="A221" t="s">
        <v>729</v>
      </c>
      <c r="D221" s="87"/>
      <c r="E221" s="121"/>
      <c r="F221" s="121"/>
      <c r="G221" s="87"/>
      <c r="H221" s="87"/>
      <c r="I221" s="87"/>
      <c r="J221" s="87"/>
    </row>
    <row r="222" spans="1:10" s="89" customFormat="1" ht="15.75" customHeight="1" x14ac:dyDescent="0.2">
      <c r="A222" t="s">
        <v>730</v>
      </c>
      <c r="D222" s="87"/>
      <c r="E222" s="121"/>
      <c r="F222" s="121"/>
      <c r="G222" s="87"/>
      <c r="H222" s="87"/>
      <c r="I222" s="87"/>
      <c r="J222" s="87"/>
    </row>
    <row r="223" spans="1:10" s="89" customFormat="1" ht="15.75" customHeight="1" x14ac:dyDescent="0.2">
      <c r="A223" s="243" t="s">
        <v>741</v>
      </c>
      <c r="D223" s="87"/>
      <c r="E223" s="121"/>
      <c r="F223" s="121"/>
      <c r="G223" s="87"/>
      <c r="H223" s="87"/>
      <c r="I223" s="87"/>
      <c r="J223" s="87"/>
    </row>
    <row r="224" spans="1:10" ht="15.75" customHeight="1" x14ac:dyDescent="0.2">
      <c r="A224" t="s">
        <v>731</v>
      </c>
    </row>
    <row r="225" spans="1:10" ht="15.75" customHeight="1" x14ac:dyDescent="0.2">
      <c r="A225" s="243" t="s">
        <v>742</v>
      </c>
    </row>
    <row r="226" spans="1:10" ht="15.75" customHeight="1" x14ac:dyDescent="0.2">
      <c r="A226" t="s">
        <v>732</v>
      </c>
    </row>
    <row r="227" spans="1:10" ht="15.75" customHeight="1" x14ac:dyDescent="0.2">
      <c r="A227" t="s">
        <v>733</v>
      </c>
    </row>
    <row r="228" spans="1:10" ht="15.75" customHeight="1" x14ac:dyDescent="0.2">
      <c r="A228" t="s">
        <v>734</v>
      </c>
    </row>
    <row r="229" spans="1:10" ht="15.75" customHeight="1" x14ac:dyDescent="0.2">
      <c r="A229" t="s">
        <v>735</v>
      </c>
    </row>
    <row r="230" spans="1:10" ht="15.75" customHeight="1" x14ac:dyDescent="0.2">
      <c r="A230" t="s">
        <v>736</v>
      </c>
    </row>
    <row r="231" spans="1:10" ht="15.75" customHeight="1" x14ac:dyDescent="0.2"/>
    <row r="232" spans="1:10" ht="15.75" customHeight="1" x14ac:dyDescent="0.2">
      <c r="A232" s="390" t="s">
        <v>861</v>
      </c>
      <c r="B232" s="89" t="s">
        <v>865</v>
      </c>
    </row>
    <row r="233" spans="1:10" ht="15.75" customHeight="1" x14ac:dyDescent="0.2">
      <c r="A233" s="87" t="s">
        <v>862</v>
      </c>
      <c r="B233" s="89">
        <f>+(360000+252000+370000)/3</f>
        <v>327333.33333333331</v>
      </c>
    </row>
    <row r="234" spans="1:10" ht="15.75" customHeight="1" x14ac:dyDescent="0.2">
      <c r="A234" s="87" t="s">
        <v>863</v>
      </c>
      <c r="B234" s="89">
        <v>150000</v>
      </c>
    </row>
    <row r="235" spans="1:10" ht="15.75" customHeight="1" x14ac:dyDescent="0.2">
      <c r="A235" s="87" t="s">
        <v>864</v>
      </c>
      <c r="B235" s="89">
        <v>100000</v>
      </c>
    </row>
    <row r="236" spans="1:10" ht="15.75" customHeight="1" x14ac:dyDescent="0.2"/>
    <row r="237" spans="1:10" s="89" customFormat="1" ht="15.75" customHeight="1" x14ac:dyDescent="0.2">
      <c r="A237" s="109"/>
      <c r="D237" s="87"/>
      <c r="E237" s="87"/>
      <c r="F237" s="87"/>
      <c r="G237" s="87"/>
      <c r="H237" s="87"/>
      <c r="I237" s="87"/>
      <c r="J237" s="87"/>
    </row>
    <row r="238" spans="1:10" s="89" customFormat="1" ht="15.75" customHeight="1" x14ac:dyDescent="0.2">
      <c r="A238" s="87"/>
      <c r="D238" s="87"/>
      <c r="E238" s="87"/>
      <c r="F238" s="87"/>
      <c r="G238" s="87"/>
      <c r="H238" s="87"/>
      <c r="I238" s="87"/>
      <c r="J238" s="87"/>
    </row>
    <row r="239" spans="1:10" s="89" customFormat="1" ht="15.75" customHeight="1" x14ac:dyDescent="0.2">
      <c r="A239" s="87"/>
      <c r="D239" s="87"/>
      <c r="E239" s="87"/>
      <c r="F239" s="87"/>
      <c r="G239" s="87"/>
      <c r="H239" s="87"/>
      <c r="I239" s="87"/>
      <c r="J239" s="87"/>
    </row>
    <row r="240" spans="1:10" s="89" customFormat="1" ht="15.75" customHeight="1" x14ac:dyDescent="0.2">
      <c r="A240" s="87"/>
      <c r="D240" s="87"/>
      <c r="E240" s="87"/>
      <c r="F240" s="87"/>
      <c r="G240" s="87"/>
      <c r="H240" s="87"/>
      <c r="I240" s="87"/>
      <c r="J240" s="87"/>
    </row>
    <row r="241" spans="1:10" s="89" customFormat="1" ht="15.75" customHeight="1" x14ac:dyDescent="0.2">
      <c r="A241" s="87"/>
      <c r="D241" s="87"/>
      <c r="E241" s="87"/>
      <c r="F241" s="87"/>
      <c r="G241" s="87"/>
      <c r="H241" s="87"/>
      <c r="I241" s="87"/>
      <c r="J241" s="87"/>
    </row>
    <row r="242" spans="1:10" s="89" customFormat="1" ht="15.75" customHeight="1" x14ac:dyDescent="0.2">
      <c r="A242" s="87"/>
      <c r="D242" s="87"/>
      <c r="E242" s="87"/>
      <c r="F242" s="87"/>
      <c r="G242" s="87"/>
      <c r="H242" s="87"/>
      <c r="I242" s="87"/>
      <c r="J242" s="87"/>
    </row>
    <row r="243" spans="1:10" s="89" customFormat="1" ht="15.75" customHeight="1" x14ac:dyDescent="0.2">
      <c r="A243" s="87"/>
      <c r="D243" s="87"/>
      <c r="E243" s="87"/>
      <c r="F243" s="87"/>
      <c r="G243" s="87"/>
      <c r="H243" s="87"/>
      <c r="I243" s="87"/>
      <c r="J243" s="87"/>
    </row>
    <row r="244" spans="1:10" s="89" customFormat="1" ht="15.75" customHeight="1" x14ac:dyDescent="0.2">
      <c r="A244" s="87"/>
      <c r="D244" s="87"/>
      <c r="E244" s="87"/>
      <c r="F244" s="87"/>
      <c r="G244" s="87"/>
      <c r="H244" s="87"/>
      <c r="I244" s="87"/>
      <c r="J244" s="87"/>
    </row>
    <row r="245" spans="1:10" s="89" customFormat="1" ht="15.75" customHeight="1" x14ac:dyDescent="0.2">
      <c r="A245" s="87"/>
      <c r="D245" s="87"/>
      <c r="E245" s="87"/>
      <c r="F245" s="87"/>
      <c r="G245" s="87"/>
      <c r="H245" s="87"/>
      <c r="I245" s="87"/>
      <c r="J245" s="87"/>
    </row>
    <row r="246" spans="1:10" s="89" customFormat="1" ht="15.75" customHeight="1" x14ac:dyDescent="0.2">
      <c r="A246" s="87"/>
      <c r="D246" s="87"/>
      <c r="E246" s="87"/>
      <c r="F246" s="87"/>
      <c r="G246" s="87"/>
      <c r="H246" s="87"/>
      <c r="I246" s="87"/>
      <c r="J246" s="87"/>
    </row>
    <row r="247" spans="1:10" s="89" customFormat="1" ht="15.75" customHeight="1" x14ac:dyDescent="0.2">
      <c r="A247" s="87"/>
      <c r="D247" s="87"/>
      <c r="E247" s="87"/>
      <c r="F247" s="87"/>
      <c r="G247" s="87"/>
      <c r="H247" s="87"/>
      <c r="I247" s="87"/>
      <c r="J247" s="87"/>
    </row>
    <row r="248" spans="1:10" s="89" customFormat="1" ht="15.75" customHeight="1" x14ac:dyDescent="0.2">
      <c r="A248" s="87"/>
      <c r="D248" s="87"/>
      <c r="E248" s="87"/>
      <c r="F248" s="87"/>
      <c r="G248" s="87"/>
      <c r="H248" s="87"/>
      <c r="I248" s="87"/>
      <c r="J248" s="87"/>
    </row>
    <row r="249" spans="1:10" s="89" customFormat="1" ht="15.75" customHeight="1" x14ac:dyDescent="0.2">
      <c r="A249" s="87"/>
      <c r="D249" s="87"/>
      <c r="E249" s="87"/>
      <c r="F249" s="87"/>
      <c r="G249" s="87"/>
      <c r="H249" s="87"/>
      <c r="I249" s="87"/>
      <c r="J249" s="87"/>
    </row>
    <row r="250" spans="1:10" s="89" customFormat="1" ht="15.75" customHeight="1" x14ac:dyDescent="0.2">
      <c r="A250" s="87"/>
      <c r="D250" s="87"/>
      <c r="E250" s="87"/>
      <c r="F250" s="87"/>
      <c r="G250" s="87"/>
      <c r="H250" s="87"/>
      <c r="I250" s="87"/>
      <c r="J250" s="87"/>
    </row>
    <row r="251" spans="1:10" s="89" customFormat="1" ht="15.75" customHeight="1" x14ac:dyDescent="0.2">
      <c r="A251" s="87"/>
      <c r="D251" s="87"/>
      <c r="E251" s="87"/>
      <c r="F251" s="87"/>
      <c r="G251" s="87"/>
      <c r="H251" s="87"/>
      <c r="I251" s="87"/>
      <c r="J251" s="87"/>
    </row>
    <row r="252" spans="1:10" s="89" customFormat="1" ht="15.75" customHeight="1" x14ac:dyDescent="0.2">
      <c r="A252" s="87"/>
      <c r="D252" s="87"/>
      <c r="E252" s="87"/>
      <c r="F252" s="87"/>
      <c r="G252" s="87"/>
      <c r="H252" s="87"/>
      <c r="I252" s="87"/>
      <c r="J252" s="87"/>
    </row>
    <row r="253" spans="1:10" s="89" customFormat="1" ht="15.75" customHeight="1" x14ac:dyDescent="0.2">
      <c r="A253" s="87"/>
      <c r="D253" s="87"/>
      <c r="E253" s="87"/>
      <c r="F253" s="87"/>
      <c r="G253" s="87"/>
      <c r="H253" s="87"/>
      <c r="I253" s="87"/>
      <c r="J253" s="87"/>
    </row>
    <row r="254" spans="1:10" s="89" customFormat="1" ht="15.75" customHeight="1" x14ac:dyDescent="0.2">
      <c r="A254" s="87"/>
      <c r="D254" s="87"/>
      <c r="E254" s="87"/>
      <c r="F254" s="87"/>
      <c r="G254" s="87"/>
      <c r="H254" s="87"/>
      <c r="I254" s="87"/>
      <c r="J254" s="87"/>
    </row>
    <row r="255" spans="1:10" s="89" customFormat="1" ht="15.75" customHeight="1" x14ac:dyDescent="0.2">
      <c r="A255" s="87"/>
      <c r="D255" s="87"/>
      <c r="E255" s="87"/>
      <c r="F255" s="87"/>
      <c r="G255" s="87"/>
      <c r="H255" s="87"/>
      <c r="I255" s="87"/>
      <c r="J255" s="87"/>
    </row>
    <row r="256" spans="1:10" s="89" customFormat="1" ht="15.75" customHeight="1" x14ac:dyDescent="0.2">
      <c r="A256" s="87"/>
      <c r="D256" s="87"/>
      <c r="E256" s="87"/>
      <c r="F256" s="87"/>
      <c r="G256" s="87"/>
      <c r="H256" s="87"/>
      <c r="I256" s="87"/>
      <c r="J256" s="87"/>
    </row>
    <row r="257" spans="1:10" s="89" customFormat="1" ht="15.75" customHeight="1" x14ac:dyDescent="0.2">
      <c r="A257" s="87"/>
      <c r="D257" s="87"/>
      <c r="E257" s="87"/>
      <c r="F257" s="87"/>
      <c r="G257" s="87"/>
      <c r="H257" s="87"/>
      <c r="I257" s="87"/>
      <c r="J257" s="87"/>
    </row>
    <row r="258" spans="1:10" s="89" customFormat="1" ht="15.75" customHeight="1" x14ac:dyDescent="0.2">
      <c r="A258" s="87"/>
      <c r="D258" s="87"/>
      <c r="E258" s="87"/>
      <c r="F258" s="87"/>
      <c r="G258" s="87"/>
      <c r="H258" s="87"/>
      <c r="I258" s="87"/>
      <c r="J258" s="87"/>
    </row>
    <row r="259" spans="1:10" s="89" customFormat="1" ht="15.75" customHeight="1" x14ac:dyDescent="0.2">
      <c r="A259" s="87"/>
      <c r="D259" s="87"/>
      <c r="E259" s="87"/>
      <c r="F259" s="87"/>
      <c r="G259" s="87"/>
      <c r="H259" s="87"/>
      <c r="I259" s="87"/>
      <c r="J259" s="87"/>
    </row>
    <row r="260" spans="1:10" s="89" customFormat="1" ht="15.75" customHeight="1" x14ac:dyDescent="0.2">
      <c r="A260" s="88"/>
      <c r="D260" s="87"/>
      <c r="E260" s="87"/>
      <c r="F260" s="87"/>
      <c r="G260" s="87"/>
      <c r="H260" s="87"/>
      <c r="I260" s="87"/>
      <c r="J260" s="87"/>
    </row>
    <row r="261" spans="1:10" s="89" customFormat="1" ht="15.75" customHeight="1" x14ac:dyDescent="0.2">
      <c r="A261" s="214"/>
      <c r="D261" s="87"/>
      <c r="E261" s="87"/>
      <c r="F261" s="87"/>
      <c r="G261" s="87"/>
      <c r="H261" s="87"/>
      <c r="I261" s="87"/>
      <c r="J261" s="87"/>
    </row>
    <row r="262" spans="1:10" s="89" customFormat="1" ht="15.75" customHeight="1" x14ac:dyDescent="0.2">
      <c r="A262" s="87"/>
      <c r="D262" s="87"/>
      <c r="E262" s="87"/>
      <c r="F262" s="87"/>
      <c r="G262" s="87"/>
      <c r="H262" s="87"/>
      <c r="I262" s="87"/>
      <c r="J262" s="87"/>
    </row>
    <row r="263" spans="1:10" s="89" customFormat="1" ht="15.75" customHeight="1" x14ac:dyDescent="0.2">
      <c r="A263" s="87"/>
      <c r="D263" s="87"/>
      <c r="E263" s="87"/>
      <c r="F263" s="87"/>
      <c r="G263" s="87"/>
      <c r="H263" s="87"/>
      <c r="I263" s="87"/>
      <c r="J263" s="87"/>
    </row>
    <row r="264" spans="1:10" s="89" customFormat="1" ht="15.75" customHeight="1" x14ac:dyDescent="0.2">
      <c r="A264" s="87"/>
      <c r="D264" s="87"/>
      <c r="E264" s="87"/>
      <c r="F264" s="87"/>
      <c r="G264" s="87"/>
      <c r="H264" s="87"/>
      <c r="I264" s="87"/>
      <c r="J264" s="87"/>
    </row>
    <row r="265" spans="1:10" s="89" customFormat="1" ht="15.75" customHeight="1" x14ac:dyDescent="0.2">
      <c r="A265" s="87"/>
      <c r="D265" s="87"/>
      <c r="E265" s="87"/>
      <c r="F265" s="87"/>
      <c r="G265" s="87"/>
      <c r="H265" s="87"/>
      <c r="I265" s="87"/>
      <c r="J265" s="87"/>
    </row>
    <row r="266" spans="1:10" s="89" customFormat="1" ht="15.75" customHeight="1" x14ac:dyDescent="0.2">
      <c r="A266" s="87"/>
      <c r="D266" s="87"/>
      <c r="E266" s="87"/>
      <c r="F266" s="87"/>
      <c r="G266" s="87"/>
      <c r="H266" s="87"/>
      <c r="I266" s="87"/>
      <c r="J266" s="87"/>
    </row>
    <row r="267" spans="1:10" s="89" customFormat="1" ht="15.75" customHeight="1" x14ac:dyDescent="0.2">
      <c r="A267" s="87"/>
      <c r="D267" s="87"/>
      <c r="E267" s="87"/>
      <c r="F267" s="87"/>
      <c r="G267" s="87"/>
      <c r="H267" s="87"/>
      <c r="I267" s="87"/>
      <c r="J267" s="87"/>
    </row>
    <row r="268" spans="1:10" s="89" customFormat="1" ht="15.75" customHeight="1" x14ac:dyDescent="0.2">
      <c r="A268" s="87"/>
      <c r="D268" s="87"/>
      <c r="E268" s="87"/>
      <c r="F268" s="87"/>
      <c r="G268" s="87"/>
      <c r="H268" s="87"/>
      <c r="I268" s="87"/>
      <c r="J268" s="87"/>
    </row>
    <row r="269" spans="1:10" ht="15.75" customHeight="1" x14ac:dyDescent="0.2"/>
    <row r="270" spans="1:10" ht="15.75" customHeight="1" x14ac:dyDescent="0.2"/>
    <row r="271" spans="1:10" ht="15.75" customHeight="1" x14ac:dyDescent="0.2"/>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sheetData>
  <mergeCells count="30">
    <mergeCell ref="A202:A203"/>
    <mergeCell ref="A182:D182"/>
    <mergeCell ref="A188:D188"/>
    <mergeCell ref="A194:D194"/>
    <mergeCell ref="A171:D171"/>
    <mergeCell ref="B175:D175"/>
    <mergeCell ref="B176:D176"/>
    <mergeCell ref="B179:D179"/>
    <mergeCell ref="B180:D180"/>
    <mergeCell ref="A199:D199"/>
    <mergeCell ref="A30:D30"/>
    <mergeCell ref="A38:D38"/>
    <mergeCell ref="A45:D45"/>
    <mergeCell ref="A51:D51"/>
    <mergeCell ref="A58:D58"/>
    <mergeCell ref="A88:D88"/>
    <mergeCell ref="A123:D123"/>
    <mergeCell ref="A132:D132"/>
    <mergeCell ref="A146:D146"/>
    <mergeCell ref="A119:D119"/>
    <mergeCell ref="B121:D121"/>
    <mergeCell ref="B122:D122"/>
    <mergeCell ref="B130:D130"/>
    <mergeCell ref="A141:D141"/>
    <mergeCell ref="A12:D12"/>
    <mergeCell ref="A1:D1"/>
    <mergeCell ref="A2:D2"/>
    <mergeCell ref="B3:C3"/>
    <mergeCell ref="B4:C4"/>
    <mergeCell ref="A11:D11"/>
  </mergeCells>
  <printOptions horizontalCentered="1"/>
  <pageMargins left="0.23622047244094491" right="0.23622047244094491" top="0.74803149606299213" bottom="0.74803149606299213" header="0.31496062992125984" footer="0.31496062992125984"/>
  <pageSetup scale="105" orientation="portrait" horizontalDpi="300" verticalDpi="300" r:id="rId1"/>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1" tint="0.249977111117893"/>
  </sheetPr>
  <dimension ref="B2:X14"/>
  <sheetViews>
    <sheetView workbookViewId="0"/>
  </sheetViews>
  <sheetFormatPr baseColWidth="10" defaultRowHeight="12.75" x14ac:dyDescent="0.2"/>
  <cols>
    <col min="2" max="2" width="3.5703125" bestFit="1" customWidth="1"/>
    <col min="3" max="3" width="26.28515625" customWidth="1"/>
    <col min="4" max="4" width="23.7109375" customWidth="1"/>
    <col min="5" max="8" width="2.7109375" customWidth="1"/>
    <col min="9" max="9" width="2.42578125" customWidth="1"/>
    <col min="10" max="24" width="2.7109375" customWidth="1"/>
  </cols>
  <sheetData>
    <row r="2" spans="2:24" ht="12.75" customHeight="1" x14ac:dyDescent="0.2">
      <c r="B2" s="648" t="s">
        <v>19</v>
      </c>
      <c r="C2" s="649"/>
      <c r="D2" s="649"/>
      <c r="E2" s="649"/>
      <c r="F2" s="649"/>
      <c r="G2" s="649"/>
      <c r="H2" s="649"/>
      <c r="I2" s="649"/>
      <c r="J2" s="649"/>
      <c r="K2" s="649"/>
      <c r="L2" s="649"/>
      <c r="M2" s="649"/>
      <c r="N2" s="649"/>
      <c r="O2" s="649"/>
      <c r="P2" s="649"/>
      <c r="Q2" s="649"/>
      <c r="R2" s="649"/>
      <c r="S2" s="649"/>
      <c r="T2" s="649"/>
      <c r="U2" s="649"/>
      <c r="V2" s="649"/>
      <c r="W2" s="649"/>
      <c r="X2" s="650"/>
    </row>
    <row r="3" spans="2:24" ht="13.5" customHeight="1" x14ac:dyDescent="0.2">
      <c r="B3" s="651" t="s">
        <v>0</v>
      </c>
      <c r="C3" s="651" t="s">
        <v>20</v>
      </c>
      <c r="D3" s="651" t="s">
        <v>21</v>
      </c>
      <c r="E3" s="647" t="s">
        <v>22</v>
      </c>
      <c r="F3" s="647"/>
      <c r="G3" s="647"/>
      <c r="H3" s="647"/>
      <c r="I3" s="647" t="s">
        <v>23</v>
      </c>
      <c r="J3" s="647"/>
      <c r="K3" s="647"/>
      <c r="L3" s="647"/>
      <c r="M3" s="647" t="s">
        <v>24</v>
      </c>
      <c r="N3" s="647"/>
      <c r="O3" s="647"/>
      <c r="P3" s="647"/>
      <c r="Q3" s="647" t="s">
        <v>25</v>
      </c>
      <c r="R3" s="647"/>
      <c r="S3" s="647"/>
      <c r="T3" s="647"/>
      <c r="U3" s="647" t="s">
        <v>26</v>
      </c>
      <c r="V3" s="647"/>
      <c r="W3" s="647"/>
      <c r="X3" s="647"/>
    </row>
    <row r="4" spans="2:24" ht="25.5" x14ac:dyDescent="0.2">
      <c r="B4" s="651"/>
      <c r="C4" s="651"/>
      <c r="D4" s="651"/>
      <c r="E4" s="65" t="s">
        <v>27</v>
      </c>
      <c r="F4" s="65" t="s">
        <v>28</v>
      </c>
      <c r="G4" s="65" t="s">
        <v>29</v>
      </c>
      <c r="H4" s="65" t="s">
        <v>30</v>
      </c>
      <c r="I4" s="65" t="s">
        <v>27</v>
      </c>
      <c r="J4" s="65" t="s">
        <v>28</v>
      </c>
      <c r="K4" s="65" t="s">
        <v>29</v>
      </c>
      <c r="L4" s="65" t="s">
        <v>30</v>
      </c>
      <c r="M4" s="65" t="s">
        <v>27</v>
      </c>
      <c r="N4" s="65" t="s">
        <v>28</v>
      </c>
      <c r="O4" s="65" t="s">
        <v>29</v>
      </c>
      <c r="P4" s="65" t="s">
        <v>30</v>
      </c>
      <c r="Q4" s="65" t="s">
        <v>27</v>
      </c>
      <c r="R4" s="65" t="s">
        <v>28</v>
      </c>
      <c r="S4" s="65" t="s">
        <v>29</v>
      </c>
      <c r="T4" s="65" t="s">
        <v>30</v>
      </c>
      <c r="U4" s="65" t="s">
        <v>27</v>
      </c>
      <c r="V4" s="65" t="s">
        <v>28</v>
      </c>
      <c r="W4" s="65" t="s">
        <v>29</v>
      </c>
      <c r="X4" s="65" t="s">
        <v>30</v>
      </c>
    </row>
    <row r="5" spans="2:24" ht="24" x14ac:dyDescent="0.2">
      <c r="B5" s="56">
        <v>1</v>
      </c>
      <c r="C5" s="57" t="s">
        <v>31</v>
      </c>
      <c r="D5" s="66" t="s">
        <v>44</v>
      </c>
      <c r="E5" s="56"/>
      <c r="F5" s="56" t="s">
        <v>32</v>
      </c>
      <c r="G5" s="56" t="s">
        <v>32</v>
      </c>
      <c r="H5" s="58"/>
      <c r="I5" s="56"/>
      <c r="J5" s="56"/>
      <c r="K5" s="56"/>
      <c r="L5" s="56"/>
      <c r="M5" s="56"/>
      <c r="N5" s="56"/>
      <c r="O5" s="56"/>
      <c r="P5" s="56"/>
      <c r="Q5" s="56"/>
      <c r="R5" s="56"/>
      <c r="S5" s="56"/>
      <c r="T5" s="56"/>
      <c r="U5" s="56"/>
      <c r="V5" s="56"/>
      <c r="W5" s="56"/>
      <c r="X5" s="56"/>
    </row>
    <row r="6" spans="2:24" ht="36" x14ac:dyDescent="0.2">
      <c r="B6" s="56">
        <v>2</v>
      </c>
      <c r="C6" s="57" t="s">
        <v>40</v>
      </c>
      <c r="D6" s="67" t="s">
        <v>41</v>
      </c>
      <c r="E6" s="56"/>
      <c r="F6" s="56"/>
      <c r="G6" s="56"/>
      <c r="H6" s="56" t="s">
        <v>32</v>
      </c>
      <c r="I6" s="56" t="s">
        <v>32</v>
      </c>
      <c r="J6" s="58"/>
      <c r="K6" s="58"/>
      <c r="L6" s="58"/>
      <c r="M6" s="58"/>
      <c r="N6" s="58"/>
      <c r="O6" s="58"/>
      <c r="P6" s="58"/>
      <c r="Q6" s="56"/>
      <c r="R6" s="56"/>
      <c r="S6" s="56"/>
      <c r="T6" s="56"/>
      <c r="U6" s="56"/>
      <c r="V6" s="56"/>
      <c r="W6" s="56"/>
      <c r="X6" s="56"/>
    </row>
    <row r="7" spans="2:24" ht="36" x14ac:dyDescent="0.2">
      <c r="B7" s="56">
        <v>3</v>
      </c>
      <c r="C7" s="59" t="s">
        <v>33</v>
      </c>
      <c r="D7" s="67" t="s">
        <v>49</v>
      </c>
      <c r="E7" s="56"/>
      <c r="F7" s="57"/>
      <c r="G7" s="60"/>
      <c r="H7" s="60"/>
      <c r="I7" s="60" t="s">
        <v>32</v>
      </c>
      <c r="J7" s="60"/>
      <c r="K7" s="56"/>
      <c r="L7" s="56"/>
      <c r="M7" s="56"/>
      <c r="N7" s="56"/>
      <c r="O7" s="58"/>
      <c r="P7" s="58"/>
      <c r="Q7" s="58"/>
      <c r="R7" s="68"/>
      <c r="S7" s="61"/>
      <c r="T7" s="58"/>
      <c r="U7" s="58"/>
      <c r="V7" s="58"/>
      <c r="W7" s="58"/>
      <c r="X7" s="58"/>
    </row>
    <row r="8" spans="2:24" ht="24" x14ac:dyDescent="0.2">
      <c r="B8" s="56">
        <v>4</v>
      </c>
      <c r="C8" s="59" t="s">
        <v>45</v>
      </c>
      <c r="D8" s="67" t="s">
        <v>46</v>
      </c>
      <c r="E8" s="56"/>
      <c r="F8" s="57"/>
      <c r="G8" s="60"/>
      <c r="H8" s="60"/>
      <c r="I8" s="60"/>
      <c r="J8" s="60" t="s">
        <v>32</v>
      </c>
      <c r="K8" s="56" t="s">
        <v>32</v>
      </c>
      <c r="L8" s="56"/>
      <c r="M8" s="56"/>
      <c r="N8" s="56"/>
      <c r="O8" s="58"/>
      <c r="P8" s="58"/>
      <c r="Q8" s="58"/>
      <c r="R8" s="68"/>
      <c r="S8" s="61"/>
      <c r="T8" s="58"/>
      <c r="U8" s="58"/>
      <c r="V8" s="58"/>
      <c r="W8" s="58"/>
      <c r="X8" s="58"/>
    </row>
    <row r="9" spans="2:24" ht="33.75" x14ac:dyDescent="0.2">
      <c r="B9" s="56">
        <v>5</v>
      </c>
      <c r="C9" s="59" t="s">
        <v>35</v>
      </c>
      <c r="D9" s="67" t="s">
        <v>47</v>
      </c>
      <c r="E9" s="56"/>
      <c r="F9" s="68"/>
      <c r="G9" s="60"/>
      <c r="H9" s="60"/>
      <c r="I9" s="56"/>
      <c r="J9" s="56"/>
      <c r="K9" s="56" t="s">
        <v>32</v>
      </c>
      <c r="L9" s="56" t="s">
        <v>34</v>
      </c>
      <c r="M9" s="56" t="s">
        <v>32</v>
      </c>
      <c r="N9" s="58"/>
      <c r="O9" s="58"/>
      <c r="P9" s="56"/>
      <c r="Q9" s="58"/>
      <c r="R9" s="58"/>
      <c r="S9" s="56"/>
      <c r="T9" s="56"/>
      <c r="U9" s="58"/>
      <c r="V9" s="58"/>
      <c r="W9" s="58"/>
      <c r="X9" s="58"/>
    </row>
    <row r="10" spans="2:24" ht="33.75" x14ac:dyDescent="0.2">
      <c r="B10" s="56">
        <v>6</v>
      </c>
      <c r="C10" s="59" t="s">
        <v>36</v>
      </c>
      <c r="D10" s="67" t="s">
        <v>48</v>
      </c>
      <c r="E10" s="56"/>
      <c r="F10" s="56"/>
      <c r="G10" s="60"/>
      <c r="H10" s="69"/>
      <c r="I10" s="56"/>
      <c r="J10" s="56"/>
      <c r="K10" s="56"/>
      <c r="L10" s="56"/>
      <c r="M10" s="56"/>
      <c r="N10" s="56" t="s">
        <v>34</v>
      </c>
      <c r="O10" s="56" t="s">
        <v>34</v>
      </c>
      <c r="P10" s="56" t="s">
        <v>34</v>
      </c>
      <c r="Q10" s="56" t="s">
        <v>34</v>
      </c>
      <c r="R10" s="56" t="s">
        <v>34</v>
      </c>
      <c r="S10" s="56" t="s">
        <v>32</v>
      </c>
      <c r="T10" s="56" t="s">
        <v>32</v>
      </c>
      <c r="U10" s="56" t="s">
        <v>32</v>
      </c>
      <c r="V10" s="56"/>
      <c r="W10" s="56"/>
      <c r="X10" s="56"/>
    </row>
    <row r="11" spans="2:24" x14ac:dyDescent="0.2">
      <c r="B11" s="56">
        <v>7</v>
      </c>
      <c r="C11" s="59" t="s">
        <v>43</v>
      </c>
      <c r="D11" s="67" t="s">
        <v>42</v>
      </c>
      <c r="E11" s="56"/>
      <c r="F11" s="56"/>
      <c r="G11" s="60"/>
      <c r="H11" s="60"/>
      <c r="I11" s="56"/>
      <c r="J11" s="56"/>
      <c r="K11" s="56"/>
      <c r="L11" s="56"/>
      <c r="M11" s="56"/>
      <c r="N11" s="56"/>
      <c r="O11" s="56"/>
      <c r="P11" s="56"/>
      <c r="Q11" s="58"/>
      <c r="R11" s="56"/>
      <c r="S11" s="56"/>
      <c r="T11" s="56"/>
      <c r="U11" s="56" t="s">
        <v>32</v>
      </c>
      <c r="V11" s="56"/>
      <c r="W11" s="56"/>
      <c r="X11" s="56"/>
    </row>
    <row r="12" spans="2:24" ht="12.75" customHeight="1" x14ac:dyDescent="0.2">
      <c r="B12" s="648" t="s">
        <v>37</v>
      </c>
      <c r="C12" s="649"/>
      <c r="D12" s="649"/>
      <c r="E12" s="649"/>
      <c r="F12" s="649"/>
      <c r="G12" s="649"/>
      <c r="H12" s="649"/>
      <c r="I12" s="649"/>
      <c r="J12" s="649"/>
      <c r="K12" s="649"/>
      <c r="L12" s="649"/>
      <c r="M12" s="649"/>
      <c r="N12" s="649"/>
      <c r="O12" s="649"/>
      <c r="P12" s="649"/>
      <c r="Q12" s="649"/>
      <c r="R12" s="649"/>
      <c r="S12" s="649"/>
      <c r="T12" s="649"/>
      <c r="U12" s="649"/>
      <c r="V12" s="649"/>
      <c r="W12" s="649"/>
      <c r="X12" s="650"/>
    </row>
    <row r="13" spans="2:24" ht="48" x14ac:dyDescent="0.2">
      <c r="B13" s="56">
        <v>1</v>
      </c>
      <c r="C13" s="57" t="s">
        <v>38</v>
      </c>
      <c r="D13" s="59" t="s">
        <v>42</v>
      </c>
      <c r="E13" s="56"/>
      <c r="F13" s="60"/>
      <c r="G13" s="56"/>
      <c r="H13" s="56"/>
      <c r="I13" s="62"/>
      <c r="J13" s="62"/>
      <c r="K13" s="62"/>
      <c r="L13" s="62"/>
      <c r="M13" s="62"/>
      <c r="N13" s="62"/>
      <c r="O13" s="62"/>
      <c r="P13" s="62"/>
      <c r="Q13" s="62"/>
      <c r="R13" s="62"/>
      <c r="S13" s="62"/>
      <c r="T13" s="62"/>
      <c r="U13" s="56" t="s">
        <v>32</v>
      </c>
      <c r="V13" s="56"/>
      <c r="W13" s="56"/>
      <c r="X13" s="56"/>
    </row>
    <row r="14" spans="2:24" ht="24" x14ac:dyDescent="0.2">
      <c r="B14" s="56">
        <v>2</v>
      </c>
      <c r="C14" s="57" t="s">
        <v>39</v>
      </c>
      <c r="D14" s="59" t="s">
        <v>42</v>
      </c>
      <c r="E14" s="56"/>
      <c r="F14" s="60"/>
      <c r="G14" s="56"/>
      <c r="H14" s="60"/>
      <c r="I14" s="56"/>
      <c r="J14" s="62"/>
      <c r="K14" s="63"/>
      <c r="L14" s="62"/>
      <c r="M14" s="62"/>
      <c r="N14" s="62"/>
      <c r="O14" s="62"/>
      <c r="P14" s="62"/>
      <c r="Q14" s="62"/>
      <c r="R14" s="64"/>
      <c r="S14" s="62"/>
      <c r="T14" s="62"/>
      <c r="U14" s="56"/>
      <c r="V14" s="56" t="s">
        <v>32</v>
      </c>
      <c r="W14" s="56"/>
      <c r="X14" s="56"/>
    </row>
  </sheetData>
  <mergeCells count="10">
    <mergeCell ref="U3:X3"/>
    <mergeCell ref="B2:X2"/>
    <mergeCell ref="B12:X12"/>
    <mergeCell ref="B3:B4"/>
    <mergeCell ref="C3:C4"/>
    <mergeCell ref="D3:D4"/>
    <mergeCell ref="E3:H3"/>
    <mergeCell ref="I3:L3"/>
    <mergeCell ref="M3:P3"/>
    <mergeCell ref="Q3:T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81"/>
  <sheetViews>
    <sheetView workbookViewId="0">
      <selection sqref="A1:E1"/>
    </sheetView>
  </sheetViews>
  <sheetFormatPr baseColWidth="10" defaultRowHeight="11.25" x14ac:dyDescent="0.2"/>
  <cols>
    <col min="1" max="1" width="59" style="87" customWidth="1"/>
    <col min="2" max="3" width="13.7109375" style="89" customWidth="1"/>
    <col min="4" max="4" width="12.85546875" style="89" customWidth="1"/>
    <col min="5" max="5" width="16.85546875" style="87" customWidth="1"/>
    <col min="6" max="6" width="17" style="87" customWidth="1"/>
    <col min="7" max="7" width="12.140625" style="87" bestFit="1" customWidth="1"/>
    <col min="8" max="8" width="4.7109375" style="87" customWidth="1"/>
    <col min="9" max="9" width="18.85546875" style="87" customWidth="1"/>
    <col min="10" max="10" width="12" style="87" bestFit="1" customWidth="1"/>
    <col min="11" max="15" width="11.42578125" style="87"/>
    <col min="16" max="16" width="13" style="87" bestFit="1" customWidth="1"/>
    <col min="17" max="244" width="11.42578125" style="87"/>
    <col min="245" max="245" width="37.5703125" style="87" customWidth="1"/>
    <col min="246" max="258" width="0" style="87" hidden="1" customWidth="1"/>
    <col min="259" max="259" width="13.7109375" style="87" customWidth="1"/>
    <col min="260" max="260" width="12.85546875" style="87" customWidth="1"/>
    <col min="261" max="261" width="16.85546875" style="87" customWidth="1"/>
    <col min="262" max="262" width="17" style="87" customWidth="1"/>
    <col min="263" max="263" width="12.140625" style="87" bestFit="1" customWidth="1"/>
    <col min="264" max="264" width="4.7109375" style="87" customWidth="1"/>
    <col min="265" max="265" width="18.85546875" style="87" customWidth="1"/>
    <col min="266" max="266" width="12" style="87" bestFit="1" customWidth="1"/>
    <col min="267" max="271" width="11.42578125" style="87"/>
    <col min="272" max="272" width="13" style="87" bestFit="1" customWidth="1"/>
    <col min="273" max="500" width="11.42578125" style="87"/>
    <col min="501" max="501" width="37.5703125" style="87" customWidth="1"/>
    <col min="502" max="514" width="0" style="87" hidden="1" customWidth="1"/>
    <col min="515" max="515" width="13.7109375" style="87" customWidth="1"/>
    <col min="516" max="516" width="12.85546875" style="87" customWidth="1"/>
    <col min="517" max="517" width="16.85546875" style="87" customWidth="1"/>
    <col min="518" max="518" width="17" style="87" customWidth="1"/>
    <col min="519" max="519" width="12.140625" style="87" bestFit="1" customWidth="1"/>
    <col min="520" max="520" width="4.7109375" style="87" customWidth="1"/>
    <col min="521" max="521" width="18.85546875" style="87" customWidth="1"/>
    <col min="522" max="522" width="12" style="87" bestFit="1" customWidth="1"/>
    <col min="523" max="527" width="11.42578125" style="87"/>
    <col min="528" max="528" width="13" style="87" bestFit="1" customWidth="1"/>
    <col min="529" max="756" width="11.42578125" style="87"/>
    <col min="757" max="757" width="37.5703125" style="87" customWidth="1"/>
    <col min="758" max="770" width="0" style="87" hidden="1" customWidth="1"/>
    <col min="771" max="771" width="13.7109375" style="87" customWidth="1"/>
    <col min="772" max="772" width="12.85546875" style="87" customWidth="1"/>
    <col min="773" max="773" width="16.85546875" style="87" customWidth="1"/>
    <col min="774" max="774" width="17" style="87" customWidth="1"/>
    <col min="775" max="775" width="12.140625" style="87" bestFit="1" customWidth="1"/>
    <col min="776" max="776" width="4.7109375" style="87" customWidth="1"/>
    <col min="777" max="777" width="18.85546875" style="87" customWidth="1"/>
    <col min="778" max="778" width="12" style="87" bestFit="1" customWidth="1"/>
    <col min="779" max="783" width="11.42578125" style="87"/>
    <col min="784" max="784" width="13" style="87" bestFit="1" customWidth="1"/>
    <col min="785" max="1012" width="11.42578125" style="87"/>
    <col min="1013" max="1013" width="37.5703125" style="87" customWidth="1"/>
    <col min="1014" max="1026" width="0" style="87" hidden="1" customWidth="1"/>
    <col min="1027" max="1027" width="13.7109375" style="87" customWidth="1"/>
    <col min="1028" max="1028" width="12.85546875" style="87" customWidth="1"/>
    <col min="1029" max="1029" width="16.85546875" style="87" customWidth="1"/>
    <col min="1030" max="1030" width="17" style="87" customWidth="1"/>
    <col min="1031" max="1031" width="12.140625" style="87" bestFit="1" customWidth="1"/>
    <col min="1032" max="1032" width="4.7109375" style="87" customWidth="1"/>
    <col min="1033" max="1033" width="18.85546875" style="87" customWidth="1"/>
    <col min="1034" max="1034" width="12" style="87" bestFit="1" customWidth="1"/>
    <col min="1035" max="1039" width="11.42578125" style="87"/>
    <col min="1040" max="1040" width="13" style="87" bestFit="1" customWidth="1"/>
    <col min="1041" max="1268" width="11.42578125" style="87"/>
    <col min="1269" max="1269" width="37.5703125" style="87" customWidth="1"/>
    <col min="1270" max="1282" width="0" style="87" hidden="1" customWidth="1"/>
    <col min="1283" max="1283" width="13.7109375" style="87" customWidth="1"/>
    <col min="1284" max="1284" width="12.85546875" style="87" customWidth="1"/>
    <col min="1285" max="1285" width="16.85546875" style="87" customWidth="1"/>
    <col min="1286" max="1286" width="17" style="87" customWidth="1"/>
    <col min="1287" max="1287" width="12.140625" style="87" bestFit="1" customWidth="1"/>
    <col min="1288" max="1288" width="4.7109375" style="87" customWidth="1"/>
    <col min="1289" max="1289" width="18.85546875" style="87" customWidth="1"/>
    <col min="1290" max="1290" width="12" style="87" bestFit="1" customWidth="1"/>
    <col min="1291" max="1295" width="11.42578125" style="87"/>
    <col min="1296" max="1296" width="13" style="87" bestFit="1" customWidth="1"/>
    <col min="1297" max="1524" width="11.42578125" style="87"/>
    <col min="1525" max="1525" width="37.5703125" style="87" customWidth="1"/>
    <col min="1526" max="1538" width="0" style="87" hidden="1" customWidth="1"/>
    <col min="1539" max="1539" width="13.7109375" style="87" customWidth="1"/>
    <col min="1540" max="1540" width="12.85546875" style="87" customWidth="1"/>
    <col min="1541" max="1541" width="16.85546875" style="87" customWidth="1"/>
    <col min="1542" max="1542" width="17" style="87" customWidth="1"/>
    <col min="1543" max="1543" width="12.140625" style="87" bestFit="1" customWidth="1"/>
    <col min="1544" max="1544" width="4.7109375" style="87" customWidth="1"/>
    <col min="1545" max="1545" width="18.85546875" style="87" customWidth="1"/>
    <col min="1546" max="1546" width="12" style="87" bestFit="1" customWidth="1"/>
    <col min="1547" max="1551" width="11.42578125" style="87"/>
    <col min="1552" max="1552" width="13" style="87" bestFit="1" customWidth="1"/>
    <col min="1553" max="1780" width="11.42578125" style="87"/>
    <col min="1781" max="1781" width="37.5703125" style="87" customWidth="1"/>
    <col min="1782" max="1794" width="0" style="87" hidden="1" customWidth="1"/>
    <col min="1795" max="1795" width="13.7109375" style="87" customWidth="1"/>
    <col min="1796" max="1796" width="12.85546875" style="87" customWidth="1"/>
    <col min="1797" max="1797" width="16.85546875" style="87" customWidth="1"/>
    <col min="1798" max="1798" width="17" style="87" customWidth="1"/>
    <col min="1799" max="1799" width="12.140625" style="87" bestFit="1" customWidth="1"/>
    <col min="1800" max="1800" width="4.7109375" style="87" customWidth="1"/>
    <col min="1801" max="1801" width="18.85546875" style="87" customWidth="1"/>
    <col min="1802" max="1802" width="12" style="87" bestFit="1" customWidth="1"/>
    <col min="1803" max="1807" width="11.42578125" style="87"/>
    <col min="1808" max="1808" width="13" style="87" bestFit="1" customWidth="1"/>
    <col min="1809" max="2036" width="11.42578125" style="87"/>
    <col min="2037" max="2037" width="37.5703125" style="87" customWidth="1"/>
    <col min="2038" max="2050" width="0" style="87" hidden="1" customWidth="1"/>
    <col min="2051" max="2051" width="13.7109375" style="87" customWidth="1"/>
    <col min="2052" max="2052" width="12.85546875" style="87" customWidth="1"/>
    <col min="2053" max="2053" width="16.85546875" style="87" customWidth="1"/>
    <col min="2054" max="2054" width="17" style="87" customWidth="1"/>
    <col min="2055" max="2055" width="12.140625" style="87" bestFit="1" customWidth="1"/>
    <col min="2056" max="2056" width="4.7109375" style="87" customWidth="1"/>
    <col min="2057" max="2057" width="18.85546875" style="87" customWidth="1"/>
    <col min="2058" max="2058" width="12" style="87" bestFit="1" customWidth="1"/>
    <col min="2059" max="2063" width="11.42578125" style="87"/>
    <col min="2064" max="2064" width="13" style="87" bestFit="1" customWidth="1"/>
    <col min="2065" max="2292" width="11.42578125" style="87"/>
    <col min="2293" max="2293" width="37.5703125" style="87" customWidth="1"/>
    <col min="2294" max="2306" width="0" style="87" hidden="1" customWidth="1"/>
    <col min="2307" max="2307" width="13.7109375" style="87" customWidth="1"/>
    <col min="2308" max="2308" width="12.85546875" style="87" customWidth="1"/>
    <col min="2309" max="2309" width="16.85546875" style="87" customWidth="1"/>
    <col min="2310" max="2310" width="17" style="87" customWidth="1"/>
    <col min="2311" max="2311" width="12.140625" style="87" bestFit="1" customWidth="1"/>
    <col min="2312" max="2312" width="4.7109375" style="87" customWidth="1"/>
    <col min="2313" max="2313" width="18.85546875" style="87" customWidth="1"/>
    <col min="2314" max="2314" width="12" style="87" bestFit="1" customWidth="1"/>
    <col min="2315" max="2319" width="11.42578125" style="87"/>
    <col min="2320" max="2320" width="13" style="87" bestFit="1" customWidth="1"/>
    <col min="2321" max="2548" width="11.42578125" style="87"/>
    <col min="2549" max="2549" width="37.5703125" style="87" customWidth="1"/>
    <col min="2550" max="2562" width="0" style="87" hidden="1" customWidth="1"/>
    <col min="2563" max="2563" width="13.7109375" style="87" customWidth="1"/>
    <col min="2564" max="2564" width="12.85546875" style="87" customWidth="1"/>
    <col min="2565" max="2565" width="16.85546875" style="87" customWidth="1"/>
    <col min="2566" max="2566" width="17" style="87" customWidth="1"/>
    <col min="2567" max="2567" width="12.140625" style="87" bestFit="1" customWidth="1"/>
    <col min="2568" max="2568" width="4.7109375" style="87" customWidth="1"/>
    <col min="2569" max="2569" width="18.85546875" style="87" customWidth="1"/>
    <col min="2570" max="2570" width="12" style="87" bestFit="1" customWidth="1"/>
    <col min="2571" max="2575" width="11.42578125" style="87"/>
    <col min="2576" max="2576" width="13" style="87" bestFit="1" customWidth="1"/>
    <col min="2577" max="2804" width="11.42578125" style="87"/>
    <col min="2805" max="2805" width="37.5703125" style="87" customWidth="1"/>
    <col min="2806" max="2818" width="0" style="87" hidden="1" customWidth="1"/>
    <col min="2819" max="2819" width="13.7109375" style="87" customWidth="1"/>
    <col min="2820" max="2820" width="12.85546875" style="87" customWidth="1"/>
    <col min="2821" max="2821" width="16.85546875" style="87" customWidth="1"/>
    <col min="2822" max="2822" width="17" style="87" customWidth="1"/>
    <col min="2823" max="2823" width="12.140625" style="87" bestFit="1" customWidth="1"/>
    <col min="2824" max="2824" width="4.7109375" style="87" customWidth="1"/>
    <col min="2825" max="2825" width="18.85546875" style="87" customWidth="1"/>
    <col min="2826" max="2826" width="12" style="87" bestFit="1" customWidth="1"/>
    <col min="2827" max="2831" width="11.42578125" style="87"/>
    <col min="2832" max="2832" width="13" style="87" bestFit="1" customWidth="1"/>
    <col min="2833" max="3060" width="11.42578125" style="87"/>
    <col min="3061" max="3061" width="37.5703125" style="87" customWidth="1"/>
    <col min="3062" max="3074" width="0" style="87" hidden="1" customWidth="1"/>
    <col min="3075" max="3075" width="13.7109375" style="87" customWidth="1"/>
    <col min="3076" max="3076" width="12.85546875" style="87" customWidth="1"/>
    <col min="3077" max="3077" width="16.85546875" style="87" customWidth="1"/>
    <col min="3078" max="3078" width="17" style="87" customWidth="1"/>
    <col min="3079" max="3079" width="12.140625" style="87" bestFit="1" customWidth="1"/>
    <col min="3080" max="3080" width="4.7109375" style="87" customWidth="1"/>
    <col min="3081" max="3081" width="18.85546875" style="87" customWidth="1"/>
    <col min="3082" max="3082" width="12" style="87" bestFit="1" customWidth="1"/>
    <col min="3083" max="3087" width="11.42578125" style="87"/>
    <col min="3088" max="3088" width="13" style="87" bestFit="1" customWidth="1"/>
    <col min="3089" max="3316" width="11.42578125" style="87"/>
    <col min="3317" max="3317" width="37.5703125" style="87" customWidth="1"/>
    <col min="3318" max="3330" width="0" style="87" hidden="1" customWidth="1"/>
    <col min="3331" max="3331" width="13.7109375" style="87" customWidth="1"/>
    <col min="3332" max="3332" width="12.85546875" style="87" customWidth="1"/>
    <col min="3333" max="3333" width="16.85546875" style="87" customWidth="1"/>
    <col min="3334" max="3334" width="17" style="87" customWidth="1"/>
    <col min="3335" max="3335" width="12.140625" style="87" bestFit="1" customWidth="1"/>
    <col min="3336" max="3336" width="4.7109375" style="87" customWidth="1"/>
    <col min="3337" max="3337" width="18.85546875" style="87" customWidth="1"/>
    <col min="3338" max="3338" width="12" style="87" bestFit="1" customWidth="1"/>
    <col min="3339" max="3343" width="11.42578125" style="87"/>
    <col min="3344" max="3344" width="13" style="87" bestFit="1" customWidth="1"/>
    <col min="3345" max="3572" width="11.42578125" style="87"/>
    <col min="3573" max="3573" width="37.5703125" style="87" customWidth="1"/>
    <col min="3574" max="3586" width="0" style="87" hidden="1" customWidth="1"/>
    <col min="3587" max="3587" width="13.7109375" style="87" customWidth="1"/>
    <col min="3588" max="3588" width="12.85546875" style="87" customWidth="1"/>
    <col min="3589" max="3589" width="16.85546875" style="87" customWidth="1"/>
    <col min="3590" max="3590" width="17" style="87" customWidth="1"/>
    <col min="3591" max="3591" width="12.140625" style="87" bestFit="1" customWidth="1"/>
    <col min="3592" max="3592" width="4.7109375" style="87" customWidth="1"/>
    <col min="3593" max="3593" width="18.85546875" style="87" customWidth="1"/>
    <col min="3594" max="3594" width="12" style="87" bestFit="1" customWidth="1"/>
    <col min="3595" max="3599" width="11.42578125" style="87"/>
    <col min="3600" max="3600" width="13" style="87" bestFit="1" customWidth="1"/>
    <col min="3601" max="3828" width="11.42578125" style="87"/>
    <col min="3829" max="3829" width="37.5703125" style="87" customWidth="1"/>
    <col min="3830" max="3842" width="0" style="87" hidden="1" customWidth="1"/>
    <col min="3843" max="3843" width="13.7109375" style="87" customWidth="1"/>
    <col min="3844" max="3844" width="12.85546875" style="87" customWidth="1"/>
    <col min="3845" max="3845" width="16.85546875" style="87" customWidth="1"/>
    <col min="3846" max="3846" width="17" style="87" customWidth="1"/>
    <col min="3847" max="3847" width="12.140625" style="87" bestFit="1" customWidth="1"/>
    <col min="3848" max="3848" width="4.7109375" style="87" customWidth="1"/>
    <col min="3849" max="3849" width="18.85546875" style="87" customWidth="1"/>
    <col min="3850" max="3850" width="12" style="87" bestFit="1" customWidth="1"/>
    <col min="3851" max="3855" width="11.42578125" style="87"/>
    <col min="3856" max="3856" width="13" style="87" bestFit="1" customWidth="1"/>
    <col min="3857" max="4084" width="11.42578125" style="87"/>
    <col min="4085" max="4085" width="37.5703125" style="87" customWidth="1"/>
    <col min="4086" max="4098" width="0" style="87" hidden="1" customWidth="1"/>
    <col min="4099" max="4099" width="13.7109375" style="87" customWidth="1"/>
    <col min="4100" max="4100" width="12.85546875" style="87" customWidth="1"/>
    <col min="4101" max="4101" width="16.85546875" style="87" customWidth="1"/>
    <col min="4102" max="4102" width="17" style="87" customWidth="1"/>
    <col min="4103" max="4103" width="12.140625" style="87" bestFit="1" customWidth="1"/>
    <col min="4104" max="4104" width="4.7109375" style="87" customWidth="1"/>
    <col min="4105" max="4105" width="18.85546875" style="87" customWidth="1"/>
    <col min="4106" max="4106" width="12" style="87" bestFit="1" customWidth="1"/>
    <col min="4107" max="4111" width="11.42578125" style="87"/>
    <col min="4112" max="4112" width="13" style="87" bestFit="1" customWidth="1"/>
    <col min="4113" max="4340" width="11.42578125" style="87"/>
    <col min="4341" max="4341" width="37.5703125" style="87" customWidth="1"/>
    <col min="4342" max="4354" width="0" style="87" hidden="1" customWidth="1"/>
    <col min="4355" max="4355" width="13.7109375" style="87" customWidth="1"/>
    <col min="4356" max="4356" width="12.85546875" style="87" customWidth="1"/>
    <col min="4357" max="4357" width="16.85546875" style="87" customWidth="1"/>
    <col min="4358" max="4358" width="17" style="87" customWidth="1"/>
    <col min="4359" max="4359" width="12.140625" style="87" bestFit="1" customWidth="1"/>
    <col min="4360" max="4360" width="4.7109375" style="87" customWidth="1"/>
    <col min="4361" max="4361" width="18.85546875" style="87" customWidth="1"/>
    <col min="4362" max="4362" width="12" style="87" bestFit="1" customWidth="1"/>
    <col min="4363" max="4367" width="11.42578125" style="87"/>
    <col min="4368" max="4368" width="13" style="87" bestFit="1" customWidth="1"/>
    <col min="4369" max="4596" width="11.42578125" style="87"/>
    <col min="4597" max="4597" width="37.5703125" style="87" customWidth="1"/>
    <col min="4598" max="4610" width="0" style="87" hidden="1" customWidth="1"/>
    <col min="4611" max="4611" width="13.7109375" style="87" customWidth="1"/>
    <col min="4612" max="4612" width="12.85546875" style="87" customWidth="1"/>
    <col min="4613" max="4613" width="16.85546875" style="87" customWidth="1"/>
    <col min="4614" max="4614" width="17" style="87" customWidth="1"/>
    <col min="4615" max="4615" width="12.140625" style="87" bestFit="1" customWidth="1"/>
    <col min="4616" max="4616" width="4.7109375" style="87" customWidth="1"/>
    <col min="4617" max="4617" width="18.85546875" style="87" customWidth="1"/>
    <col min="4618" max="4618" width="12" style="87" bestFit="1" customWidth="1"/>
    <col min="4619" max="4623" width="11.42578125" style="87"/>
    <col min="4624" max="4624" width="13" style="87" bestFit="1" customWidth="1"/>
    <col min="4625" max="4852" width="11.42578125" style="87"/>
    <col min="4853" max="4853" width="37.5703125" style="87" customWidth="1"/>
    <col min="4854" max="4866" width="0" style="87" hidden="1" customWidth="1"/>
    <col min="4867" max="4867" width="13.7109375" style="87" customWidth="1"/>
    <col min="4868" max="4868" width="12.85546875" style="87" customWidth="1"/>
    <col min="4869" max="4869" width="16.85546875" style="87" customWidth="1"/>
    <col min="4870" max="4870" width="17" style="87" customWidth="1"/>
    <col min="4871" max="4871" width="12.140625" style="87" bestFit="1" customWidth="1"/>
    <col min="4872" max="4872" width="4.7109375" style="87" customWidth="1"/>
    <col min="4873" max="4873" width="18.85546875" style="87" customWidth="1"/>
    <col min="4874" max="4874" width="12" style="87" bestFit="1" customWidth="1"/>
    <col min="4875" max="4879" width="11.42578125" style="87"/>
    <col min="4880" max="4880" width="13" style="87" bestFit="1" customWidth="1"/>
    <col min="4881" max="5108" width="11.42578125" style="87"/>
    <col min="5109" max="5109" width="37.5703125" style="87" customWidth="1"/>
    <col min="5110" max="5122" width="0" style="87" hidden="1" customWidth="1"/>
    <col min="5123" max="5123" width="13.7109375" style="87" customWidth="1"/>
    <col min="5124" max="5124" width="12.85546875" style="87" customWidth="1"/>
    <col min="5125" max="5125" width="16.85546875" style="87" customWidth="1"/>
    <col min="5126" max="5126" width="17" style="87" customWidth="1"/>
    <col min="5127" max="5127" width="12.140625" style="87" bestFit="1" customWidth="1"/>
    <col min="5128" max="5128" width="4.7109375" style="87" customWidth="1"/>
    <col min="5129" max="5129" width="18.85546875" style="87" customWidth="1"/>
    <col min="5130" max="5130" width="12" style="87" bestFit="1" customWidth="1"/>
    <col min="5131" max="5135" width="11.42578125" style="87"/>
    <col min="5136" max="5136" width="13" style="87" bestFit="1" customWidth="1"/>
    <col min="5137" max="5364" width="11.42578125" style="87"/>
    <col min="5365" max="5365" width="37.5703125" style="87" customWidth="1"/>
    <col min="5366" max="5378" width="0" style="87" hidden="1" customWidth="1"/>
    <col min="5379" max="5379" width="13.7109375" style="87" customWidth="1"/>
    <col min="5380" max="5380" width="12.85546875" style="87" customWidth="1"/>
    <col min="5381" max="5381" width="16.85546875" style="87" customWidth="1"/>
    <col min="5382" max="5382" width="17" style="87" customWidth="1"/>
    <col min="5383" max="5383" width="12.140625" style="87" bestFit="1" customWidth="1"/>
    <col min="5384" max="5384" width="4.7109375" style="87" customWidth="1"/>
    <col min="5385" max="5385" width="18.85546875" style="87" customWidth="1"/>
    <col min="5386" max="5386" width="12" style="87" bestFit="1" customWidth="1"/>
    <col min="5387" max="5391" width="11.42578125" style="87"/>
    <col min="5392" max="5392" width="13" style="87" bestFit="1" customWidth="1"/>
    <col min="5393" max="5620" width="11.42578125" style="87"/>
    <col min="5621" max="5621" width="37.5703125" style="87" customWidth="1"/>
    <col min="5622" max="5634" width="0" style="87" hidden="1" customWidth="1"/>
    <col min="5635" max="5635" width="13.7109375" style="87" customWidth="1"/>
    <col min="5636" max="5636" width="12.85546875" style="87" customWidth="1"/>
    <col min="5637" max="5637" width="16.85546875" style="87" customWidth="1"/>
    <col min="5638" max="5638" width="17" style="87" customWidth="1"/>
    <col min="5639" max="5639" width="12.140625" style="87" bestFit="1" customWidth="1"/>
    <col min="5640" max="5640" width="4.7109375" style="87" customWidth="1"/>
    <col min="5641" max="5641" width="18.85546875" style="87" customWidth="1"/>
    <col min="5642" max="5642" width="12" style="87" bestFit="1" customWidth="1"/>
    <col min="5643" max="5647" width="11.42578125" style="87"/>
    <col min="5648" max="5648" width="13" style="87" bestFit="1" customWidth="1"/>
    <col min="5649" max="5876" width="11.42578125" style="87"/>
    <col min="5877" max="5877" width="37.5703125" style="87" customWidth="1"/>
    <col min="5878" max="5890" width="0" style="87" hidden="1" customWidth="1"/>
    <col min="5891" max="5891" width="13.7109375" style="87" customWidth="1"/>
    <col min="5892" max="5892" width="12.85546875" style="87" customWidth="1"/>
    <col min="5893" max="5893" width="16.85546875" style="87" customWidth="1"/>
    <col min="5894" max="5894" width="17" style="87" customWidth="1"/>
    <col min="5895" max="5895" width="12.140625" style="87" bestFit="1" customWidth="1"/>
    <col min="5896" max="5896" width="4.7109375" style="87" customWidth="1"/>
    <col min="5897" max="5897" width="18.85546875" style="87" customWidth="1"/>
    <col min="5898" max="5898" width="12" style="87" bestFit="1" customWidth="1"/>
    <col min="5899" max="5903" width="11.42578125" style="87"/>
    <col min="5904" max="5904" width="13" style="87" bestFit="1" customWidth="1"/>
    <col min="5905" max="6132" width="11.42578125" style="87"/>
    <col min="6133" max="6133" width="37.5703125" style="87" customWidth="1"/>
    <col min="6134" max="6146" width="0" style="87" hidden="1" customWidth="1"/>
    <col min="6147" max="6147" width="13.7109375" style="87" customWidth="1"/>
    <col min="6148" max="6148" width="12.85546875" style="87" customWidth="1"/>
    <col min="6149" max="6149" width="16.85546875" style="87" customWidth="1"/>
    <col min="6150" max="6150" width="17" style="87" customWidth="1"/>
    <col min="6151" max="6151" width="12.140625" style="87" bestFit="1" customWidth="1"/>
    <col min="6152" max="6152" width="4.7109375" style="87" customWidth="1"/>
    <col min="6153" max="6153" width="18.85546875" style="87" customWidth="1"/>
    <col min="6154" max="6154" width="12" style="87" bestFit="1" customWidth="1"/>
    <col min="6155" max="6159" width="11.42578125" style="87"/>
    <col min="6160" max="6160" width="13" style="87" bestFit="1" customWidth="1"/>
    <col min="6161" max="6388" width="11.42578125" style="87"/>
    <col min="6389" max="6389" width="37.5703125" style="87" customWidth="1"/>
    <col min="6390" max="6402" width="0" style="87" hidden="1" customWidth="1"/>
    <col min="6403" max="6403" width="13.7109375" style="87" customWidth="1"/>
    <col min="6404" max="6404" width="12.85546875" style="87" customWidth="1"/>
    <col min="6405" max="6405" width="16.85546875" style="87" customWidth="1"/>
    <col min="6406" max="6406" width="17" style="87" customWidth="1"/>
    <col min="6407" max="6407" width="12.140625" style="87" bestFit="1" customWidth="1"/>
    <col min="6408" max="6408" width="4.7109375" style="87" customWidth="1"/>
    <col min="6409" max="6409" width="18.85546875" style="87" customWidth="1"/>
    <col min="6410" max="6410" width="12" style="87" bestFit="1" customWidth="1"/>
    <col min="6411" max="6415" width="11.42578125" style="87"/>
    <col min="6416" max="6416" width="13" style="87" bestFit="1" customWidth="1"/>
    <col min="6417" max="6644" width="11.42578125" style="87"/>
    <col min="6645" max="6645" width="37.5703125" style="87" customWidth="1"/>
    <col min="6646" max="6658" width="0" style="87" hidden="1" customWidth="1"/>
    <col min="6659" max="6659" width="13.7109375" style="87" customWidth="1"/>
    <col min="6660" max="6660" width="12.85546875" style="87" customWidth="1"/>
    <col min="6661" max="6661" width="16.85546875" style="87" customWidth="1"/>
    <col min="6662" max="6662" width="17" style="87" customWidth="1"/>
    <col min="6663" max="6663" width="12.140625" style="87" bestFit="1" customWidth="1"/>
    <col min="6664" max="6664" width="4.7109375" style="87" customWidth="1"/>
    <col min="6665" max="6665" width="18.85546875" style="87" customWidth="1"/>
    <col min="6666" max="6666" width="12" style="87" bestFit="1" customWidth="1"/>
    <col min="6667" max="6671" width="11.42578125" style="87"/>
    <col min="6672" max="6672" width="13" style="87" bestFit="1" customWidth="1"/>
    <col min="6673" max="6900" width="11.42578125" style="87"/>
    <col min="6901" max="6901" width="37.5703125" style="87" customWidth="1"/>
    <col min="6902" max="6914" width="0" style="87" hidden="1" customWidth="1"/>
    <col min="6915" max="6915" width="13.7109375" style="87" customWidth="1"/>
    <col min="6916" max="6916" width="12.85546875" style="87" customWidth="1"/>
    <col min="6917" max="6917" width="16.85546875" style="87" customWidth="1"/>
    <col min="6918" max="6918" width="17" style="87" customWidth="1"/>
    <col min="6919" max="6919" width="12.140625" style="87" bestFit="1" customWidth="1"/>
    <col min="6920" max="6920" width="4.7109375" style="87" customWidth="1"/>
    <col min="6921" max="6921" width="18.85546875" style="87" customWidth="1"/>
    <col min="6922" max="6922" width="12" style="87" bestFit="1" customWidth="1"/>
    <col min="6923" max="6927" width="11.42578125" style="87"/>
    <col min="6928" max="6928" width="13" style="87" bestFit="1" customWidth="1"/>
    <col min="6929" max="7156" width="11.42578125" style="87"/>
    <col min="7157" max="7157" width="37.5703125" style="87" customWidth="1"/>
    <col min="7158" max="7170" width="0" style="87" hidden="1" customWidth="1"/>
    <col min="7171" max="7171" width="13.7109375" style="87" customWidth="1"/>
    <col min="7172" max="7172" width="12.85546875" style="87" customWidth="1"/>
    <col min="7173" max="7173" width="16.85546875" style="87" customWidth="1"/>
    <col min="7174" max="7174" width="17" style="87" customWidth="1"/>
    <col min="7175" max="7175" width="12.140625" style="87" bestFit="1" customWidth="1"/>
    <col min="7176" max="7176" width="4.7109375" style="87" customWidth="1"/>
    <col min="7177" max="7177" width="18.85546875" style="87" customWidth="1"/>
    <col min="7178" max="7178" width="12" style="87" bestFit="1" customWidth="1"/>
    <col min="7179" max="7183" width="11.42578125" style="87"/>
    <col min="7184" max="7184" width="13" style="87" bestFit="1" customWidth="1"/>
    <col min="7185" max="7412" width="11.42578125" style="87"/>
    <col min="7413" max="7413" width="37.5703125" style="87" customWidth="1"/>
    <col min="7414" max="7426" width="0" style="87" hidden="1" customWidth="1"/>
    <col min="7427" max="7427" width="13.7109375" style="87" customWidth="1"/>
    <col min="7428" max="7428" width="12.85546875" style="87" customWidth="1"/>
    <col min="7429" max="7429" width="16.85546875" style="87" customWidth="1"/>
    <col min="7430" max="7430" width="17" style="87" customWidth="1"/>
    <col min="7431" max="7431" width="12.140625" style="87" bestFit="1" customWidth="1"/>
    <col min="7432" max="7432" width="4.7109375" style="87" customWidth="1"/>
    <col min="7433" max="7433" width="18.85546875" style="87" customWidth="1"/>
    <col min="7434" max="7434" width="12" style="87" bestFit="1" customWidth="1"/>
    <col min="7435" max="7439" width="11.42578125" style="87"/>
    <col min="7440" max="7440" width="13" style="87" bestFit="1" customWidth="1"/>
    <col min="7441" max="7668" width="11.42578125" style="87"/>
    <col min="7669" max="7669" width="37.5703125" style="87" customWidth="1"/>
    <col min="7670" max="7682" width="0" style="87" hidden="1" customWidth="1"/>
    <col min="7683" max="7683" width="13.7109375" style="87" customWidth="1"/>
    <col min="7684" max="7684" width="12.85546875" style="87" customWidth="1"/>
    <col min="7685" max="7685" width="16.85546875" style="87" customWidth="1"/>
    <col min="7686" max="7686" width="17" style="87" customWidth="1"/>
    <col min="7687" max="7687" width="12.140625" style="87" bestFit="1" customWidth="1"/>
    <col min="7688" max="7688" width="4.7109375" style="87" customWidth="1"/>
    <col min="7689" max="7689" width="18.85546875" style="87" customWidth="1"/>
    <col min="7690" max="7690" width="12" style="87" bestFit="1" customWidth="1"/>
    <col min="7691" max="7695" width="11.42578125" style="87"/>
    <col min="7696" max="7696" width="13" style="87" bestFit="1" customWidth="1"/>
    <col min="7697" max="7924" width="11.42578125" style="87"/>
    <col min="7925" max="7925" width="37.5703125" style="87" customWidth="1"/>
    <col min="7926" max="7938" width="0" style="87" hidden="1" customWidth="1"/>
    <col min="7939" max="7939" width="13.7109375" style="87" customWidth="1"/>
    <col min="7940" max="7940" width="12.85546875" style="87" customWidth="1"/>
    <col min="7941" max="7941" width="16.85546875" style="87" customWidth="1"/>
    <col min="7942" max="7942" width="17" style="87" customWidth="1"/>
    <col min="7943" max="7943" width="12.140625" style="87" bestFit="1" customWidth="1"/>
    <col min="7944" max="7944" width="4.7109375" style="87" customWidth="1"/>
    <col min="7945" max="7945" width="18.85546875" style="87" customWidth="1"/>
    <col min="7946" max="7946" width="12" style="87" bestFit="1" customWidth="1"/>
    <col min="7947" max="7951" width="11.42578125" style="87"/>
    <col min="7952" max="7952" width="13" style="87" bestFit="1" customWidth="1"/>
    <col min="7953" max="8180" width="11.42578125" style="87"/>
    <col min="8181" max="8181" width="37.5703125" style="87" customWidth="1"/>
    <col min="8182" max="8194" width="0" style="87" hidden="1" customWidth="1"/>
    <col min="8195" max="8195" width="13.7109375" style="87" customWidth="1"/>
    <col min="8196" max="8196" width="12.85546875" style="87" customWidth="1"/>
    <col min="8197" max="8197" width="16.85546875" style="87" customWidth="1"/>
    <col min="8198" max="8198" width="17" style="87" customWidth="1"/>
    <col min="8199" max="8199" width="12.140625" style="87" bestFit="1" customWidth="1"/>
    <col min="8200" max="8200" width="4.7109375" style="87" customWidth="1"/>
    <col min="8201" max="8201" width="18.85546875" style="87" customWidth="1"/>
    <col min="8202" max="8202" width="12" style="87" bestFit="1" customWidth="1"/>
    <col min="8203" max="8207" width="11.42578125" style="87"/>
    <col min="8208" max="8208" width="13" style="87" bestFit="1" customWidth="1"/>
    <col min="8209" max="8436" width="11.42578125" style="87"/>
    <col min="8437" max="8437" width="37.5703125" style="87" customWidth="1"/>
    <col min="8438" max="8450" width="0" style="87" hidden="1" customWidth="1"/>
    <col min="8451" max="8451" width="13.7109375" style="87" customWidth="1"/>
    <col min="8452" max="8452" width="12.85546875" style="87" customWidth="1"/>
    <col min="8453" max="8453" width="16.85546875" style="87" customWidth="1"/>
    <col min="8454" max="8454" width="17" style="87" customWidth="1"/>
    <col min="8455" max="8455" width="12.140625" style="87" bestFit="1" customWidth="1"/>
    <col min="8456" max="8456" width="4.7109375" style="87" customWidth="1"/>
    <col min="8457" max="8457" width="18.85546875" style="87" customWidth="1"/>
    <col min="8458" max="8458" width="12" style="87" bestFit="1" customWidth="1"/>
    <col min="8459" max="8463" width="11.42578125" style="87"/>
    <col min="8464" max="8464" width="13" style="87" bestFit="1" customWidth="1"/>
    <col min="8465" max="8692" width="11.42578125" style="87"/>
    <col min="8693" max="8693" width="37.5703125" style="87" customWidth="1"/>
    <col min="8694" max="8706" width="0" style="87" hidden="1" customWidth="1"/>
    <col min="8707" max="8707" width="13.7109375" style="87" customWidth="1"/>
    <col min="8708" max="8708" width="12.85546875" style="87" customWidth="1"/>
    <col min="8709" max="8709" width="16.85546875" style="87" customWidth="1"/>
    <col min="8710" max="8710" width="17" style="87" customWidth="1"/>
    <col min="8711" max="8711" width="12.140625" style="87" bestFit="1" customWidth="1"/>
    <col min="8712" max="8712" width="4.7109375" style="87" customWidth="1"/>
    <col min="8713" max="8713" width="18.85546875" style="87" customWidth="1"/>
    <col min="8714" max="8714" width="12" style="87" bestFit="1" customWidth="1"/>
    <col min="8715" max="8719" width="11.42578125" style="87"/>
    <col min="8720" max="8720" width="13" style="87" bestFit="1" customWidth="1"/>
    <col min="8721" max="8948" width="11.42578125" style="87"/>
    <col min="8949" max="8949" width="37.5703125" style="87" customWidth="1"/>
    <col min="8950" max="8962" width="0" style="87" hidden="1" customWidth="1"/>
    <col min="8963" max="8963" width="13.7109375" style="87" customWidth="1"/>
    <col min="8964" max="8964" width="12.85546875" style="87" customWidth="1"/>
    <col min="8965" max="8965" width="16.85546875" style="87" customWidth="1"/>
    <col min="8966" max="8966" width="17" style="87" customWidth="1"/>
    <col min="8967" max="8967" width="12.140625" style="87" bestFit="1" customWidth="1"/>
    <col min="8968" max="8968" width="4.7109375" style="87" customWidth="1"/>
    <col min="8969" max="8969" width="18.85546875" style="87" customWidth="1"/>
    <col min="8970" max="8970" width="12" style="87" bestFit="1" customWidth="1"/>
    <col min="8971" max="8975" width="11.42578125" style="87"/>
    <col min="8976" max="8976" width="13" style="87" bestFit="1" customWidth="1"/>
    <col min="8977" max="9204" width="11.42578125" style="87"/>
    <col min="9205" max="9205" width="37.5703125" style="87" customWidth="1"/>
    <col min="9206" max="9218" width="0" style="87" hidden="1" customWidth="1"/>
    <col min="9219" max="9219" width="13.7109375" style="87" customWidth="1"/>
    <col min="9220" max="9220" width="12.85546875" style="87" customWidth="1"/>
    <col min="9221" max="9221" width="16.85546875" style="87" customWidth="1"/>
    <col min="9222" max="9222" width="17" style="87" customWidth="1"/>
    <col min="9223" max="9223" width="12.140625" style="87" bestFit="1" customWidth="1"/>
    <col min="9224" max="9224" width="4.7109375" style="87" customWidth="1"/>
    <col min="9225" max="9225" width="18.85546875" style="87" customWidth="1"/>
    <col min="9226" max="9226" width="12" style="87" bestFit="1" customWidth="1"/>
    <col min="9227" max="9231" width="11.42578125" style="87"/>
    <col min="9232" max="9232" width="13" style="87" bestFit="1" customWidth="1"/>
    <col min="9233" max="9460" width="11.42578125" style="87"/>
    <col min="9461" max="9461" width="37.5703125" style="87" customWidth="1"/>
    <col min="9462" max="9474" width="0" style="87" hidden="1" customWidth="1"/>
    <col min="9475" max="9475" width="13.7109375" style="87" customWidth="1"/>
    <col min="9476" max="9476" width="12.85546875" style="87" customWidth="1"/>
    <col min="9477" max="9477" width="16.85546875" style="87" customWidth="1"/>
    <col min="9478" max="9478" width="17" style="87" customWidth="1"/>
    <col min="9479" max="9479" width="12.140625" style="87" bestFit="1" customWidth="1"/>
    <col min="9480" max="9480" width="4.7109375" style="87" customWidth="1"/>
    <col min="9481" max="9481" width="18.85546875" style="87" customWidth="1"/>
    <col min="9482" max="9482" width="12" style="87" bestFit="1" customWidth="1"/>
    <col min="9483" max="9487" width="11.42578125" style="87"/>
    <col min="9488" max="9488" width="13" style="87" bestFit="1" customWidth="1"/>
    <col min="9489" max="9716" width="11.42578125" style="87"/>
    <col min="9717" max="9717" width="37.5703125" style="87" customWidth="1"/>
    <col min="9718" max="9730" width="0" style="87" hidden="1" customWidth="1"/>
    <col min="9731" max="9731" width="13.7109375" style="87" customWidth="1"/>
    <col min="9732" max="9732" width="12.85546875" style="87" customWidth="1"/>
    <col min="9733" max="9733" width="16.85546875" style="87" customWidth="1"/>
    <col min="9734" max="9734" width="17" style="87" customWidth="1"/>
    <col min="9735" max="9735" width="12.140625" style="87" bestFit="1" customWidth="1"/>
    <col min="9736" max="9736" width="4.7109375" style="87" customWidth="1"/>
    <col min="9737" max="9737" width="18.85546875" style="87" customWidth="1"/>
    <col min="9738" max="9738" width="12" style="87" bestFit="1" customWidth="1"/>
    <col min="9739" max="9743" width="11.42578125" style="87"/>
    <col min="9744" max="9744" width="13" style="87" bestFit="1" customWidth="1"/>
    <col min="9745" max="9972" width="11.42578125" style="87"/>
    <col min="9973" max="9973" width="37.5703125" style="87" customWidth="1"/>
    <col min="9974" max="9986" width="0" style="87" hidden="1" customWidth="1"/>
    <col min="9987" max="9987" width="13.7109375" style="87" customWidth="1"/>
    <col min="9988" max="9988" width="12.85546875" style="87" customWidth="1"/>
    <col min="9989" max="9989" width="16.85546875" style="87" customWidth="1"/>
    <col min="9990" max="9990" width="17" style="87" customWidth="1"/>
    <col min="9991" max="9991" width="12.140625" style="87" bestFit="1" customWidth="1"/>
    <col min="9992" max="9992" width="4.7109375" style="87" customWidth="1"/>
    <col min="9993" max="9993" width="18.85546875" style="87" customWidth="1"/>
    <col min="9994" max="9994" width="12" style="87" bestFit="1" customWidth="1"/>
    <col min="9995" max="9999" width="11.42578125" style="87"/>
    <col min="10000" max="10000" width="13" style="87" bestFit="1" customWidth="1"/>
    <col min="10001" max="10228" width="11.42578125" style="87"/>
    <col min="10229" max="10229" width="37.5703125" style="87" customWidth="1"/>
    <col min="10230" max="10242" width="0" style="87" hidden="1" customWidth="1"/>
    <col min="10243" max="10243" width="13.7109375" style="87" customWidth="1"/>
    <col min="10244" max="10244" width="12.85546875" style="87" customWidth="1"/>
    <col min="10245" max="10245" width="16.85546875" style="87" customWidth="1"/>
    <col min="10246" max="10246" width="17" style="87" customWidth="1"/>
    <col min="10247" max="10247" width="12.140625" style="87" bestFit="1" customWidth="1"/>
    <col min="10248" max="10248" width="4.7109375" style="87" customWidth="1"/>
    <col min="10249" max="10249" width="18.85546875" style="87" customWidth="1"/>
    <col min="10250" max="10250" width="12" style="87" bestFit="1" customWidth="1"/>
    <col min="10251" max="10255" width="11.42578125" style="87"/>
    <col min="10256" max="10256" width="13" style="87" bestFit="1" customWidth="1"/>
    <col min="10257" max="10484" width="11.42578125" style="87"/>
    <col min="10485" max="10485" width="37.5703125" style="87" customWidth="1"/>
    <col min="10486" max="10498" width="0" style="87" hidden="1" customWidth="1"/>
    <col min="10499" max="10499" width="13.7109375" style="87" customWidth="1"/>
    <col min="10500" max="10500" width="12.85546875" style="87" customWidth="1"/>
    <col min="10501" max="10501" width="16.85546875" style="87" customWidth="1"/>
    <col min="10502" max="10502" width="17" style="87" customWidth="1"/>
    <col min="10503" max="10503" width="12.140625" style="87" bestFit="1" customWidth="1"/>
    <col min="10504" max="10504" width="4.7109375" style="87" customWidth="1"/>
    <col min="10505" max="10505" width="18.85546875" style="87" customWidth="1"/>
    <col min="10506" max="10506" width="12" style="87" bestFit="1" customWidth="1"/>
    <col min="10507" max="10511" width="11.42578125" style="87"/>
    <col min="10512" max="10512" width="13" style="87" bestFit="1" customWidth="1"/>
    <col min="10513" max="10740" width="11.42578125" style="87"/>
    <col min="10741" max="10741" width="37.5703125" style="87" customWidth="1"/>
    <col min="10742" max="10754" width="0" style="87" hidden="1" customWidth="1"/>
    <col min="10755" max="10755" width="13.7109375" style="87" customWidth="1"/>
    <col min="10756" max="10756" width="12.85546875" style="87" customWidth="1"/>
    <col min="10757" max="10757" width="16.85546875" style="87" customWidth="1"/>
    <col min="10758" max="10758" width="17" style="87" customWidth="1"/>
    <col min="10759" max="10759" width="12.140625" style="87" bestFit="1" customWidth="1"/>
    <col min="10760" max="10760" width="4.7109375" style="87" customWidth="1"/>
    <col min="10761" max="10761" width="18.85546875" style="87" customWidth="1"/>
    <col min="10762" max="10762" width="12" style="87" bestFit="1" customWidth="1"/>
    <col min="10763" max="10767" width="11.42578125" style="87"/>
    <col min="10768" max="10768" width="13" style="87" bestFit="1" customWidth="1"/>
    <col min="10769" max="10996" width="11.42578125" style="87"/>
    <col min="10997" max="10997" width="37.5703125" style="87" customWidth="1"/>
    <col min="10998" max="11010" width="0" style="87" hidden="1" customWidth="1"/>
    <col min="11011" max="11011" width="13.7109375" style="87" customWidth="1"/>
    <col min="11012" max="11012" width="12.85546875" style="87" customWidth="1"/>
    <col min="11013" max="11013" width="16.85546875" style="87" customWidth="1"/>
    <col min="11014" max="11014" width="17" style="87" customWidth="1"/>
    <col min="11015" max="11015" width="12.140625" style="87" bestFit="1" customWidth="1"/>
    <col min="11016" max="11016" width="4.7109375" style="87" customWidth="1"/>
    <col min="11017" max="11017" width="18.85546875" style="87" customWidth="1"/>
    <col min="11018" max="11018" width="12" style="87" bestFit="1" customWidth="1"/>
    <col min="11019" max="11023" width="11.42578125" style="87"/>
    <col min="11024" max="11024" width="13" style="87" bestFit="1" customWidth="1"/>
    <col min="11025" max="11252" width="11.42578125" style="87"/>
    <col min="11253" max="11253" width="37.5703125" style="87" customWidth="1"/>
    <col min="11254" max="11266" width="0" style="87" hidden="1" customWidth="1"/>
    <col min="11267" max="11267" width="13.7109375" style="87" customWidth="1"/>
    <col min="11268" max="11268" width="12.85546875" style="87" customWidth="1"/>
    <col min="11269" max="11269" width="16.85546875" style="87" customWidth="1"/>
    <col min="11270" max="11270" width="17" style="87" customWidth="1"/>
    <col min="11271" max="11271" width="12.140625" style="87" bestFit="1" customWidth="1"/>
    <col min="11272" max="11272" width="4.7109375" style="87" customWidth="1"/>
    <col min="11273" max="11273" width="18.85546875" style="87" customWidth="1"/>
    <col min="11274" max="11274" width="12" style="87" bestFit="1" customWidth="1"/>
    <col min="11275" max="11279" width="11.42578125" style="87"/>
    <col min="11280" max="11280" width="13" style="87" bestFit="1" customWidth="1"/>
    <col min="11281" max="11508" width="11.42578125" style="87"/>
    <col min="11509" max="11509" width="37.5703125" style="87" customWidth="1"/>
    <col min="11510" max="11522" width="0" style="87" hidden="1" customWidth="1"/>
    <col min="11523" max="11523" width="13.7109375" style="87" customWidth="1"/>
    <col min="11524" max="11524" width="12.85546875" style="87" customWidth="1"/>
    <col min="11525" max="11525" width="16.85546875" style="87" customWidth="1"/>
    <col min="11526" max="11526" width="17" style="87" customWidth="1"/>
    <col min="11527" max="11527" width="12.140625" style="87" bestFit="1" customWidth="1"/>
    <col min="11528" max="11528" width="4.7109375" style="87" customWidth="1"/>
    <col min="11529" max="11529" width="18.85546875" style="87" customWidth="1"/>
    <col min="11530" max="11530" width="12" style="87" bestFit="1" customWidth="1"/>
    <col min="11531" max="11535" width="11.42578125" style="87"/>
    <col min="11536" max="11536" width="13" style="87" bestFit="1" customWidth="1"/>
    <col min="11537" max="11764" width="11.42578125" style="87"/>
    <col min="11765" max="11765" width="37.5703125" style="87" customWidth="1"/>
    <col min="11766" max="11778" width="0" style="87" hidden="1" customWidth="1"/>
    <col min="11779" max="11779" width="13.7109375" style="87" customWidth="1"/>
    <col min="11780" max="11780" width="12.85546875" style="87" customWidth="1"/>
    <col min="11781" max="11781" width="16.85546875" style="87" customWidth="1"/>
    <col min="11782" max="11782" width="17" style="87" customWidth="1"/>
    <col min="11783" max="11783" width="12.140625" style="87" bestFit="1" customWidth="1"/>
    <col min="11784" max="11784" width="4.7109375" style="87" customWidth="1"/>
    <col min="11785" max="11785" width="18.85546875" style="87" customWidth="1"/>
    <col min="11786" max="11786" width="12" style="87" bestFit="1" customWidth="1"/>
    <col min="11787" max="11791" width="11.42578125" style="87"/>
    <col min="11792" max="11792" width="13" style="87" bestFit="1" customWidth="1"/>
    <col min="11793" max="12020" width="11.42578125" style="87"/>
    <col min="12021" max="12021" width="37.5703125" style="87" customWidth="1"/>
    <col min="12022" max="12034" width="0" style="87" hidden="1" customWidth="1"/>
    <col min="12035" max="12035" width="13.7109375" style="87" customWidth="1"/>
    <col min="12036" max="12036" width="12.85546875" style="87" customWidth="1"/>
    <col min="12037" max="12037" width="16.85546875" style="87" customWidth="1"/>
    <col min="12038" max="12038" width="17" style="87" customWidth="1"/>
    <col min="12039" max="12039" width="12.140625" style="87" bestFit="1" customWidth="1"/>
    <col min="12040" max="12040" width="4.7109375" style="87" customWidth="1"/>
    <col min="12041" max="12041" width="18.85546875" style="87" customWidth="1"/>
    <col min="12042" max="12042" width="12" style="87" bestFit="1" customWidth="1"/>
    <col min="12043" max="12047" width="11.42578125" style="87"/>
    <col min="12048" max="12048" width="13" style="87" bestFit="1" customWidth="1"/>
    <col min="12049" max="12276" width="11.42578125" style="87"/>
    <col min="12277" max="12277" width="37.5703125" style="87" customWidth="1"/>
    <col min="12278" max="12290" width="0" style="87" hidden="1" customWidth="1"/>
    <col min="12291" max="12291" width="13.7109375" style="87" customWidth="1"/>
    <col min="12292" max="12292" width="12.85546875" style="87" customWidth="1"/>
    <col min="12293" max="12293" width="16.85546875" style="87" customWidth="1"/>
    <col min="12294" max="12294" width="17" style="87" customWidth="1"/>
    <col min="12295" max="12295" width="12.140625" style="87" bestFit="1" customWidth="1"/>
    <col min="12296" max="12296" width="4.7109375" style="87" customWidth="1"/>
    <col min="12297" max="12297" width="18.85546875" style="87" customWidth="1"/>
    <col min="12298" max="12298" width="12" style="87" bestFit="1" customWidth="1"/>
    <col min="12299" max="12303" width="11.42578125" style="87"/>
    <col min="12304" max="12304" width="13" style="87" bestFit="1" customWidth="1"/>
    <col min="12305" max="12532" width="11.42578125" style="87"/>
    <col min="12533" max="12533" width="37.5703125" style="87" customWidth="1"/>
    <col min="12534" max="12546" width="0" style="87" hidden="1" customWidth="1"/>
    <col min="12547" max="12547" width="13.7109375" style="87" customWidth="1"/>
    <col min="12548" max="12548" width="12.85546875" style="87" customWidth="1"/>
    <col min="12549" max="12549" width="16.85546875" style="87" customWidth="1"/>
    <col min="12550" max="12550" width="17" style="87" customWidth="1"/>
    <col min="12551" max="12551" width="12.140625" style="87" bestFit="1" customWidth="1"/>
    <col min="12552" max="12552" width="4.7109375" style="87" customWidth="1"/>
    <col min="12553" max="12553" width="18.85546875" style="87" customWidth="1"/>
    <col min="12554" max="12554" width="12" style="87" bestFit="1" customWidth="1"/>
    <col min="12555" max="12559" width="11.42578125" style="87"/>
    <col min="12560" max="12560" width="13" style="87" bestFit="1" customWidth="1"/>
    <col min="12561" max="12788" width="11.42578125" style="87"/>
    <col min="12789" max="12789" width="37.5703125" style="87" customWidth="1"/>
    <col min="12790" max="12802" width="0" style="87" hidden="1" customWidth="1"/>
    <col min="12803" max="12803" width="13.7109375" style="87" customWidth="1"/>
    <col min="12804" max="12804" width="12.85546875" style="87" customWidth="1"/>
    <col min="12805" max="12805" width="16.85546875" style="87" customWidth="1"/>
    <col min="12806" max="12806" width="17" style="87" customWidth="1"/>
    <col min="12807" max="12807" width="12.140625" style="87" bestFit="1" customWidth="1"/>
    <col min="12808" max="12808" width="4.7109375" style="87" customWidth="1"/>
    <col min="12809" max="12809" width="18.85546875" style="87" customWidth="1"/>
    <col min="12810" max="12810" width="12" style="87" bestFit="1" customWidth="1"/>
    <col min="12811" max="12815" width="11.42578125" style="87"/>
    <col min="12816" max="12816" width="13" style="87" bestFit="1" customWidth="1"/>
    <col min="12817" max="13044" width="11.42578125" style="87"/>
    <col min="13045" max="13045" width="37.5703125" style="87" customWidth="1"/>
    <col min="13046" max="13058" width="0" style="87" hidden="1" customWidth="1"/>
    <col min="13059" max="13059" width="13.7109375" style="87" customWidth="1"/>
    <col min="13060" max="13060" width="12.85546875" style="87" customWidth="1"/>
    <col min="13061" max="13061" width="16.85546875" style="87" customWidth="1"/>
    <col min="13062" max="13062" width="17" style="87" customWidth="1"/>
    <col min="13063" max="13063" width="12.140625" style="87" bestFit="1" customWidth="1"/>
    <col min="13064" max="13064" width="4.7109375" style="87" customWidth="1"/>
    <col min="13065" max="13065" width="18.85546875" style="87" customWidth="1"/>
    <col min="13066" max="13066" width="12" style="87" bestFit="1" customWidth="1"/>
    <col min="13067" max="13071" width="11.42578125" style="87"/>
    <col min="13072" max="13072" width="13" style="87" bestFit="1" customWidth="1"/>
    <col min="13073" max="13300" width="11.42578125" style="87"/>
    <col min="13301" max="13301" width="37.5703125" style="87" customWidth="1"/>
    <col min="13302" max="13314" width="0" style="87" hidden="1" customWidth="1"/>
    <col min="13315" max="13315" width="13.7109375" style="87" customWidth="1"/>
    <col min="13316" max="13316" width="12.85546875" style="87" customWidth="1"/>
    <col min="13317" max="13317" width="16.85546875" style="87" customWidth="1"/>
    <col min="13318" max="13318" width="17" style="87" customWidth="1"/>
    <col min="13319" max="13319" width="12.140625" style="87" bestFit="1" customWidth="1"/>
    <col min="13320" max="13320" width="4.7109375" style="87" customWidth="1"/>
    <col min="13321" max="13321" width="18.85546875" style="87" customWidth="1"/>
    <col min="13322" max="13322" width="12" style="87" bestFit="1" customWidth="1"/>
    <col min="13323" max="13327" width="11.42578125" style="87"/>
    <col min="13328" max="13328" width="13" style="87" bestFit="1" customWidth="1"/>
    <col min="13329" max="13556" width="11.42578125" style="87"/>
    <col min="13557" max="13557" width="37.5703125" style="87" customWidth="1"/>
    <col min="13558" max="13570" width="0" style="87" hidden="1" customWidth="1"/>
    <col min="13571" max="13571" width="13.7109375" style="87" customWidth="1"/>
    <col min="13572" max="13572" width="12.85546875" style="87" customWidth="1"/>
    <col min="13573" max="13573" width="16.85546875" style="87" customWidth="1"/>
    <col min="13574" max="13574" width="17" style="87" customWidth="1"/>
    <col min="13575" max="13575" width="12.140625" style="87" bestFit="1" customWidth="1"/>
    <col min="13576" max="13576" width="4.7109375" style="87" customWidth="1"/>
    <col min="13577" max="13577" width="18.85546875" style="87" customWidth="1"/>
    <col min="13578" max="13578" width="12" style="87" bestFit="1" customWidth="1"/>
    <col min="13579" max="13583" width="11.42578125" style="87"/>
    <col min="13584" max="13584" width="13" style="87" bestFit="1" customWidth="1"/>
    <col min="13585" max="13812" width="11.42578125" style="87"/>
    <col min="13813" max="13813" width="37.5703125" style="87" customWidth="1"/>
    <col min="13814" max="13826" width="0" style="87" hidden="1" customWidth="1"/>
    <col min="13827" max="13827" width="13.7109375" style="87" customWidth="1"/>
    <col min="13828" max="13828" width="12.85546875" style="87" customWidth="1"/>
    <col min="13829" max="13829" width="16.85546875" style="87" customWidth="1"/>
    <col min="13830" max="13830" width="17" style="87" customWidth="1"/>
    <col min="13831" max="13831" width="12.140625" style="87" bestFit="1" customWidth="1"/>
    <col min="13832" max="13832" width="4.7109375" style="87" customWidth="1"/>
    <col min="13833" max="13833" width="18.85546875" style="87" customWidth="1"/>
    <col min="13834" max="13834" width="12" style="87" bestFit="1" customWidth="1"/>
    <col min="13835" max="13839" width="11.42578125" style="87"/>
    <col min="13840" max="13840" width="13" style="87" bestFit="1" customWidth="1"/>
    <col min="13841" max="14068" width="11.42578125" style="87"/>
    <col min="14069" max="14069" width="37.5703125" style="87" customWidth="1"/>
    <col min="14070" max="14082" width="0" style="87" hidden="1" customWidth="1"/>
    <col min="14083" max="14083" width="13.7109375" style="87" customWidth="1"/>
    <col min="14084" max="14084" width="12.85546875" style="87" customWidth="1"/>
    <col min="14085" max="14085" width="16.85546875" style="87" customWidth="1"/>
    <col min="14086" max="14086" width="17" style="87" customWidth="1"/>
    <col min="14087" max="14087" width="12.140625" style="87" bestFit="1" customWidth="1"/>
    <col min="14088" max="14088" width="4.7109375" style="87" customWidth="1"/>
    <col min="14089" max="14089" width="18.85546875" style="87" customWidth="1"/>
    <col min="14090" max="14090" width="12" style="87" bestFit="1" customWidth="1"/>
    <col min="14091" max="14095" width="11.42578125" style="87"/>
    <col min="14096" max="14096" width="13" style="87" bestFit="1" customWidth="1"/>
    <col min="14097" max="14324" width="11.42578125" style="87"/>
    <col min="14325" max="14325" width="37.5703125" style="87" customWidth="1"/>
    <col min="14326" max="14338" width="0" style="87" hidden="1" customWidth="1"/>
    <col min="14339" max="14339" width="13.7109375" style="87" customWidth="1"/>
    <col min="14340" max="14340" width="12.85546875" style="87" customWidth="1"/>
    <col min="14341" max="14341" width="16.85546875" style="87" customWidth="1"/>
    <col min="14342" max="14342" width="17" style="87" customWidth="1"/>
    <col min="14343" max="14343" width="12.140625" style="87" bestFit="1" customWidth="1"/>
    <col min="14344" max="14344" width="4.7109375" style="87" customWidth="1"/>
    <col min="14345" max="14345" width="18.85546875" style="87" customWidth="1"/>
    <col min="14346" max="14346" width="12" style="87" bestFit="1" customWidth="1"/>
    <col min="14347" max="14351" width="11.42578125" style="87"/>
    <col min="14352" max="14352" width="13" style="87" bestFit="1" customWidth="1"/>
    <col min="14353" max="14580" width="11.42578125" style="87"/>
    <col min="14581" max="14581" width="37.5703125" style="87" customWidth="1"/>
    <col min="14582" max="14594" width="0" style="87" hidden="1" customWidth="1"/>
    <col min="14595" max="14595" width="13.7109375" style="87" customWidth="1"/>
    <col min="14596" max="14596" width="12.85546875" style="87" customWidth="1"/>
    <col min="14597" max="14597" width="16.85546875" style="87" customWidth="1"/>
    <col min="14598" max="14598" width="17" style="87" customWidth="1"/>
    <col min="14599" max="14599" width="12.140625" style="87" bestFit="1" customWidth="1"/>
    <col min="14600" max="14600" width="4.7109375" style="87" customWidth="1"/>
    <col min="14601" max="14601" width="18.85546875" style="87" customWidth="1"/>
    <col min="14602" max="14602" width="12" style="87" bestFit="1" customWidth="1"/>
    <col min="14603" max="14607" width="11.42578125" style="87"/>
    <col min="14608" max="14608" width="13" style="87" bestFit="1" customWidth="1"/>
    <col min="14609" max="14836" width="11.42578125" style="87"/>
    <col min="14837" max="14837" width="37.5703125" style="87" customWidth="1"/>
    <col min="14838" max="14850" width="0" style="87" hidden="1" customWidth="1"/>
    <col min="14851" max="14851" width="13.7109375" style="87" customWidth="1"/>
    <col min="14852" max="14852" width="12.85546875" style="87" customWidth="1"/>
    <col min="14853" max="14853" width="16.85546875" style="87" customWidth="1"/>
    <col min="14854" max="14854" width="17" style="87" customWidth="1"/>
    <col min="14855" max="14855" width="12.140625" style="87" bestFit="1" customWidth="1"/>
    <col min="14856" max="14856" width="4.7109375" style="87" customWidth="1"/>
    <col min="14857" max="14857" width="18.85546875" style="87" customWidth="1"/>
    <col min="14858" max="14858" width="12" style="87" bestFit="1" customWidth="1"/>
    <col min="14859" max="14863" width="11.42578125" style="87"/>
    <col min="14864" max="14864" width="13" style="87" bestFit="1" customWidth="1"/>
    <col min="14865" max="15092" width="11.42578125" style="87"/>
    <col min="15093" max="15093" width="37.5703125" style="87" customWidth="1"/>
    <col min="15094" max="15106" width="0" style="87" hidden="1" customWidth="1"/>
    <col min="15107" max="15107" width="13.7109375" style="87" customWidth="1"/>
    <col min="15108" max="15108" width="12.85546875" style="87" customWidth="1"/>
    <col min="15109" max="15109" width="16.85546875" style="87" customWidth="1"/>
    <col min="15110" max="15110" width="17" style="87" customWidth="1"/>
    <col min="15111" max="15111" width="12.140625" style="87" bestFit="1" customWidth="1"/>
    <col min="15112" max="15112" width="4.7109375" style="87" customWidth="1"/>
    <col min="15113" max="15113" width="18.85546875" style="87" customWidth="1"/>
    <col min="15114" max="15114" width="12" style="87" bestFit="1" customWidth="1"/>
    <col min="15115" max="15119" width="11.42578125" style="87"/>
    <col min="15120" max="15120" width="13" style="87" bestFit="1" customWidth="1"/>
    <col min="15121" max="15348" width="11.42578125" style="87"/>
    <col min="15349" max="15349" width="37.5703125" style="87" customWidth="1"/>
    <col min="15350" max="15362" width="0" style="87" hidden="1" customWidth="1"/>
    <col min="15363" max="15363" width="13.7109375" style="87" customWidth="1"/>
    <col min="15364" max="15364" width="12.85546875" style="87" customWidth="1"/>
    <col min="15365" max="15365" width="16.85546875" style="87" customWidth="1"/>
    <col min="15366" max="15366" width="17" style="87" customWidth="1"/>
    <col min="15367" max="15367" width="12.140625" style="87" bestFit="1" customWidth="1"/>
    <col min="15368" max="15368" width="4.7109375" style="87" customWidth="1"/>
    <col min="15369" max="15369" width="18.85546875" style="87" customWidth="1"/>
    <col min="15370" max="15370" width="12" style="87" bestFit="1" customWidth="1"/>
    <col min="15371" max="15375" width="11.42578125" style="87"/>
    <col min="15376" max="15376" width="13" style="87" bestFit="1" customWidth="1"/>
    <col min="15377" max="15604" width="11.42578125" style="87"/>
    <col min="15605" max="15605" width="37.5703125" style="87" customWidth="1"/>
    <col min="15606" max="15618" width="0" style="87" hidden="1" customWidth="1"/>
    <col min="15619" max="15619" width="13.7109375" style="87" customWidth="1"/>
    <col min="15620" max="15620" width="12.85546875" style="87" customWidth="1"/>
    <col min="15621" max="15621" width="16.85546875" style="87" customWidth="1"/>
    <col min="15622" max="15622" width="17" style="87" customWidth="1"/>
    <col min="15623" max="15623" width="12.140625" style="87" bestFit="1" customWidth="1"/>
    <col min="15624" max="15624" width="4.7109375" style="87" customWidth="1"/>
    <col min="15625" max="15625" width="18.85546875" style="87" customWidth="1"/>
    <col min="15626" max="15626" width="12" style="87" bestFit="1" customWidth="1"/>
    <col min="15627" max="15631" width="11.42578125" style="87"/>
    <col min="15632" max="15632" width="13" style="87" bestFit="1" customWidth="1"/>
    <col min="15633" max="15860" width="11.42578125" style="87"/>
    <col min="15861" max="15861" width="37.5703125" style="87" customWidth="1"/>
    <col min="15862" max="15874" width="0" style="87" hidden="1" customWidth="1"/>
    <col min="15875" max="15875" width="13.7109375" style="87" customWidth="1"/>
    <col min="15876" max="15876" width="12.85546875" style="87" customWidth="1"/>
    <col min="15877" max="15877" width="16.85546875" style="87" customWidth="1"/>
    <col min="15878" max="15878" width="17" style="87" customWidth="1"/>
    <col min="15879" max="15879" width="12.140625" style="87" bestFit="1" customWidth="1"/>
    <col min="15880" max="15880" width="4.7109375" style="87" customWidth="1"/>
    <col min="15881" max="15881" width="18.85546875" style="87" customWidth="1"/>
    <col min="15882" max="15882" width="12" style="87" bestFit="1" customWidth="1"/>
    <col min="15883" max="15887" width="11.42578125" style="87"/>
    <col min="15888" max="15888" width="13" style="87" bestFit="1" customWidth="1"/>
    <col min="15889" max="16116" width="11.42578125" style="87"/>
    <col min="16117" max="16117" width="37.5703125" style="87" customWidth="1"/>
    <col min="16118" max="16130" width="0" style="87" hidden="1" customWidth="1"/>
    <col min="16131" max="16131" width="13.7109375" style="87" customWidth="1"/>
    <col min="16132" max="16132" width="12.85546875" style="87" customWidth="1"/>
    <col min="16133" max="16133" width="16.85546875" style="87" customWidth="1"/>
    <col min="16134" max="16134" width="17" style="87" customWidth="1"/>
    <col min="16135" max="16135" width="12.140625" style="87" bestFit="1" customWidth="1"/>
    <col min="16136" max="16136" width="4.7109375" style="87" customWidth="1"/>
    <col min="16137" max="16137" width="18.85546875" style="87" customWidth="1"/>
    <col min="16138" max="16138" width="12" style="87" bestFit="1" customWidth="1"/>
    <col min="16139" max="16143" width="11.42578125" style="87"/>
    <col min="16144" max="16144" width="13" style="87" bestFit="1" customWidth="1"/>
    <col min="16145" max="16384" width="11.42578125" style="87"/>
  </cols>
  <sheetData>
    <row r="1" spans="1:8" ht="13.5" customHeight="1" x14ac:dyDescent="0.2">
      <c r="A1" s="655" t="s">
        <v>12</v>
      </c>
      <c r="B1" s="655"/>
      <c r="C1" s="655"/>
      <c r="D1" s="655"/>
      <c r="E1" s="655"/>
    </row>
    <row r="2" spans="1:8" x14ac:dyDescent="0.2">
      <c r="A2" s="655" t="s">
        <v>54</v>
      </c>
      <c r="B2" s="655"/>
      <c r="C2" s="655"/>
      <c r="D2" s="655"/>
      <c r="E2" s="655"/>
    </row>
    <row r="3" spans="1:8" x14ac:dyDescent="0.2">
      <c r="A3" s="88" t="s">
        <v>55</v>
      </c>
      <c r="D3" s="90" t="s">
        <v>56</v>
      </c>
      <c r="E3" s="91">
        <v>3.1800000000000002E-2</v>
      </c>
      <c r="F3" s="89"/>
    </row>
    <row r="4" spans="1:8" x14ac:dyDescent="0.2">
      <c r="A4" s="88" t="s">
        <v>57</v>
      </c>
      <c r="D4" s="90" t="s">
        <v>58</v>
      </c>
      <c r="E4" s="91">
        <v>0.04</v>
      </c>
      <c r="F4" s="89"/>
    </row>
    <row r="5" spans="1:8" x14ac:dyDescent="0.2">
      <c r="A5" s="88" t="s">
        <v>59</v>
      </c>
      <c r="E5" s="89"/>
      <c r="F5" s="89"/>
    </row>
    <row r="6" spans="1:8" x14ac:dyDescent="0.2">
      <c r="A6" s="88" t="s">
        <v>60</v>
      </c>
      <c r="E6" s="89"/>
      <c r="F6" s="89"/>
    </row>
    <row r="7" spans="1:8" x14ac:dyDescent="0.2">
      <c r="A7" s="88" t="s">
        <v>61</v>
      </c>
      <c r="E7" s="89"/>
      <c r="F7" s="89"/>
    </row>
    <row r="8" spans="1:8" x14ac:dyDescent="0.2">
      <c r="A8" s="88"/>
      <c r="E8" s="89"/>
      <c r="F8" s="89"/>
    </row>
    <row r="9" spans="1:8" x14ac:dyDescent="0.2">
      <c r="A9" s="88"/>
      <c r="E9" s="89"/>
      <c r="F9" s="89"/>
    </row>
    <row r="10" spans="1:8" x14ac:dyDescent="0.2">
      <c r="A10" s="88"/>
      <c r="E10" s="89"/>
      <c r="F10" s="89"/>
    </row>
    <row r="11" spans="1:8" x14ac:dyDescent="0.2">
      <c r="A11" s="88"/>
      <c r="E11" s="89"/>
      <c r="F11" s="89"/>
    </row>
    <row r="12" spans="1:8" x14ac:dyDescent="0.2">
      <c r="A12" s="88"/>
      <c r="E12" s="89"/>
      <c r="F12" s="89"/>
    </row>
    <row r="13" spans="1:8" x14ac:dyDescent="0.2">
      <c r="A13" s="88"/>
      <c r="E13" s="89"/>
      <c r="F13" s="89"/>
    </row>
    <row r="14" spans="1:8" s="92" customFormat="1" ht="12.75" x14ac:dyDescent="0.2">
      <c r="A14" s="612" t="s">
        <v>62</v>
      </c>
      <c r="B14" s="613"/>
      <c r="C14" s="613"/>
      <c r="D14" s="613"/>
      <c r="E14" s="614"/>
    </row>
    <row r="15" spans="1:8" ht="55.5" customHeight="1" x14ac:dyDescent="0.2">
      <c r="A15" s="93" t="s">
        <v>63</v>
      </c>
      <c r="B15" s="95" t="s">
        <v>65</v>
      </c>
      <c r="C15" s="95"/>
      <c r="D15" s="94" t="s">
        <v>66</v>
      </c>
      <c r="E15" s="96" t="s">
        <v>64</v>
      </c>
    </row>
    <row r="16" spans="1:8" ht="21.75" customHeight="1" x14ac:dyDescent="0.2">
      <c r="A16" s="97" t="s">
        <v>67</v>
      </c>
      <c r="B16" s="100">
        <v>2000.42</v>
      </c>
      <c r="C16" s="100"/>
      <c r="D16" s="100" t="s">
        <v>68</v>
      </c>
      <c r="E16" s="101"/>
      <c r="F16" s="102"/>
      <c r="G16" s="103"/>
      <c r="H16" s="104"/>
    </row>
    <row r="17" spans="1:6" ht="21.75" customHeight="1" x14ac:dyDescent="0.2">
      <c r="A17" s="97" t="s">
        <v>69</v>
      </c>
      <c r="B17" s="100">
        <v>10000</v>
      </c>
      <c r="C17" s="100"/>
      <c r="D17" s="100" t="s">
        <v>68</v>
      </c>
      <c r="E17" s="105"/>
      <c r="F17" s="102"/>
    </row>
    <row r="18" spans="1:6" ht="21.75" customHeight="1" x14ac:dyDescent="0.2">
      <c r="A18" s="97" t="s">
        <v>70</v>
      </c>
      <c r="B18" s="100">
        <v>1950</v>
      </c>
      <c r="C18" s="100"/>
      <c r="D18" s="100" t="s">
        <v>68</v>
      </c>
      <c r="E18" s="101"/>
      <c r="F18" s="102"/>
    </row>
    <row r="19" spans="1:6" ht="21.75" customHeight="1" x14ac:dyDescent="0.2">
      <c r="A19" s="97" t="s">
        <v>71</v>
      </c>
      <c r="B19" s="100">
        <v>1949.604</v>
      </c>
      <c r="C19" s="100"/>
      <c r="D19" s="100" t="s">
        <v>68</v>
      </c>
      <c r="E19" s="101"/>
      <c r="F19" s="102"/>
    </row>
    <row r="20" spans="1:6" ht="21.75" customHeight="1" x14ac:dyDescent="0.2">
      <c r="A20" s="97" t="s">
        <v>72</v>
      </c>
      <c r="B20" s="100">
        <v>15000</v>
      </c>
      <c r="C20" s="100"/>
      <c r="D20" s="100" t="s">
        <v>68</v>
      </c>
      <c r="E20" s="101"/>
      <c r="F20" s="102"/>
    </row>
    <row r="21" spans="1:6" ht="21.75" customHeight="1" x14ac:dyDescent="0.2">
      <c r="A21" s="97" t="s">
        <v>73</v>
      </c>
      <c r="B21" s="100">
        <v>5400.36</v>
      </c>
      <c r="C21" s="100"/>
      <c r="D21" s="100" t="s">
        <v>68</v>
      </c>
      <c r="E21" s="101"/>
      <c r="F21" s="102"/>
    </row>
    <row r="22" spans="1:6" ht="21.75" customHeight="1" x14ac:dyDescent="0.2">
      <c r="A22" s="97" t="s">
        <v>74</v>
      </c>
      <c r="B22" s="100">
        <v>2000.42</v>
      </c>
      <c r="C22" s="100"/>
      <c r="D22" s="100" t="s">
        <v>68</v>
      </c>
      <c r="E22" s="105"/>
      <c r="F22" s="102"/>
    </row>
    <row r="23" spans="1:6" ht="21.75" customHeight="1" x14ac:dyDescent="0.2">
      <c r="A23" s="101" t="s">
        <v>75</v>
      </c>
      <c r="B23" s="100">
        <v>2500</v>
      </c>
      <c r="C23" s="100"/>
      <c r="D23" s="100" t="s">
        <v>68</v>
      </c>
      <c r="E23" s="105"/>
      <c r="F23" s="102"/>
    </row>
    <row r="24" spans="1:6" ht="21.75" customHeight="1" x14ac:dyDescent="0.2">
      <c r="A24" s="97" t="s">
        <v>76</v>
      </c>
      <c r="B24" s="100">
        <v>11399.8</v>
      </c>
      <c r="C24" s="100"/>
      <c r="D24" s="100" t="s">
        <v>68</v>
      </c>
      <c r="E24" s="101" t="s">
        <v>77</v>
      </c>
      <c r="F24" s="102"/>
    </row>
    <row r="25" spans="1:6" ht="21.75" customHeight="1" x14ac:dyDescent="0.2">
      <c r="A25" s="97" t="s">
        <v>78</v>
      </c>
      <c r="B25" s="100">
        <v>9000</v>
      </c>
      <c r="C25" s="100"/>
      <c r="D25" s="100" t="s">
        <v>68</v>
      </c>
      <c r="E25" s="101"/>
      <c r="F25" s="102"/>
    </row>
    <row r="26" spans="1:6" ht="21.75" customHeight="1" x14ac:dyDescent="0.2">
      <c r="A26" s="97" t="s">
        <v>79</v>
      </c>
      <c r="B26" s="100">
        <v>29300.12</v>
      </c>
      <c r="C26" s="100"/>
      <c r="D26" s="100">
        <v>30000</v>
      </c>
      <c r="E26" s="101" t="s">
        <v>80</v>
      </c>
      <c r="F26" s="102"/>
    </row>
    <row r="27" spans="1:6" s="88" customFormat="1" ht="21.75" customHeight="1" x14ac:dyDescent="0.2">
      <c r="A27" s="97" t="s">
        <v>81</v>
      </c>
      <c r="B27" s="100" t="s">
        <v>68</v>
      </c>
      <c r="C27" s="100"/>
      <c r="D27" s="100">
        <v>51500</v>
      </c>
      <c r="E27" s="101"/>
      <c r="F27" s="102"/>
    </row>
    <row r="28" spans="1:6" ht="21.75" customHeight="1" x14ac:dyDescent="0.2">
      <c r="A28" s="97" t="s">
        <v>82</v>
      </c>
      <c r="B28" s="100" t="s">
        <v>68</v>
      </c>
      <c r="C28" s="100"/>
      <c r="D28" s="99">
        <v>20000</v>
      </c>
      <c r="E28" s="101" t="s">
        <v>83</v>
      </c>
      <c r="F28" s="102"/>
    </row>
    <row r="29" spans="1:6" ht="18.75" customHeight="1" x14ac:dyDescent="0.2">
      <c r="A29" s="106" t="s">
        <v>84</v>
      </c>
      <c r="B29" s="107"/>
      <c r="C29" s="107"/>
      <c r="D29" s="107"/>
      <c r="E29" s="108"/>
      <c r="F29" s="109"/>
    </row>
    <row r="30" spans="1:6" ht="21.75" customHeight="1" x14ac:dyDescent="0.2">
      <c r="A30" s="97" t="s">
        <v>85</v>
      </c>
      <c r="B30" s="100">
        <v>5599.72</v>
      </c>
      <c r="C30" s="100"/>
      <c r="D30" s="100" t="s">
        <v>68</v>
      </c>
      <c r="E30" s="101"/>
      <c r="F30" s="110"/>
    </row>
    <row r="31" spans="1:6" ht="21.75" customHeight="1" x14ac:dyDescent="0.2">
      <c r="A31" s="97" t="s">
        <v>86</v>
      </c>
      <c r="B31" s="100">
        <v>11449.98</v>
      </c>
      <c r="C31" s="100"/>
      <c r="D31" s="100" t="s">
        <v>68</v>
      </c>
      <c r="E31" s="101"/>
      <c r="F31" s="110"/>
    </row>
    <row r="32" spans="1:6" ht="21.75" customHeight="1" x14ac:dyDescent="0.2">
      <c r="A32" s="97" t="s">
        <v>87</v>
      </c>
      <c r="B32" s="100">
        <v>100</v>
      </c>
      <c r="C32" s="100"/>
      <c r="D32" s="100" t="s">
        <v>68</v>
      </c>
      <c r="E32" s="101"/>
      <c r="F32" s="109"/>
    </row>
    <row r="33" spans="1:12" ht="21.75" customHeight="1" x14ac:dyDescent="0.2">
      <c r="A33" s="97" t="s">
        <v>88</v>
      </c>
      <c r="B33" s="100">
        <v>100</v>
      </c>
      <c r="C33" s="100"/>
      <c r="D33" s="100" t="s">
        <v>68</v>
      </c>
      <c r="E33" s="105"/>
      <c r="F33" s="109"/>
    </row>
    <row r="34" spans="1:12" ht="21.75" customHeight="1" x14ac:dyDescent="0.2">
      <c r="A34" s="97" t="s">
        <v>89</v>
      </c>
      <c r="B34" s="100">
        <v>200</v>
      </c>
      <c r="C34" s="100"/>
      <c r="D34" s="100" t="s">
        <v>68</v>
      </c>
      <c r="E34" s="105"/>
      <c r="F34" s="109"/>
    </row>
    <row r="35" spans="1:12" ht="21.75" customHeight="1" x14ac:dyDescent="0.2">
      <c r="A35" s="97" t="s">
        <v>90</v>
      </c>
      <c r="B35" s="111" t="s">
        <v>91</v>
      </c>
      <c r="C35" s="111"/>
      <c r="D35" s="111"/>
      <c r="E35" s="112"/>
      <c r="F35" s="110"/>
      <c r="J35" s="102"/>
      <c r="K35" s="102"/>
      <c r="L35" s="102"/>
    </row>
    <row r="36" spans="1:12" ht="21.75" customHeight="1" x14ac:dyDescent="0.2">
      <c r="A36" s="97" t="s">
        <v>92</v>
      </c>
      <c r="B36" s="111" t="s">
        <v>93</v>
      </c>
      <c r="C36" s="111"/>
      <c r="D36" s="111"/>
      <c r="E36" s="112"/>
      <c r="F36" s="110"/>
      <c r="J36" s="102"/>
      <c r="K36" s="102"/>
      <c r="L36" s="102"/>
    </row>
    <row r="37" spans="1:12" ht="21.75" customHeight="1" x14ac:dyDescent="0.2">
      <c r="A37" s="97" t="s">
        <v>94</v>
      </c>
      <c r="B37" s="111" t="s">
        <v>95</v>
      </c>
      <c r="C37" s="111"/>
      <c r="D37" s="111"/>
      <c r="E37" s="112"/>
      <c r="J37" s="102"/>
      <c r="K37" s="102"/>
      <c r="L37" s="102"/>
    </row>
    <row r="38" spans="1:12" ht="21.75" customHeight="1" x14ac:dyDescent="0.2">
      <c r="A38" s="97" t="s">
        <v>96</v>
      </c>
      <c r="B38" s="111" t="s">
        <v>97</v>
      </c>
      <c r="C38" s="111"/>
      <c r="D38" s="215"/>
      <c r="E38" s="216"/>
    </row>
    <row r="39" spans="1:12" ht="21.75" customHeight="1" x14ac:dyDescent="0.2">
      <c r="A39" s="97" t="s">
        <v>98</v>
      </c>
      <c r="B39" s="99">
        <v>3400</v>
      </c>
      <c r="C39" s="99"/>
      <c r="D39" s="99">
        <v>3400</v>
      </c>
      <c r="E39" s="101" t="s">
        <v>99</v>
      </c>
      <c r="F39" s="110"/>
    </row>
    <row r="40" spans="1:12" ht="21.75" customHeight="1" x14ac:dyDescent="0.2">
      <c r="A40" s="113"/>
      <c r="B40" s="113"/>
      <c r="C40" s="113"/>
      <c r="D40" s="113"/>
      <c r="E40" s="113"/>
      <c r="F40" s="110"/>
    </row>
    <row r="41" spans="1:12" ht="21.75" customHeight="1" x14ac:dyDescent="0.2">
      <c r="A41" s="113"/>
      <c r="B41" s="113"/>
      <c r="C41" s="113"/>
      <c r="D41" s="113"/>
      <c r="E41" s="113"/>
      <c r="F41" s="110"/>
    </row>
    <row r="42" spans="1:12" ht="21.75" customHeight="1" x14ac:dyDescent="0.2">
      <c r="A42" s="114" t="s">
        <v>100</v>
      </c>
      <c r="B42" s="115"/>
      <c r="C42" s="115"/>
      <c r="D42" s="115"/>
      <c r="E42" s="116"/>
    </row>
    <row r="43" spans="1:12" ht="21.75" customHeight="1" x14ac:dyDescent="0.2">
      <c r="A43" s="97" t="s">
        <v>101</v>
      </c>
      <c r="B43" s="99">
        <v>20000</v>
      </c>
      <c r="C43" s="99"/>
      <c r="D43" s="99">
        <v>20000</v>
      </c>
      <c r="E43" s="101"/>
    </row>
    <row r="44" spans="1:12" ht="21.75" customHeight="1" x14ac:dyDescent="0.2">
      <c r="A44" s="97" t="s">
        <v>102</v>
      </c>
      <c r="B44" s="99">
        <v>20000</v>
      </c>
      <c r="C44" s="99"/>
      <c r="D44" s="99">
        <v>20000</v>
      </c>
      <c r="E44" s="117"/>
    </row>
    <row r="45" spans="1:12" ht="21.75" customHeight="1" x14ac:dyDescent="0.2">
      <c r="A45" s="97" t="s">
        <v>103</v>
      </c>
      <c r="B45" s="99">
        <v>20000</v>
      </c>
      <c r="C45" s="99"/>
      <c r="D45" s="99">
        <v>20000</v>
      </c>
      <c r="E45" s="117"/>
    </row>
    <row r="46" spans="1:12" ht="21.75" customHeight="1" x14ac:dyDescent="0.2">
      <c r="A46" s="97" t="s">
        <v>104</v>
      </c>
      <c r="B46" s="99">
        <v>20000</v>
      </c>
      <c r="C46" s="99"/>
      <c r="D46" s="99">
        <v>20000</v>
      </c>
      <c r="E46" s="117"/>
    </row>
    <row r="47" spans="1:12" ht="21.75" customHeight="1" x14ac:dyDescent="0.2">
      <c r="A47" s="114" t="s">
        <v>105</v>
      </c>
      <c r="B47" s="118"/>
      <c r="C47" s="118"/>
      <c r="D47" s="118"/>
      <c r="E47" s="119"/>
    </row>
    <row r="48" spans="1:12" ht="21.75" customHeight="1" x14ac:dyDescent="0.2">
      <c r="A48" s="97" t="s">
        <v>106</v>
      </c>
      <c r="B48" s="100" t="s">
        <v>68</v>
      </c>
      <c r="C48" s="100"/>
      <c r="D48" s="100">
        <v>14000</v>
      </c>
      <c r="E48" s="101" t="s">
        <v>107</v>
      </c>
      <c r="F48" s="110"/>
    </row>
    <row r="49" spans="1:10" ht="21.75" customHeight="1" x14ac:dyDescent="0.2">
      <c r="A49" s="97" t="s">
        <v>108</v>
      </c>
      <c r="B49" s="100" t="s">
        <v>68</v>
      </c>
      <c r="C49" s="100"/>
      <c r="D49" s="100">
        <v>14000</v>
      </c>
      <c r="E49" s="101" t="s">
        <v>107</v>
      </c>
      <c r="F49" s="110"/>
    </row>
    <row r="50" spans="1:10" ht="21.75" customHeight="1" x14ac:dyDescent="0.2">
      <c r="A50" s="97" t="s">
        <v>109</v>
      </c>
      <c r="B50" s="100" t="s">
        <v>68</v>
      </c>
      <c r="C50" s="100"/>
      <c r="D50" s="100">
        <v>70700</v>
      </c>
      <c r="E50" s="101" t="s">
        <v>110</v>
      </c>
      <c r="F50" s="110"/>
    </row>
    <row r="51" spans="1:10" ht="21.75" customHeight="1" x14ac:dyDescent="0.2">
      <c r="A51" s="656" t="s">
        <v>111</v>
      </c>
      <c r="B51" s="657"/>
      <c r="C51" s="657"/>
      <c r="D51" s="657"/>
      <c r="E51" s="658"/>
    </row>
    <row r="52" spans="1:10" ht="30" customHeight="1" x14ac:dyDescent="0.2">
      <c r="A52" s="97" t="s">
        <v>112</v>
      </c>
      <c r="B52" s="100">
        <v>300000</v>
      </c>
      <c r="C52" s="100"/>
      <c r="D52" s="100">
        <v>300000</v>
      </c>
      <c r="E52" s="101" t="s">
        <v>113</v>
      </c>
      <c r="F52" s="120"/>
      <c r="G52" s="121"/>
      <c r="H52" s="122"/>
      <c r="I52" s="103"/>
      <c r="J52" s="110"/>
    </row>
    <row r="53" spans="1:10" ht="21.75" customHeight="1" x14ac:dyDescent="0.2">
      <c r="A53" s="97" t="s">
        <v>114</v>
      </c>
      <c r="B53" s="100">
        <v>450000</v>
      </c>
      <c r="C53" s="100"/>
      <c r="D53" s="100">
        <v>450000</v>
      </c>
      <c r="E53" s="101" t="s">
        <v>113</v>
      </c>
      <c r="F53" s="120"/>
      <c r="G53" s="121"/>
      <c r="H53" s="122"/>
      <c r="I53" s="103"/>
      <c r="J53" s="110"/>
    </row>
    <row r="54" spans="1:10" ht="21.75" customHeight="1" x14ac:dyDescent="0.2">
      <c r="A54" s="97" t="s">
        <v>115</v>
      </c>
      <c r="B54" s="100">
        <v>150000</v>
      </c>
      <c r="C54" s="100"/>
      <c r="D54" s="100">
        <v>150000</v>
      </c>
      <c r="E54" s="101"/>
      <c r="F54" s="120"/>
      <c r="G54" s="121"/>
      <c r="H54" s="122"/>
    </row>
    <row r="55" spans="1:10" ht="21.75" customHeight="1" x14ac:dyDescent="0.2">
      <c r="A55" s="97" t="s">
        <v>116</v>
      </c>
      <c r="B55" s="100">
        <v>150000</v>
      </c>
      <c r="C55" s="100"/>
      <c r="D55" s="100">
        <v>150000</v>
      </c>
      <c r="E55" s="101"/>
      <c r="F55" s="120"/>
      <c r="G55" s="121"/>
      <c r="H55" s="122"/>
    </row>
    <row r="56" spans="1:10" ht="21.75" customHeight="1" x14ac:dyDescent="0.2">
      <c r="A56" s="97" t="s">
        <v>117</v>
      </c>
      <c r="B56" s="100">
        <v>150000</v>
      </c>
      <c r="C56" s="100"/>
      <c r="D56" s="100">
        <v>150000</v>
      </c>
      <c r="E56" s="101" t="s">
        <v>113</v>
      </c>
      <c r="F56" s="120"/>
      <c r="G56" s="121"/>
      <c r="H56" s="122"/>
    </row>
    <row r="57" spans="1:10" ht="21.75" customHeight="1" x14ac:dyDescent="0.2">
      <c r="A57" s="97" t="s">
        <v>108</v>
      </c>
      <c r="B57" s="100">
        <v>131000</v>
      </c>
      <c r="C57" s="100"/>
      <c r="D57" s="100">
        <v>131000</v>
      </c>
      <c r="E57" s="101"/>
      <c r="F57" s="120"/>
      <c r="G57" s="121"/>
      <c r="H57" s="122"/>
    </row>
    <row r="58" spans="1:10" ht="21.75" customHeight="1" x14ac:dyDescent="0.2">
      <c r="A58" s="97" t="s">
        <v>118</v>
      </c>
      <c r="B58" s="100">
        <v>131000</v>
      </c>
      <c r="C58" s="100"/>
      <c r="D58" s="100">
        <v>131000</v>
      </c>
      <c r="E58" s="101"/>
      <c r="F58" s="120"/>
      <c r="G58" s="121"/>
      <c r="H58" s="122"/>
    </row>
    <row r="59" spans="1:10" ht="21.75" customHeight="1" x14ac:dyDescent="0.2">
      <c r="A59" s="97" t="s">
        <v>119</v>
      </c>
      <c r="B59" s="100">
        <v>131000</v>
      </c>
      <c r="C59" s="100"/>
      <c r="D59" s="100">
        <v>131000</v>
      </c>
      <c r="E59" s="101"/>
      <c r="F59" s="120"/>
      <c r="G59" s="121"/>
      <c r="H59" s="122"/>
    </row>
    <row r="60" spans="1:10" s="88" customFormat="1" ht="21.75" customHeight="1" x14ac:dyDescent="0.2">
      <c r="A60" s="114" t="s">
        <v>120</v>
      </c>
      <c r="B60" s="123"/>
      <c r="C60" s="123"/>
      <c r="D60" s="123"/>
      <c r="E60" s="124"/>
      <c r="F60" s="125"/>
      <c r="G60" s="125"/>
    </row>
    <row r="61" spans="1:10" ht="37.5" customHeight="1" x14ac:dyDescent="0.2">
      <c r="A61" s="126" t="s">
        <v>121</v>
      </c>
      <c r="B61" s="127">
        <v>50000</v>
      </c>
      <c r="C61" s="127"/>
      <c r="D61" s="127">
        <v>50000</v>
      </c>
      <c r="E61" s="128" t="s">
        <v>122</v>
      </c>
      <c r="F61" s="129"/>
      <c r="G61" s="121"/>
    </row>
    <row r="62" spans="1:10" ht="21.75" customHeight="1" x14ac:dyDescent="0.2">
      <c r="A62" s="97" t="s">
        <v>123</v>
      </c>
      <c r="B62" s="659"/>
      <c r="C62" s="659"/>
      <c r="D62" s="659"/>
      <c r="E62" s="660"/>
      <c r="F62" s="129"/>
      <c r="G62" s="121"/>
    </row>
    <row r="63" spans="1:10" ht="21.75" customHeight="1" x14ac:dyDescent="0.2">
      <c r="A63" s="130" t="s">
        <v>124</v>
      </c>
      <c r="B63" s="131"/>
      <c r="C63" s="131"/>
      <c r="D63" s="131"/>
      <c r="E63" s="132"/>
      <c r="F63" s="121"/>
      <c r="G63" s="121"/>
    </row>
    <row r="64" spans="1:10" ht="21.75" customHeight="1" x14ac:dyDescent="0.2">
      <c r="A64" s="133" t="s">
        <v>125</v>
      </c>
      <c r="B64" s="136"/>
      <c r="C64" s="291" t="s">
        <v>662</v>
      </c>
      <c r="D64" s="136"/>
      <c r="E64" s="137"/>
      <c r="F64" s="121"/>
      <c r="G64" s="121"/>
    </row>
    <row r="65" spans="1:7" ht="21.75" customHeight="1" x14ac:dyDescent="0.2">
      <c r="A65" s="101" t="s">
        <v>663</v>
      </c>
      <c r="B65" s="100">
        <f>731400</f>
        <v>731400</v>
      </c>
      <c r="C65" s="100">
        <f>+B65/4</f>
        <v>182850</v>
      </c>
      <c r="D65" s="100">
        <v>921500</v>
      </c>
      <c r="E65" s="138"/>
      <c r="F65" s="139"/>
      <c r="G65" s="121"/>
    </row>
    <row r="66" spans="1:7" ht="21.75" customHeight="1" x14ac:dyDescent="0.2">
      <c r="A66" s="101" t="s">
        <v>663</v>
      </c>
      <c r="B66" s="100">
        <f>1253800</f>
        <v>1253800</v>
      </c>
      <c r="C66" s="100">
        <f>+B66/8</f>
        <v>156725</v>
      </c>
      <c r="D66" s="100">
        <v>1580000</v>
      </c>
      <c r="E66" s="138"/>
      <c r="F66" s="140"/>
      <c r="G66" s="121"/>
    </row>
    <row r="67" spans="1:7" ht="21.75" customHeight="1" x14ac:dyDescent="0.2">
      <c r="A67" s="101" t="s">
        <v>126</v>
      </c>
      <c r="B67" s="100">
        <v>156700</v>
      </c>
      <c r="C67" s="100">
        <f>+B67</f>
        <v>156700</v>
      </c>
      <c r="D67" s="99">
        <v>197500</v>
      </c>
      <c r="E67" s="138"/>
      <c r="F67" s="141"/>
      <c r="G67" s="121"/>
    </row>
    <row r="68" spans="1:7" ht="21.75" customHeight="1" x14ac:dyDescent="0.2">
      <c r="A68" s="101" t="s">
        <v>664</v>
      </c>
      <c r="B68" s="100">
        <f>438900</f>
        <v>438900</v>
      </c>
      <c r="C68" s="100">
        <f>+B68/4</f>
        <v>109725</v>
      </c>
      <c r="D68" s="100">
        <v>552900</v>
      </c>
      <c r="E68" s="138"/>
      <c r="F68" s="129"/>
      <c r="G68" s="121"/>
    </row>
    <row r="69" spans="1:7" ht="21.75" customHeight="1" x14ac:dyDescent="0.2">
      <c r="A69" s="101" t="s">
        <v>665</v>
      </c>
      <c r="B69" s="100">
        <f>752300</f>
        <v>752300</v>
      </c>
      <c r="C69" s="100">
        <f>+B69/8</f>
        <v>94037.5</v>
      </c>
      <c r="D69" s="100">
        <v>948000</v>
      </c>
      <c r="E69" s="138"/>
      <c r="F69" s="129"/>
      <c r="G69" s="121"/>
    </row>
    <row r="70" spans="1:7" ht="21.75" customHeight="1" x14ac:dyDescent="0.2">
      <c r="A70" s="101" t="s">
        <v>127</v>
      </c>
      <c r="B70" s="100">
        <v>94000</v>
      </c>
      <c r="C70" s="100">
        <f>+B70</f>
        <v>94000</v>
      </c>
      <c r="D70" s="99">
        <v>118500</v>
      </c>
      <c r="E70" s="138"/>
      <c r="F70" s="129"/>
      <c r="G70" s="121"/>
    </row>
    <row r="71" spans="1:7" ht="21.75" customHeight="1" x14ac:dyDescent="0.2">
      <c r="A71" s="98" t="s">
        <v>666</v>
      </c>
      <c r="B71" s="100">
        <f>292600</f>
        <v>292600</v>
      </c>
      <c r="C71" s="100">
        <f>+B71/4</f>
        <v>73150</v>
      </c>
      <c r="D71" s="100">
        <v>368600</v>
      </c>
      <c r="E71" s="138"/>
      <c r="F71" s="129"/>
      <c r="G71" s="140"/>
    </row>
    <row r="72" spans="1:7" ht="21.75" customHeight="1" x14ac:dyDescent="0.2">
      <c r="A72" s="98" t="s">
        <v>666</v>
      </c>
      <c r="B72" s="100">
        <f>501500</f>
        <v>501500</v>
      </c>
      <c r="C72" s="100">
        <f>+B72/8</f>
        <v>62687.5</v>
      </c>
      <c r="D72" s="100">
        <v>632000</v>
      </c>
      <c r="E72" s="138"/>
      <c r="F72" s="129"/>
      <c r="G72" s="140"/>
    </row>
    <row r="73" spans="1:7" ht="21.75" customHeight="1" x14ac:dyDescent="0.2">
      <c r="A73" s="101" t="s">
        <v>128</v>
      </c>
      <c r="B73" s="100">
        <v>62700</v>
      </c>
      <c r="C73" s="100">
        <f>+B73</f>
        <v>62700</v>
      </c>
      <c r="D73" s="99">
        <v>79000</v>
      </c>
      <c r="E73" s="138"/>
      <c r="F73" s="129"/>
      <c r="G73" s="140"/>
    </row>
    <row r="74" spans="1:7" ht="21.75" customHeight="1" x14ac:dyDescent="0.2">
      <c r="A74" s="142" t="s">
        <v>667</v>
      </c>
      <c r="B74" s="100">
        <f>636100</f>
        <v>636100</v>
      </c>
      <c r="C74" s="100">
        <f>+B74/4</f>
        <v>159025</v>
      </c>
      <c r="D74" s="100">
        <v>641200</v>
      </c>
      <c r="E74" s="143"/>
      <c r="F74" s="129"/>
      <c r="G74" s="121"/>
    </row>
    <row r="75" spans="1:7" ht="21.75" customHeight="1" x14ac:dyDescent="0.2">
      <c r="A75" s="142" t="s">
        <v>129</v>
      </c>
      <c r="B75" s="100">
        <v>45400</v>
      </c>
      <c r="C75" s="100">
        <f>+B75</f>
        <v>45400</v>
      </c>
      <c r="D75" s="100">
        <v>45800</v>
      </c>
      <c r="E75" s="143" t="s">
        <v>130</v>
      </c>
      <c r="F75" s="129"/>
      <c r="G75" s="121"/>
    </row>
    <row r="76" spans="1:7" ht="21.75" customHeight="1" x14ac:dyDescent="0.2">
      <c r="A76" s="142" t="s">
        <v>283</v>
      </c>
      <c r="B76" s="100">
        <v>113400</v>
      </c>
      <c r="C76" s="100">
        <f>+B76</f>
        <v>113400</v>
      </c>
      <c r="D76" s="100">
        <v>114300</v>
      </c>
      <c r="E76" s="143" t="s">
        <v>131</v>
      </c>
      <c r="F76" s="129"/>
      <c r="G76" s="121"/>
    </row>
    <row r="77" spans="1:7" ht="21.75" customHeight="1" x14ac:dyDescent="0.2">
      <c r="A77" s="142" t="s">
        <v>284</v>
      </c>
      <c r="B77" s="100">
        <v>151300</v>
      </c>
      <c r="C77" s="100">
        <f>+B77</f>
        <v>151300</v>
      </c>
      <c r="D77" s="100">
        <v>152500</v>
      </c>
      <c r="E77" s="143" t="s">
        <v>132</v>
      </c>
      <c r="F77" s="129"/>
      <c r="G77" s="121"/>
    </row>
    <row r="78" spans="1:7" ht="21.75" customHeight="1" x14ac:dyDescent="0.2">
      <c r="A78" s="97" t="s">
        <v>285</v>
      </c>
      <c r="B78" s="100">
        <f>34000/4</f>
        <v>8500</v>
      </c>
      <c r="C78" s="100">
        <f>+B78</f>
        <v>8500</v>
      </c>
      <c r="D78" s="100">
        <v>37400</v>
      </c>
      <c r="E78" s="233"/>
      <c r="F78" s="129"/>
      <c r="G78" s="121"/>
    </row>
    <row r="79" spans="1:7" ht="21.75" customHeight="1" x14ac:dyDescent="0.2">
      <c r="A79" s="97" t="s">
        <v>286</v>
      </c>
      <c r="B79" s="100">
        <f>76200/4</f>
        <v>19050</v>
      </c>
      <c r="C79" s="100">
        <f>+B79</f>
        <v>19050</v>
      </c>
      <c r="D79" s="100">
        <v>95000</v>
      </c>
      <c r="E79" s="233"/>
      <c r="F79" s="129"/>
      <c r="G79" s="121"/>
    </row>
    <row r="80" spans="1:7" ht="21.75" customHeight="1" x14ac:dyDescent="0.2">
      <c r="A80" s="133" t="s">
        <v>265</v>
      </c>
      <c r="B80" s="136"/>
      <c r="C80" s="136"/>
      <c r="D80" s="136"/>
      <c r="E80" s="144"/>
      <c r="F80" s="129"/>
      <c r="G80" s="121"/>
    </row>
    <row r="81" spans="1:7" ht="21.75" customHeight="1" x14ac:dyDescent="0.2">
      <c r="A81" s="97" t="s">
        <v>668</v>
      </c>
      <c r="B81" s="100">
        <f>58800/4</f>
        <v>14700</v>
      </c>
      <c r="C81" s="100">
        <f>+B81/4</f>
        <v>3675</v>
      </c>
      <c r="D81" s="100">
        <v>73100</v>
      </c>
      <c r="E81" s="101"/>
      <c r="F81" s="129"/>
      <c r="G81" s="121"/>
    </row>
    <row r="82" spans="1:7" ht="21.75" customHeight="1" x14ac:dyDescent="0.2">
      <c r="A82" s="97" t="s">
        <v>669</v>
      </c>
      <c r="B82" s="100">
        <v>6525</v>
      </c>
      <c r="C82" s="100">
        <f>+B82/4</f>
        <v>1631.25</v>
      </c>
      <c r="D82" s="100">
        <v>28800</v>
      </c>
      <c r="E82" s="101"/>
      <c r="F82" s="146"/>
      <c r="G82" s="121"/>
    </row>
    <row r="83" spans="1:7" ht="21.75" customHeight="1" x14ac:dyDescent="0.2">
      <c r="A83" s="98" t="s">
        <v>670</v>
      </c>
      <c r="B83" s="100">
        <f>92200/4</f>
        <v>23050</v>
      </c>
      <c r="C83" s="100">
        <f>+B83/4</f>
        <v>5762.5</v>
      </c>
      <c r="D83" s="100">
        <v>111400</v>
      </c>
      <c r="E83" s="101"/>
      <c r="F83" s="129"/>
      <c r="G83" s="121"/>
    </row>
    <row r="84" spans="1:7" ht="21.75" customHeight="1" x14ac:dyDescent="0.2">
      <c r="A84" s="98" t="s">
        <v>262</v>
      </c>
      <c r="B84" s="100">
        <v>23400</v>
      </c>
      <c r="C84" s="100">
        <f>+B84</f>
        <v>23400</v>
      </c>
      <c r="D84" s="100">
        <v>23400</v>
      </c>
      <c r="E84" s="101"/>
      <c r="F84" s="129"/>
      <c r="G84" s="121"/>
    </row>
    <row r="85" spans="1:7" ht="21.75" customHeight="1" x14ac:dyDescent="0.2">
      <c r="A85" s="98" t="s">
        <v>671</v>
      </c>
      <c r="B85" s="100">
        <f>96300/4</f>
        <v>24075</v>
      </c>
      <c r="C85" s="100">
        <f>+B85/4</f>
        <v>6018.75</v>
      </c>
      <c r="D85" s="100">
        <v>115400</v>
      </c>
      <c r="E85" s="101"/>
      <c r="F85" s="129"/>
      <c r="G85" s="121"/>
    </row>
    <row r="86" spans="1:7" ht="21.75" customHeight="1" x14ac:dyDescent="0.2">
      <c r="A86" s="98" t="s">
        <v>672</v>
      </c>
      <c r="B86" s="100">
        <f>62300/4</f>
        <v>15575</v>
      </c>
      <c r="C86" s="100">
        <f>+B86/4</f>
        <v>3893.75</v>
      </c>
      <c r="D86" s="100">
        <v>75900</v>
      </c>
      <c r="E86" s="105" t="s">
        <v>133</v>
      </c>
      <c r="F86" s="121"/>
      <c r="G86" s="121"/>
    </row>
    <row r="87" spans="1:7" ht="21.75" customHeight="1" x14ac:dyDescent="0.2">
      <c r="A87" s="98" t="s">
        <v>673</v>
      </c>
      <c r="B87" s="100">
        <v>7825</v>
      </c>
      <c r="C87" s="100">
        <f>+B87/4</f>
        <v>1956.25</v>
      </c>
      <c r="D87" s="100">
        <v>36500</v>
      </c>
      <c r="E87" s="101"/>
      <c r="F87" s="110"/>
    </row>
    <row r="88" spans="1:7" ht="21.75" customHeight="1" x14ac:dyDescent="0.2">
      <c r="A88" s="98" t="s">
        <v>674</v>
      </c>
      <c r="B88" s="100">
        <f>271300/4</f>
        <v>67825</v>
      </c>
      <c r="C88" s="100">
        <f>+B88/4</f>
        <v>16956.25</v>
      </c>
      <c r="D88" s="100">
        <v>315300</v>
      </c>
      <c r="E88" s="105"/>
      <c r="F88" s="110"/>
    </row>
    <row r="89" spans="1:7" ht="21.75" customHeight="1" x14ac:dyDescent="0.2">
      <c r="A89" s="97" t="s">
        <v>675</v>
      </c>
      <c r="B89" s="100">
        <v>4200</v>
      </c>
      <c r="C89" s="100">
        <f>+B89/4</f>
        <v>1050</v>
      </c>
      <c r="D89" s="100">
        <v>5200</v>
      </c>
      <c r="E89" s="101"/>
      <c r="F89" s="110"/>
    </row>
    <row r="90" spans="1:7" ht="21.75" customHeight="1" x14ac:dyDescent="0.2">
      <c r="A90" s="97" t="s">
        <v>263</v>
      </c>
      <c r="B90" s="100">
        <v>71200</v>
      </c>
      <c r="C90" s="100">
        <f>+B90</f>
        <v>71200</v>
      </c>
      <c r="D90" s="100" t="s">
        <v>68</v>
      </c>
      <c r="E90" s="101" t="s">
        <v>134</v>
      </c>
      <c r="F90" s="110"/>
    </row>
    <row r="91" spans="1:7" ht="21.75" customHeight="1" x14ac:dyDescent="0.2">
      <c r="A91" s="98" t="s">
        <v>264</v>
      </c>
      <c r="B91" s="100">
        <v>4900</v>
      </c>
      <c r="C91" s="100">
        <f>+B91</f>
        <v>4900</v>
      </c>
      <c r="D91" s="100">
        <v>5300</v>
      </c>
      <c r="E91" s="101"/>
      <c r="F91" s="110"/>
    </row>
    <row r="92" spans="1:7" ht="21.75" customHeight="1" x14ac:dyDescent="0.2">
      <c r="A92" s="97" t="s">
        <v>267</v>
      </c>
      <c r="B92" s="100">
        <v>8600</v>
      </c>
      <c r="C92" s="100">
        <f>+B92/8</f>
        <v>1075</v>
      </c>
      <c r="D92" s="100" t="s">
        <v>68</v>
      </c>
      <c r="E92" s="101" t="s">
        <v>134</v>
      </c>
      <c r="F92" s="110"/>
    </row>
    <row r="93" spans="1:7" ht="21.75" customHeight="1" x14ac:dyDescent="0.2">
      <c r="A93" s="97" t="s">
        <v>135</v>
      </c>
      <c r="B93" s="100">
        <v>12700</v>
      </c>
      <c r="C93" s="100">
        <f>+B93</f>
        <v>12700</v>
      </c>
      <c r="D93" s="100">
        <v>25400</v>
      </c>
      <c r="E93" s="101"/>
      <c r="F93" s="110"/>
    </row>
    <row r="94" spans="1:7" ht="21.75" customHeight="1" x14ac:dyDescent="0.2">
      <c r="A94" s="97" t="s">
        <v>136</v>
      </c>
      <c r="B94" s="100">
        <v>17800</v>
      </c>
      <c r="C94" s="100">
        <f>+B94</f>
        <v>17800</v>
      </c>
      <c r="D94" s="100">
        <v>31700</v>
      </c>
      <c r="E94" s="101"/>
      <c r="F94" s="110"/>
    </row>
    <row r="95" spans="1:7" ht="21.75" customHeight="1" x14ac:dyDescent="0.2">
      <c r="A95" s="97" t="s">
        <v>137</v>
      </c>
      <c r="B95" s="100">
        <v>10000</v>
      </c>
      <c r="C95" s="100">
        <f>+B95</f>
        <v>10000</v>
      </c>
      <c r="D95" s="100">
        <v>14100</v>
      </c>
      <c r="E95" s="101"/>
      <c r="F95" s="110"/>
    </row>
    <row r="96" spans="1:7" ht="21.75" customHeight="1" x14ac:dyDescent="0.2">
      <c r="A96" s="97" t="s">
        <v>138</v>
      </c>
      <c r="B96" s="100">
        <v>14100</v>
      </c>
      <c r="C96" s="100">
        <f>+B96</f>
        <v>14100</v>
      </c>
      <c r="D96" s="100">
        <v>17100</v>
      </c>
      <c r="E96" s="101"/>
      <c r="F96" s="110"/>
    </row>
    <row r="97" spans="1:6" ht="21.75" customHeight="1" x14ac:dyDescent="0.2">
      <c r="A97" s="148" t="s">
        <v>139</v>
      </c>
      <c r="B97" s="100">
        <v>24400</v>
      </c>
      <c r="C97" s="150">
        <f>+B97</f>
        <v>24400</v>
      </c>
      <c r="D97" s="150" t="s">
        <v>68</v>
      </c>
      <c r="E97" s="151" t="s">
        <v>140</v>
      </c>
    </row>
    <row r="98" spans="1:6" ht="21.75" customHeight="1" x14ac:dyDescent="0.2">
      <c r="A98" s="133" t="s">
        <v>141</v>
      </c>
      <c r="B98" s="152"/>
      <c r="C98" s="152"/>
      <c r="D98" s="152"/>
      <c r="E98" s="153"/>
    </row>
    <row r="99" spans="1:6" ht="21.75" customHeight="1" x14ac:dyDescent="0.2">
      <c r="A99" s="154" t="s">
        <v>142</v>
      </c>
      <c r="B99" s="100">
        <v>55000</v>
      </c>
      <c r="C99" s="100">
        <f>+B99</f>
        <v>55000</v>
      </c>
      <c r="D99" s="100" t="s">
        <v>68</v>
      </c>
      <c r="E99" s="156" t="s">
        <v>143</v>
      </c>
    </row>
    <row r="100" spans="1:6" ht="21.75" customHeight="1" x14ac:dyDescent="0.2">
      <c r="A100" s="157" t="s">
        <v>144</v>
      </c>
      <c r="B100" s="150">
        <v>32000</v>
      </c>
      <c r="C100" s="150">
        <f>+B100</f>
        <v>32000</v>
      </c>
      <c r="D100" s="150" t="s">
        <v>68</v>
      </c>
      <c r="E100" s="158" t="s">
        <v>143</v>
      </c>
    </row>
    <row r="101" spans="1:6" ht="21.75" customHeight="1" x14ac:dyDescent="0.2">
      <c r="A101" s="159" t="s">
        <v>145</v>
      </c>
      <c r="B101" s="152"/>
      <c r="C101" s="152"/>
      <c r="D101" s="152"/>
      <c r="E101" s="160"/>
    </row>
    <row r="102" spans="1:6" ht="21.75" customHeight="1" x14ac:dyDescent="0.2">
      <c r="A102" s="161" t="s">
        <v>146</v>
      </c>
      <c r="B102" s="162">
        <v>15800</v>
      </c>
      <c r="C102" s="162">
        <f>+B102</f>
        <v>15800</v>
      </c>
      <c r="D102" s="162">
        <v>15800</v>
      </c>
      <c r="E102" s="163" t="s">
        <v>147</v>
      </c>
      <c r="F102" s="110"/>
    </row>
    <row r="103" spans="1:6" ht="21.75" customHeight="1" x14ac:dyDescent="0.2">
      <c r="A103" s="97" t="s">
        <v>148</v>
      </c>
      <c r="B103" s="100">
        <v>12300</v>
      </c>
      <c r="C103" s="100">
        <f>+B103</f>
        <v>12300</v>
      </c>
      <c r="D103" s="100">
        <v>12300</v>
      </c>
      <c r="E103" s="101" t="s">
        <v>149</v>
      </c>
      <c r="F103" s="110"/>
    </row>
    <row r="104" spans="1:6" ht="21.75" customHeight="1" x14ac:dyDescent="0.2">
      <c r="A104" s="97" t="s">
        <v>150</v>
      </c>
      <c r="B104" s="100">
        <v>3600</v>
      </c>
      <c r="C104" s="100">
        <f>+B104</f>
        <v>3600</v>
      </c>
      <c r="D104" s="100">
        <v>3600</v>
      </c>
      <c r="E104" s="101" t="s">
        <v>151</v>
      </c>
      <c r="F104" s="110"/>
    </row>
    <row r="105" spans="1:6" ht="21.75" customHeight="1" x14ac:dyDescent="0.2">
      <c r="A105" s="97" t="s">
        <v>152</v>
      </c>
      <c r="B105" s="100">
        <v>36700</v>
      </c>
      <c r="C105" s="100">
        <f>+B105</f>
        <v>36700</v>
      </c>
      <c r="D105" s="100">
        <v>55000</v>
      </c>
      <c r="E105" s="101" t="s">
        <v>153</v>
      </c>
      <c r="F105" s="110"/>
    </row>
    <row r="106" spans="1:6" ht="21.75" customHeight="1" x14ac:dyDescent="0.2">
      <c r="A106" s="133" t="s">
        <v>154</v>
      </c>
      <c r="B106" s="136"/>
      <c r="C106" s="136"/>
      <c r="D106" s="136"/>
      <c r="E106" s="144"/>
      <c r="F106" s="110"/>
    </row>
    <row r="107" spans="1:6" ht="21.75" customHeight="1" x14ac:dyDescent="0.2">
      <c r="A107" s="97" t="s">
        <v>155</v>
      </c>
      <c r="B107" s="100" t="s">
        <v>68</v>
      </c>
      <c r="C107" s="100"/>
      <c r="D107" s="100">
        <v>93700</v>
      </c>
      <c r="E107" s="101"/>
      <c r="F107" s="110"/>
    </row>
    <row r="108" spans="1:6" ht="21.75" customHeight="1" x14ac:dyDescent="0.2">
      <c r="A108" s="97" t="s">
        <v>156</v>
      </c>
      <c r="B108" s="100" t="s">
        <v>68</v>
      </c>
      <c r="C108" s="100"/>
      <c r="D108" s="100">
        <v>96400</v>
      </c>
      <c r="E108" s="101"/>
      <c r="F108" s="110"/>
    </row>
    <row r="109" spans="1:6" ht="21.75" customHeight="1" x14ac:dyDescent="0.2">
      <c r="A109" s="97" t="s">
        <v>157</v>
      </c>
      <c r="B109" s="100" t="s">
        <v>68</v>
      </c>
      <c r="C109" s="100"/>
      <c r="D109" s="100">
        <v>146300</v>
      </c>
      <c r="E109" s="101"/>
      <c r="F109" s="110"/>
    </row>
    <row r="110" spans="1:6" ht="21.75" customHeight="1" x14ac:dyDescent="0.2">
      <c r="A110" s="97" t="s">
        <v>158</v>
      </c>
      <c r="B110" s="100" t="s">
        <v>68</v>
      </c>
      <c r="C110" s="100"/>
      <c r="D110" s="100">
        <v>10800</v>
      </c>
      <c r="E110" s="101" t="s">
        <v>159</v>
      </c>
      <c r="F110" s="110"/>
    </row>
    <row r="111" spans="1:6" ht="21.75" customHeight="1" x14ac:dyDescent="0.2">
      <c r="A111" s="133" t="s">
        <v>160</v>
      </c>
      <c r="B111" s="136"/>
      <c r="C111" s="136"/>
      <c r="D111" s="136"/>
      <c r="E111" s="144"/>
    </row>
    <row r="112" spans="1:6" ht="21.75" customHeight="1" x14ac:dyDescent="0.2">
      <c r="A112" s="97" t="s">
        <v>161</v>
      </c>
      <c r="B112" s="100">
        <v>9000</v>
      </c>
      <c r="C112" s="100"/>
      <c r="D112" s="100">
        <v>9400</v>
      </c>
      <c r="E112" s="101"/>
    </row>
    <row r="113" spans="1:6" ht="21.75" customHeight="1" x14ac:dyDescent="0.2">
      <c r="A113" s="97" t="s">
        <v>162</v>
      </c>
      <c r="B113" s="100">
        <v>5700</v>
      </c>
      <c r="C113" s="100"/>
      <c r="D113" s="100">
        <v>5900</v>
      </c>
      <c r="E113" s="101"/>
    </row>
    <row r="114" spans="1:6" ht="21.75" customHeight="1" x14ac:dyDescent="0.2">
      <c r="A114" s="97" t="s">
        <v>163</v>
      </c>
      <c r="B114" s="100">
        <v>4500</v>
      </c>
      <c r="C114" s="100"/>
      <c r="D114" s="100">
        <v>4700</v>
      </c>
      <c r="E114" s="101"/>
    </row>
    <row r="115" spans="1:6" ht="21.75" customHeight="1" x14ac:dyDescent="0.2">
      <c r="A115" s="97" t="s">
        <v>164</v>
      </c>
      <c r="B115" s="100">
        <v>14700</v>
      </c>
      <c r="C115" s="100"/>
      <c r="D115" s="100">
        <v>15200</v>
      </c>
      <c r="E115" s="101"/>
    </row>
    <row r="116" spans="1:6" ht="21.75" customHeight="1" x14ac:dyDescent="0.2">
      <c r="A116" s="97" t="s">
        <v>165</v>
      </c>
      <c r="B116" s="100">
        <v>17000</v>
      </c>
      <c r="C116" s="100"/>
      <c r="D116" s="100">
        <v>17600</v>
      </c>
      <c r="E116" s="101"/>
    </row>
    <row r="117" spans="1:6" ht="21.75" customHeight="1" x14ac:dyDescent="0.2">
      <c r="A117" s="97" t="s">
        <v>166</v>
      </c>
      <c r="B117" s="100">
        <v>5700</v>
      </c>
      <c r="C117" s="100"/>
      <c r="D117" s="100">
        <v>5900</v>
      </c>
      <c r="E117" s="101"/>
    </row>
    <row r="118" spans="1:6" ht="21.75" customHeight="1" x14ac:dyDescent="0.2">
      <c r="A118" s="97" t="s">
        <v>167</v>
      </c>
      <c r="B118" s="100">
        <v>6800</v>
      </c>
      <c r="C118" s="100"/>
      <c r="D118" s="100">
        <v>7100</v>
      </c>
      <c r="E118" s="101"/>
      <c r="F118" s="164"/>
    </row>
    <row r="119" spans="1:6" ht="21.75" customHeight="1" x14ac:dyDescent="0.2">
      <c r="A119" s="97" t="s">
        <v>168</v>
      </c>
      <c r="B119" s="100">
        <v>6800</v>
      </c>
      <c r="C119" s="100"/>
      <c r="D119" s="100">
        <v>7100</v>
      </c>
      <c r="E119" s="101"/>
      <c r="F119" s="165"/>
    </row>
    <row r="120" spans="1:6" ht="21.75" customHeight="1" x14ac:dyDescent="0.2">
      <c r="A120" s="97" t="s">
        <v>169</v>
      </c>
      <c r="B120" s="100">
        <v>22500</v>
      </c>
      <c r="C120" s="100"/>
      <c r="D120" s="100">
        <v>23300</v>
      </c>
      <c r="E120" s="101"/>
      <c r="F120" s="165"/>
    </row>
    <row r="121" spans="1:6" ht="21.75" customHeight="1" x14ac:dyDescent="0.2">
      <c r="A121" s="97" t="s">
        <v>170</v>
      </c>
      <c r="B121" s="100">
        <v>7900</v>
      </c>
      <c r="C121" s="100"/>
      <c r="D121" s="100">
        <v>8200</v>
      </c>
      <c r="E121" s="101"/>
      <c r="F121" s="165"/>
    </row>
    <row r="122" spans="1:6" ht="21.75" customHeight="1" x14ac:dyDescent="0.2">
      <c r="A122" s="97" t="s">
        <v>171</v>
      </c>
      <c r="B122" s="100">
        <v>5000</v>
      </c>
      <c r="C122" s="100"/>
      <c r="D122" s="100">
        <v>5200</v>
      </c>
      <c r="E122" s="101"/>
      <c r="F122" s="165"/>
    </row>
    <row r="123" spans="1:6" ht="21.75" customHeight="1" x14ac:dyDescent="0.2">
      <c r="A123" s="97" t="s">
        <v>172</v>
      </c>
      <c r="B123" s="100">
        <v>61900</v>
      </c>
      <c r="C123" s="100"/>
      <c r="D123" s="100">
        <v>64200</v>
      </c>
      <c r="E123" s="101"/>
      <c r="F123" s="165"/>
    </row>
    <row r="124" spans="1:6" ht="21.75" customHeight="1" x14ac:dyDescent="0.2">
      <c r="A124" s="652" t="s">
        <v>173</v>
      </c>
      <c r="B124" s="653"/>
      <c r="C124" s="653"/>
      <c r="D124" s="653"/>
      <c r="E124" s="654"/>
      <c r="F124" s="165"/>
    </row>
    <row r="125" spans="1:6" ht="21.75" customHeight="1" x14ac:dyDescent="0.2">
      <c r="A125" s="97" t="s">
        <v>174</v>
      </c>
      <c r="B125" s="166" t="s">
        <v>175</v>
      </c>
      <c r="C125" s="166"/>
      <c r="D125" s="100" t="s">
        <v>176</v>
      </c>
      <c r="E125" s="167"/>
      <c r="F125" s="165"/>
    </row>
    <row r="126" spans="1:6" ht="21.75" customHeight="1" x14ac:dyDescent="0.2">
      <c r="A126" s="97" t="s">
        <v>177</v>
      </c>
      <c r="B126" s="224">
        <v>0.1</v>
      </c>
      <c r="C126" s="224"/>
      <c r="D126" s="100" t="s">
        <v>176</v>
      </c>
      <c r="E126" s="167"/>
      <c r="F126" s="165"/>
    </row>
    <row r="127" spans="1:6" ht="21.75" customHeight="1" x14ac:dyDescent="0.2">
      <c r="A127" s="97" t="s">
        <v>178</v>
      </c>
      <c r="B127" s="224">
        <v>0.2</v>
      </c>
      <c r="C127" s="224"/>
      <c r="D127" s="100" t="s">
        <v>176</v>
      </c>
      <c r="E127" s="167"/>
      <c r="F127" s="165"/>
    </row>
    <row r="128" spans="1:6" ht="21.75" customHeight="1" x14ac:dyDescent="0.2">
      <c r="A128" s="97" t="s">
        <v>179</v>
      </c>
      <c r="B128" s="224">
        <v>0.4</v>
      </c>
      <c r="C128" s="224"/>
      <c r="D128" s="100" t="s">
        <v>176</v>
      </c>
      <c r="E128" s="167"/>
      <c r="F128" s="165"/>
    </row>
    <row r="129" spans="1:11" ht="21.75" customHeight="1" x14ac:dyDescent="0.2">
      <c r="A129" s="97" t="s">
        <v>180</v>
      </c>
      <c r="B129" s="224">
        <v>0.5</v>
      </c>
      <c r="C129" s="224"/>
      <c r="D129" s="100" t="s">
        <v>176</v>
      </c>
      <c r="E129" s="167"/>
      <c r="F129" s="165"/>
    </row>
    <row r="130" spans="1:11" ht="21.75" customHeight="1" x14ac:dyDescent="0.2">
      <c r="A130" s="97" t="s">
        <v>181</v>
      </c>
      <c r="B130" s="224">
        <v>0.6</v>
      </c>
      <c r="C130" s="224"/>
      <c r="D130" s="100" t="s">
        <v>176</v>
      </c>
      <c r="E130" s="167"/>
      <c r="F130" s="165"/>
    </row>
    <row r="131" spans="1:11" ht="21.75" customHeight="1" x14ac:dyDescent="0.2">
      <c r="A131" s="114" t="s">
        <v>182</v>
      </c>
      <c r="B131" s="118"/>
      <c r="C131" s="118"/>
      <c r="D131" s="118"/>
      <c r="E131" s="119"/>
    </row>
    <row r="132" spans="1:11" ht="21.75" customHeight="1" x14ac:dyDescent="0.2">
      <c r="A132" s="97" t="s">
        <v>183</v>
      </c>
      <c r="B132" s="100">
        <v>8900</v>
      </c>
      <c r="C132" s="100"/>
      <c r="D132" s="100">
        <v>8900</v>
      </c>
      <c r="E132" s="168"/>
      <c r="F132" s="110"/>
    </row>
    <row r="133" spans="1:11" ht="21.75" customHeight="1" x14ac:dyDescent="0.2">
      <c r="A133" s="148" t="s">
        <v>184</v>
      </c>
      <c r="B133" s="100">
        <v>14100</v>
      </c>
      <c r="C133" s="100"/>
      <c r="D133" s="100">
        <v>14100</v>
      </c>
      <c r="E133" s="169"/>
      <c r="F133" s="110"/>
    </row>
    <row r="134" spans="1:11" ht="21.75" customHeight="1" x14ac:dyDescent="0.2">
      <c r="A134" s="134" t="s">
        <v>185</v>
      </c>
      <c r="B134" s="135"/>
      <c r="C134" s="135"/>
      <c r="D134" s="135"/>
      <c r="E134" s="170"/>
      <c r="F134" s="110"/>
    </row>
    <row r="135" spans="1:11" ht="21.75" customHeight="1" x14ac:dyDescent="0.2">
      <c r="A135" s="97" t="s">
        <v>186</v>
      </c>
      <c r="B135" s="99">
        <v>4100</v>
      </c>
      <c r="C135" s="99"/>
      <c r="D135" s="99">
        <v>4100</v>
      </c>
      <c r="E135" s="101" t="s">
        <v>187</v>
      </c>
      <c r="F135" s="110"/>
      <c r="G135" s="102"/>
      <c r="H135" s="171"/>
    </row>
    <row r="136" spans="1:11" ht="21.75" customHeight="1" x14ac:dyDescent="0.2">
      <c r="A136" s="148" t="s">
        <v>188</v>
      </c>
      <c r="B136" s="100">
        <v>6800</v>
      </c>
      <c r="C136" s="100"/>
      <c r="D136" s="100">
        <v>6800</v>
      </c>
      <c r="E136" s="151" t="s">
        <v>187</v>
      </c>
      <c r="F136" s="110"/>
    </row>
    <row r="137" spans="1:11" ht="21.75" customHeight="1" x14ac:dyDescent="0.2">
      <c r="A137" s="172" t="s">
        <v>189</v>
      </c>
      <c r="B137" s="100">
        <v>10700</v>
      </c>
      <c r="C137" s="100"/>
      <c r="D137" s="100">
        <v>10700</v>
      </c>
      <c r="E137" s="151" t="s">
        <v>187</v>
      </c>
      <c r="F137" s="110"/>
    </row>
    <row r="138" spans="1:11" ht="21.75" customHeight="1" x14ac:dyDescent="0.2">
      <c r="A138" s="142" t="s">
        <v>190</v>
      </c>
      <c r="B138" s="100">
        <v>10700</v>
      </c>
      <c r="C138" s="100"/>
      <c r="D138" s="100">
        <v>10700</v>
      </c>
      <c r="E138" s="151" t="s">
        <v>187</v>
      </c>
      <c r="F138" s="110"/>
    </row>
    <row r="139" spans="1:11" ht="21.75" customHeight="1" x14ac:dyDescent="0.2">
      <c r="A139" s="97" t="s">
        <v>191</v>
      </c>
      <c r="B139" s="672"/>
      <c r="C139" s="672"/>
      <c r="D139" s="672"/>
      <c r="E139" s="673"/>
    </row>
    <row r="140" spans="1:11" ht="21.75" customHeight="1" x14ac:dyDescent="0.2">
      <c r="A140" s="173" t="s">
        <v>192</v>
      </c>
      <c r="B140" s="174"/>
      <c r="C140" s="174"/>
      <c r="D140" s="174"/>
      <c r="E140" s="175"/>
      <c r="H140" s="164"/>
      <c r="I140" s="113"/>
      <c r="J140" s="113"/>
      <c r="K140" s="113"/>
    </row>
    <row r="141" spans="1:11" ht="21.75" customHeight="1" x14ac:dyDescent="0.2">
      <c r="A141" s="97" t="s">
        <v>193</v>
      </c>
      <c r="B141" s="147">
        <v>13065</v>
      </c>
      <c r="C141" s="147"/>
      <c r="D141" s="147" t="s">
        <v>68</v>
      </c>
      <c r="E141" s="176">
        <v>2613000</v>
      </c>
      <c r="F141" s="177"/>
      <c r="G141" s="178"/>
      <c r="H141" s="179"/>
      <c r="I141" s="113"/>
      <c r="J141" s="113"/>
      <c r="K141" s="113"/>
    </row>
    <row r="142" spans="1:11" ht="21.75" customHeight="1" x14ac:dyDescent="0.2">
      <c r="A142" s="97" t="s">
        <v>194</v>
      </c>
      <c r="B142" s="147">
        <v>14400</v>
      </c>
      <c r="C142" s="147"/>
      <c r="D142" s="147" t="s">
        <v>68</v>
      </c>
      <c r="E142" s="176">
        <v>2880000</v>
      </c>
      <c r="F142" s="177"/>
      <c r="G142" s="178"/>
      <c r="H142" s="179"/>
      <c r="I142" s="113"/>
      <c r="J142" s="113"/>
      <c r="K142" s="113"/>
    </row>
    <row r="143" spans="1:11" ht="21.75" customHeight="1" x14ac:dyDescent="0.2">
      <c r="A143" s="97" t="s">
        <v>195</v>
      </c>
      <c r="B143" s="147">
        <v>15975</v>
      </c>
      <c r="C143" s="147"/>
      <c r="D143" s="147" t="s">
        <v>68</v>
      </c>
      <c r="E143" s="176">
        <v>3195000</v>
      </c>
      <c r="F143" s="177"/>
      <c r="G143" s="178"/>
      <c r="H143" s="179"/>
      <c r="I143" s="113"/>
      <c r="J143" s="113"/>
      <c r="K143" s="113"/>
    </row>
    <row r="144" spans="1:11" ht="21.75" customHeight="1" x14ac:dyDescent="0.2">
      <c r="A144" s="97" t="s">
        <v>196</v>
      </c>
      <c r="B144" s="147">
        <v>19540</v>
      </c>
      <c r="C144" s="147"/>
      <c r="D144" s="147" t="s">
        <v>68</v>
      </c>
      <c r="E144" s="176">
        <v>3908000</v>
      </c>
      <c r="F144" s="177"/>
      <c r="G144" s="178"/>
      <c r="H144" s="179"/>
      <c r="I144" s="113"/>
      <c r="J144" s="113"/>
      <c r="K144" s="113"/>
    </row>
    <row r="145" spans="1:18" ht="21.75" customHeight="1" x14ac:dyDescent="0.2">
      <c r="A145" s="97" t="s">
        <v>197</v>
      </c>
      <c r="B145" s="147">
        <v>13615</v>
      </c>
      <c r="C145" s="147"/>
      <c r="D145" s="180" t="s">
        <v>68</v>
      </c>
      <c r="E145" s="181">
        <v>2723000</v>
      </c>
      <c r="F145" s="113"/>
      <c r="G145" s="113"/>
      <c r="H145" s="113"/>
      <c r="I145" s="113"/>
      <c r="J145" s="113"/>
      <c r="K145" s="113"/>
      <c r="L145" s="182"/>
      <c r="M145" s="182"/>
      <c r="N145" s="182"/>
      <c r="O145" s="182"/>
      <c r="P145" s="182"/>
      <c r="Q145" s="182"/>
      <c r="R145" s="182"/>
    </row>
    <row r="146" spans="1:18" ht="21.75" customHeight="1" x14ac:dyDescent="0.2">
      <c r="A146" s="97" t="s">
        <v>198</v>
      </c>
      <c r="B146" s="147">
        <v>15035</v>
      </c>
      <c r="C146" s="147"/>
      <c r="D146" s="180" t="s">
        <v>68</v>
      </c>
      <c r="E146" s="181">
        <v>3007000</v>
      </c>
      <c r="F146" s="113"/>
      <c r="G146" s="113"/>
      <c r="H146" s="113"/>
      <c r="I146" s="113"/>
      <c r="J146" s="113"/>
      <c r="K146" s="113"/>
    </row>
    <row r="147" spans="1:18" ht="21.75" customHeight="1" x14ac:dyDescent="0.2">
      <c r="A147" s="97" t="s">
        <v>199</v>
      </c>
      <c r="B147" s="147">
        <v>16770</v>
      </c>
      <c r="C147" s="147"/>
      <c r="D147" s="180" t="s">
        <v>68</v>
      </c>
      <c r="E147" s="181">
        <v>3354000</v>
      </c>
      <c r="F147" s="113"/>
      <c r="G147" s="113"/>
      <c r="H147" s="113"/>
      <c r="I147" s="113"/>
      <c r="J147" s="113"/>
      <c r="K147" s="113"/>
    </row>
    <row r="148" spans="1:18" ht="21.75" customHeight="1" x14ac:dyDescent="0.2">
      <c r="A148" s="97" t="s">
        <v>200</v>
      </c>
      <c r="B148" s="147">
        <v>20725</v>
      </c>
      <c r="C148" s="147"/>
      <c r="D148" s="180" t="s">
        <v>68</v>
      </c>
      <c r="E148" s="181">
        <v>4145000</v>
      </c>
      <c r="F148" s="113"/>
      <c r="G148" s="113"/>
      <c r="H148" s="113"/>
      <c r="I148" s="113"/>
      <c r="J148" s="113"/>
      <c r="K148" s="113"/>
    </row>
    <row r="149" spans="1:18" ht="21.75" customHeight="1" x14ac:dyDescent="0.2">
      <c r="A149" s="97" t="s">
        <v>201</v>
      </c>
      <c r="B149" s="147">
        <v>15975</v>
      </c>
      <c r="C149" s="147"/>
      <c r="D149" s="180" t="s">
        <v>68</v>
      </c>
      <c r="E149" s="181">
        <v>3195000</v>
      </c>
      <c r="F149" s="113"/>
      <c r="G149" s="113"/>
      <c r="H149" s="113"/>
      <c r="I149" s="113"/>
      <c r="J149" s="113"/>
      <c r="K149" s="113"/>
    </row>
    <row r="150" spans="1:18" ht="21.75" customHeight="1" x14ac:dyDescent="0.2">
      <c r="A150" s="97" t="s">
        <v>202</v>
      </c>
      <c r="B150" s="147">
        <v>17655</v>
      </c>
      <c r="C150" s="147"/>
      <c r="D150" s="180" t="s">
        <v>68</v>
      </c>
      <c r="E150" s="181">
        <v>3531000</v>
      </c>
      <c r="F150" s="113"/>
      <c r="G150" s="113"/>
      <c r="H150" s="113"/>
      <c r="I150" s="113"/>
      <c r="J150" s="113"/>
      <c r="K150" s="113"/>
    </row>
    <row r="151" spans="1:18" ht="21.75" customHeight="1" x14ac:dyDescent="0.2">
      <c r="A151" s="97" t="s">
        <v>203</v>
      </c>
      <c r="B151" s="147">
        <v>22025</v>
      </c>
      <c r="C151" s="147"/>
      <c r="D151" s="180" t="s">
        <v>68</v>
      </c>
      <c r="E151" s="181">
        <v>4405000</v>
      </c>
      <c r="F151" s="113"/>
      <c r="G151" s="113"/>
      <c r="H151" s="113"/>
      <c r="I151" s="113"/>
      <c r="J151" s="113"/>
      <c r="K151" s="113"/>
    </row>
    <row r="152" spans="1:18" ht="21.75" customHeight="1" x14ac:dyDescent="0.2">
      <c r="A152" s="183" t="s">
        <v>204</v>
      </c>
      <c r="B152" s="147">
        <v>18615</v>
      </c>
      <c r="C152" s="147"/>
      <c r="D152" s="180" t="s">
        <v>68</v>
      </c>
      <c r="E152" s="181">
        <v>3723000</v>
      </c>
      <c r="F152" s="113"/>
      <c r="G152" s="113"/>
      <c r="H152" s="113"/>
      <c r="I152" s="113"/>
      <c r="J152" s="113"/>
      <c r="K152" s="113"/>
    </row>
    <row r="153" spans="1:18" ht="21.75" customHeight="1" x14ac:dyDescent="0.2">
      <c r="A153" s="97" t="s">
        <v>205</v>
      </c>
      <c r="B153" s="147">
        <v>23440</v>
      </c>
      <c r="C153" s="147"/>
      <c r="D153" s="180" t="s">
        <v>68</v>
      </c>
      <c r="E153" s="181">
        <v>4688000</v>
      </c>
      <c r="F153" s="113"/>
      <c r="G153" s="113"/>
      <c r="H153" s="113"/>
      <c r="I153" s="113"/>
      <c r="J153" s="113"/>
      <c r="K153" s="113"/>
    </row>
    <row r="154" spans="1:18" ht="21.75" customHeight="1" x14ac:dyDescent="0.2">
      <c r="A154" s="97" t="s">
        <v>206</v>
      </c>
      <c r="B154" s="147">
        <v>25165</v>
      </c>
      <c r="C154" s="147"/>
      <c r="D154" s="180" t="s">
        <v>68</v>
      </c>
      <c r="E154" s="181">
        <v>5033000</v>
      </c>
      <c r="F154" s="113"/>
      <c r="G154" s="113"/>
      <c r="H154" s="113"/>
      <c r="I154" s="113"/>
    </row>
    <row r="155" spans="1:18" ht="21.75" customHeight="1" x14ac:dyDescent="0.2">
      <c r="A155" s="97" t="s">
        <v>216</v>
      </c>
      <c r="B155" s="100">
        <v>266800</v>
      </c>
      <c r="C155" s="100"/>
      <c r="D155" s="180"/>
      <c r="E155" s="181"/>
      <c r="F155" s="113"/>
      <c r="G155" s="113"/>
      <c r="H155" s="113"/>
      <c r="I155" s="113"/>
    </row>
    <row r="156" spans="1:18" ht="21.75" customHeight="1" x14ac:dyDescent="0.2">
      <c r="A156" s="97" t="s">
        <v>217</v>
      </c>
      <c r="B156" s="100">
        <v>90800</v>
      </c>
      <c r="C156" s="100"/>
      <c r="D156" s="180"/>
      <c r="E156" s="181"/>
      <c r="F156" s="113"/>
      <c r="G156" s="113"/>
      <c r="H156" s="113"/>
      <c r="I156" s="113"/>
    </row>
    <row r="157" spans="1:18" ht="21.75" customHeight="1" x14ac:dyDescent="0.2">
      <c r="A157" s="145" t="s">
        <v>252</v>
      </c>
      <c r="B157" s="100">
        <f>+E157/100</f>
        <v>13065</v>
      </c>
      <c r="C157" s="100"/>
      <c r="D157" s="180"/>
      <c r="E157" s="219">
        <v>1306500</v>
      </c>
      <c r="F157" s="113"/>
      <c r="G157" s="113"/>
      <c r="H157" s="113"/>
      <c r="I157" s="113"/>
    </row>
    <row r="158" spans="1:18" ht="21.75" customHeight="1" x14ac:dyDescent="0.2">
      <c r="A158" s="145" t="s">
        <v>253</v>
      </c>
      <c r="B158" s="100">
        <f>+E158/100</f>
        <v>14400</v>
      </c>
      <c r="C158" s="100"/>
      <c r="D158" s="180"/>
      <c r="E158" s="219">
        <v>1440000</v>
      </c>
      <c r="F158" s="113"/>
      <c r="G158" s="113"/>
      <c r="H158" s="113"/>
      <c r="I158" s="113"/>
    </row>
    <row r="159" spans="1:18" ht="21.75" customHeight="1" x14ac:dyDescent="0.2">
      <c r="A159" s="145" t="s">
        <v>254</v>
      </c>
      <c r="B159" s="100">
        <f>+E159/100</f>
        <v>15975</v>
      </c>
      <c r="C159" s="100"/>
      <c r="D159" s="180"/>
      <c r="E159" s="219">
        <v>1597500</v>
      </c>
      <c r="F159" s="113"/>
      <c r="G159" s="113"/>
      <c r="H159" s="113"/>
      <c r="I159" s="113"/>
    </row>
    <row r="160" spans="1:18" ht="21.75" customHeight="1" x14ac:dyDescent="0.2">
      <c r="A160" s="145" t="s">
        <v>255</v>
      </c>
      <c r="B160" s="100">
        <f>+E160/100</f>
        <v>19540</v>
      </c>
      <c r="C160" s="100"/>
      <c r="D160" s="180"/>
      <c r="E160" s="219">
        <v>1954000</v>
      </c>
      <c r="F160" s="113"/>
      <c r="G160" s="113"/>
      <c r="H160" s="113"/>
      <c r="I160" s="113"/>
    </row>
    <row r="161" spans="1:9" ht="21.75" customHeight="1" x14ac:dyDescent="0.2">
      <c r="A161" s="101" t="s">
        <v>207</v>
      </c>
      <c r="B161" s="147">
        <v>11580</v>
      </c>
      <c r="C161" s="147"/>
      <c r="D161" s="147" t="s">
        <v>68</v>
      </c>
      <c r="E161" s="184">
        <v>2316000</v>
      </c>
      <c r="F161" s="113"/>
      <c r="G161" s="113"/>
      <c r="H161" s="113"/>
      <c r="I161" s="113"/>
    </row>
    <row r="162" spans="1:9" ht="21.75" customHeight="1" x14ac:dyDescent="0.2">
      <c r="A162" s="97" t="s">
        <v>208</v>
      </c>
      <c r="B162" s="147">
        <v>33970</v>
      </c>
      <c r="C162" s="147"/>
      <c r="D162" s="180" t="s">
        <v>68</v>
      </c>
      <c r="E162" s="181"/>
      <c r="F162" s="113"/>
      <c r="G162" s="113"/>
      <c r="H162" s="113"/>
      <c r="I162" s="113"/>
    </row>
    <row r="163" spans="1:9" ht="21.75" customHeight="1" x14ac:dyDescent="0.2">
      <c r="A163" s="97" t="s">
        <v>209</v>
      </c>
      <c r="B163" s="147">
        <v>34390</v>
      </c>
      <c r="C163" s="147"/>
      <c r="D163" s="180" t="s">
        <v>68</v>
      </c>
      <c r="E163" s="181"/>
      <c r="F163" s="113"/>
      <c r="G163" s="113"/>
      <c r="H163" s="113"/>
      <c r="I163" s="113"/>
    </row>
    <row r="164" spans="1:9" ht="21.75" customHeight="1" x14ac:dyDescent="0.2">
      <c r="A164" s="97" t="s">
        <v>210</v>
      </c>
      <c r="B164" s="147">
        <v>35700</v>
      </c>
      <c r="C164" s="147"/>
      <c r="D164" s="180" t="s">
        <v>68</v>
      </c>
      <c r="E164" s="181"/>
      <c r="F164" s="217"/>
      <c r="G164" s="178"/>
    </row>
    <row r="165" spans="1:9" ht="21.75" customHeight="1" x14ac:dyDescent="0.2">
      <c r="A165" s="97" t="s">
        <v>211</v>
      </c>
      <c r="B165" s="147">
        <v>38170</v>
      </c>
      <c r="C165" s="147"/>
      <c r="D165" s="180" t="s">
        <v>68</v>
      </c>
      <c r="E165" s="181"/>
      <c r="F165" s="185"/>
    </row>
    <row r="166" spans="1:9" ht="21.75" customHeight="1" x14ac:dyDescent="0.2">
      <c r="A166" s="97" t="s">
        <v>212</v>
      </c>
      <c r="B166" s="187" t="s">
        <v>213</v>
      </c>
      <c r="C166" s="188"/>
      <c r="D166" s="188"/>
      <c r="E166" s="167"/>
    </row>
    <row r="167" spans="1:9" ht="21.75" customHeight="1" x14ac:dyDescent="0.2">
      <c r="A167" s="97" t="s">
        <v>214</v>
      </c>
      <c r="B167" s="187" t="s">
        <v>215</v>
      </c>
      <c r="C167" s="188"/>
      <c r="D167" s="188"/>
      <c r="E167" s="167"/>
    </row>
    <row r="168" spans="1:9" ht="21.75" customHeight="1" x14ac:dyDescent="0.2">
      <c r="A168" s="97" t="s">
        <v>216</v>
      </c>
      <c r="B168" s="100">
        <v>266800</v>
      </c>
      <c r="C168" s="100"/>
      <c r="D168" s="100" t="s">
        <v>68</v>
      </c>
      <c r="E168" s="101"/>
      <c r="F168" s="186"/>
    </row>
    <row r="169" spans="1:9" ht="21.75" customHeight="1" x14ac:dyDescent="0.2">
      <c r="A169" s="97" t="s">
        <v>217</v>
      </c>
      <c r="B169" s="100">
        <v>90800</v>
      </c>
      <c r="C169" s="100"/>
      <c r="D169" s="100" t="s">
        <v>68</v>
      </c>
      <c r="E169" s="101"/>
      <c r="F169" s="186"/>
    </row>
    <row r="170" spans="1:9" ht="33.75" customHeight="1" x14ac:dyDescent="0.2">
      <c r="A170" s="126" t="s">
        <v>218</v>
      </c>
      <c r="B170" s="674" t="s">
        <v>219</v>
      </c>
      <c r="C170" s="674"/>
      <c r="D170" s="674"/>
      <c r="E170" s="675"/>
      <c r="G170" s="103"/>
    </row>
    <row r="171" spans="1:9" ht="21.75" customHeight="1" x14ac:dyDescent="0.2">
      <c r="A171" s="189" t="s">
        <v>220</v>
      </c>
      <c r="B171" s="661" t="s">
        <v>221</v>
      </c>
      <c r="C171" s="661"/>
      <c r="D171" s="661"/>
      <c r="E171" s="662"/>
      <c r="G171" s="103"/>
    </row>
    <row r="172" spans="1:9" ht="21.75" customHeight="1" x14ac:dyDescent="0.2">
      <c r="A172" s="190" t="s">
        <v>222</v>
      </c>
      <c r="B172" s="191"/>
      <c r="C172" s="191"/>
      <c r="D172" s="191"/>
      <c r="E172" s="192"/>
    </row>
    <row r="173" spans="1:9" ht="21.75" customHeight="1" x14ac:dyDescent="0.2">
      <c r="A173" s="183" t="s">
        <v>223</v>
      </c>
      <c r="B173" s="99">
        <v>11400</v>
      </c>
      <c r="C173" s="99"/>
      <c r="D173" s="99">
        <v>11400</v>
      </c>
      <c r="E173" s="193"/>
      <c r="F173" s="185"/>
    </row>
    <row r="174" spans="1:9" ht="21.75" customHeight="1" x14ac:dyDescent="0.2">
      <c r="A174" s="183" t="s">
        <v>703</v>
      </c>
      <c r="B174" s="99">
        <v>17600</v>
      </c>
      <c r="C174" s="99"/>
      <c r="D174" s="99">
        <v>17600</v>
      </c>
      <c r="E174" s="193"/>
      <c r="F174" s="185"/>
    </row>
    <row r="175" spans="1:9" ht="21.75" customHeight="1" x14ac:dyDescent="0.2">
      <c r="A175" s="183" t="s">
        <v>224</v>
      </c>
      <c r="B175" s="99">
        <v>27600</v>
      </c>
      <c r="C175" s="99"/>
      <c r="D175" s="99">
        <v>27600</v>
      </c>
      <c r="E175" s="193"/>
      <c r="F175" s="185"/>
    </row>
    <row r="176" spans="1:9" ht="21.75" customHeight="1" x14ac:dyDescent="0.2">
      <c r="A176" s="183" t="s">
        <v>225</v>
      </c>
      <c r="B176" s="99">
        <v>33200</v>
      </c>
      <c r="C176" s="99"/>
      <c r="D176" s="99">
        <v>33200</v>
      </c>
      <c r="E176" s="193"/>
      <c r="F176" s="185"/>
    </row>
    <row r="177" spans="1:8" ht="21.75" customHeight="1" x14ac:dyDescent="0.2">
      <c r="A177" s="183" t="s">
        <v>226</v>
      </c>
      <c r="B177" s="99">
        <v>38700</v>
      </c>
      <c r="C177" s="99"/>
      <c r="D177" s="99">
        <v>38700</v>
      </c>
      <c r="E177" s="193"/>
      <c r="F177" s="185"/>
    </row>
    <row r="178" spans="1:8" ht="21.75" customHeight="1" x14ac:dyDescent="0.2">
      <c r="A178" s="183" t="s">
        <v>227</v>
      </c>
      <c r="B178" s="99">
        <v>44200</v>
      </c>
      <c r="C178" s="99"/>
      <c r="D178" s="99">
        <v>44200</v>
      </c>
      <c r="E178" s="193"/>
      <c r="F178" s="185"/>
    </row>
    <row r="179" spans="1:8" ht="21.75" customHeight="1" x14ac:dyDescent="0.2">
      <c r="A179" s="183" t="s">
        <v>228</v>
      </c>
      <c r="B179" s="99">
        <v>41600</v>
      </c>
      <c r="C179" s="99"/>
      <c r="D179" s="99">
        <v>41600</v>
      </c>
      <c r="E179" s="193"/>
      <c r="F179" s="185"/>
    </row>
    <row r="180" spans="1:8" ht="21.75" customHeight="1" x14ac:dyDescent="0.2">
      <c r="A180" s="183" t="s">
        <v>229</v>
      </c>
      <c r="B180" s="99">
        <v>49800</v>
      </c>
      <c r="C180" s="99"/>
      <c r="D180" s="99">
        <v>49800</v>
      </c>
      <c r="E180" s="193"/>
      <c r="F180" s="185"/>
      <c r="H180" s="194"/>
    </row>
    <row r="181" spans="1:8" ht="21.75" customHeight="1" x14ac:dyDescent="0.2">
      <c r="A181" s="183" t="s">
        <v>230</v>
      </c>
      <c r="B181" s="99">
        <v>58200</v>
      </c>
      <c r="C181" s="99"/>
      <c r="D181" s="99">
        <v>58200</v>
      </c>
      <c r="E181" s="193"/>
      <c r="F181" s="185"/>
    </row>
    <row r="182" spans="1:8" ht="21.75" customHeight="1" x14ac:dyDescent="0.2">
      <c r="A182" s="195" t="s">
        <v>231</v>
      </c>
      <c r="B182" s="149">
        <v>66600</v>
      </c>
      <c r="C182" s="149"/>
      <c r="D182" s="149">
        <v>66600</v>
      </c>
      <c r="E182" s="157"/>
      <c r="F182" s="185"/>
    </row>
    <row r="183" spans="1:8" ht="12" customHeight="1" x14ac:dyDescent="0.2">
      <c r="A183" s="663" t="s">
        <v>232</v>
      </c>
      <c r="B183" s="196" t="s">
        <v>233</v>
      </c>
      <c r="C183" s="196"/>
      <c r="D183" s="196" t="s">
        <v>233</v>
      </c>
      <c r="E183" s="197"/>
      <c r="F183" s="185"/>
    </row>
    <row r="184" spans="1:8" ht="33.75" customHeight="1" x14ac:dyDescent="0.2">
      <c r="A184" s="664"/>
      <c r="B184" s="199">
        <v>66600</v>
      </c>
      <c r="C184" s="199"/>
      <c r="D184" s="199">
        <v>66600</v>
      </c>
      <c r="E184" s="200" t="s">
        <v>234</v>
      </c>
      <c r="F184" s="185"/>
    </row>
    <row r="185" spans="1:8" ht="8.25" customHeight="1" x14ac:dyDescent="0.2">
      <c r="A185" s="664"/>
      <c r="B185" s="198" t="s">
        <v>235</v>
      </c>
      <c r="C185" s="198"/>
      <c r="D185" s="198" t="s">
        <v>235</v>
      </c>
      <c r="E185" s="200"/>
      <c r="F185" s="185"/>
    </row>
    <row r="186" spans="1:8" ht="13.5" customHeight="1" x14ac:dyDescent="0.2">
      <c r="A186" s="665"/>
      <c r="B186" s="155">
        <v>206500</v>
      </c>
      <c r="C186" s="155"/>
      <c r="D186" s="155">
        <v>206500</v>
      </c>
      <c r="E186" s="201"/>
    </row>
    <row r="187" spans="1:8" ht="21.75" customHeight="1" x14ac:dyDescent="0.2">
      <c r="A187" s="202" t="s">
        <v>236</v>
      </c>
      <c r="B187" s="203"/>
      <c r="C187" s="203"/>
      <c r="D187" s="203"/>
      <c r="E187" s="204"/>
    </row>
    <row r="188" spans="1:8" ht="21.75" customHeight="1" x14ac:dyDescent="0.2">
      <c r="A188" s="154" t="s">
        <v>237</v>
      </c>
      <c r="B188" s="162" t="s">
        <v>238</v>
      </c>
      <c r="C188" s="162"/>
      <c r="D188" s="162" t="s">
        <v>68</v>
      </c>
      <c r="E188" s="156"/>
      <c r="G188" s="110"/>
    </row>
    <row r="189" spans="1:8" ht="21.75" customHeight="1" x14ac:dyDescent="0.2">
      <c r="A189" s="193" t="s">
        <v>239</v>
      </c>
      <c r="B189" s="100" t="s">
        <v>240</v>
      </c>
      <c r="C189" s="100"/>
      <c r="D189" s="100" t="s">
        <v>68</v>
      </c>
      <c r="E189" s="205"/>
    </row>
    <row r="190" spans="1:8" ht="21.75" customHeight="1" x14ac:dyDescent="0.2">
      <c r="A190" s="157" t="s">
        <v>241</v>
      </c>
      <c r="B190" s="150" t="s">
        <v>242</v>
      </c>
      <c r="C190" s="150"/>
      <c r="D190" s="150" t="s">
        <v>68</v>
      </c>
      <c r="E190" s="206"/>
    </row>
    <row r="191" spans="1:8" ht="21.75" customHeight="1" x14ac:dyDescent="0.2">
      <c r="A191" s="207" t="s">
        <v>243</v>
      </c>
      <c r="B191" s="208"/>
      <c r="C191" s="208"/>
      <c r="D191" s="208"/>
      <c r="E191" s="209"/>
    </row>
    <row r="192" spans="1:8" ht="21.75" customHeight="1" x14ac:dyDescent="0.2">
      <c r="A192" s="161" t="s">
        <v>244</v>
      </c>
      <c r="B192" s="162">
        <v>3300</v>
      </c>
      <c r="C192" s="162"/>
      <c r="D192" s="162" t="s">
        <v>68</v>
      </c>
      <c r="E192" s="163" t="s">
        <v>245</v>
      </c>
      <c r="F192" s="110"/>
    </row>
    <row r="193" spans="1:9" ht="42" customHeight="1" x14ac:dyDescent="0.2">
      <c r="A193" s="666" t="s">
        <v>246</v>
      </c>
      <c r="B193" s="668" t="s">
        <v>247</v>
      </c>
      <c r="C193" s="668"/>
      <c r="D193" s="668"/>
      <c r="E193" s="669"/>
      <c r="F193" s="210"/>
      <c r="G193" s="102"/>
    </row>
    <row r="194" spans="1:9" ht="18.75" customHeight="1" x14ac:dyDescent="0.2">
      <c r="A194" s="667"/>
      <c r="B194" s="670"/>
      <c r="C194" s="670"/>
      <c r="D194" s="670"/>
      <c r="E194" s="671"/>
      <c r="F194" s="210"/>
      <c r="G194" s="102"/>
    </row>
    <row r="195" spans="1:9" x14ac:dyDescent="0.2">
      <c r="A195" s="211" t="s">
        <v>248</v>
      </c>
      <c r="B195" s="109"/>
      <c r="C195" s="109"/>
      <c r="D195" s="109"/>
      <c r="E195" s="109"/>
    </row>
    <row r="196" spans="1:9" x14ac:dyDescent="0.2">
      <c r="A196" s="88" t="s">
        <v>249</v>
      </c>
    </row>
    <row r="197" spans="1:9" x14ac:dyDescent="0.2">
      <c r="A197" s="88"/>
    </row>
    <row r="199" spans="1:9" ht="13.5" customHeight="1" x14ac:dyDescent="0.2">
      <c r="A199" s="88" t="s">
        <v>250</v>
      </c>
      <c r="B199" s="92"/>
      <c r="C199" s="92"/>
      <c r="D199" s="92"/>
      <c r="E199" s="92"/>
      <c r="F199" s="92"/>
      <c r="G199" s="92"/>
    </row>
    <row r="200" spans="1:9" x14ac:dyDescent="0.2">
      <c r="A200" s="88" t="s">
        <v>251</v>
      </c>
      <c r="B200" s="92"/>
      <c r="C200" s="92"/>
      <c r="D200" s="92"/>
      <c r="E200" s="92"/>
      <c r="F200" s="92"/>
      <c r="G200" s="92"/>
    </row>
    <row r="201" spans="1:9" ht="15.75" customHeight="1" x14ac:dyDescent="0.2">
      <c r="A201" s="212"/>
    </row>
    <row r="202" spans="1:9" s="89" customFormat="1" ht="12" x14ac:dyDescent="0.2">
      <c r="A202" s="213"/>
      <c r="E202" s="87"/>
      <c r="F202" s="87"/>
      <c r="G202" s="87"/>
      <c r="H202" s="87"/>
      <c r="I202" s="87"/>
    </row>
    <row r="203" spans="1:9" s="89" customFormat="1" ht="15.75" customHeight="1" x14ac:dyDescent="0.2">
      <c r="A203" s="87"/>
      <c r="E203" s="87"/>
      <c r="F203" s="87"/>
      <c r="G203" s="87"/>
      <c r="H203" s="87"/>
      <c r="I203" s="87"/>
    </row>
    <row r="204" spans="1:9" s="89" customFormat="1" ht="15.75" customHeight="1" x14ac:dyDescent="0.2">
      <c r="A204" s="87"/>
      <c r="E204" s="87"/>
      <c r="F204" s="87"/>
      <c r="G204" s="87"/>
      <c r="H204" s="87"/>
      <c r="I204" s="87"/>
    </row>
    <row r="205" spans="1:9" s="89" customFormat="1" ht="15.75" customHeight="1" x14ac:dyDescent="0.2">
      <c r="A205" s="87"/>
      <c r="E205" s="87"/>
      <c r="F205" s="87"/>
      <c r="G205" s="179"/>
      <c r="H205" s="87"/>
      <c r="I205" s="87"/>
    </row>
    <row r="206" spans="1:9" s="89" customFormat="1" ht="15.75" customHeight="1" x14ac:dyDescent="0.2">
      <c r="A206" s="87"/>
      <c r="E206" s="87"/>
      <c r="F206" s="87"/>
      <c r="G206" s="87"/>
      <c r="H206" s="87"/>
      <c r="I206" s="87"/>
    </row>
    <row r="207" spans="1:9" s="89" customFormat="1" ht="15.75" customHeight="1" x14ac:dyDescent="0.2">
      <c r="A207" s="87"/>
      <c r="E207" s="87"/>
      <c r="F207" s="87"/>
      <c r="G207" s="87"/>
      <c r="H207" s="87"/>
      <c r="I207" s="87"/>
    </row>
    <row r="208" spans="1:9" s="89" customFormat="1" ht="15.75" customHeight="1" x14ac:dyDescent="0.2">
      <c r="A208" s="87"/>
      <c r="E208" s="87"/>
      <c r="F208" s="87"/>
      <c r="G208" s="179"/>
      <c r="H208" s="87"/>
      <c r="I208" s="87"/>
    </row>
    <row r="209" spans="1:9" s="89" customFormat="1" ht="15.75" customHeight="1" x14ac:dyDescent="0.2">
      <c r="A209" s="87"/>
      <c r="E209" s="87"/>
      <c r="F209" s="87"/>
      <c r="G209" s="87"/>
      <c r="H209" s="87"/>
      <c r="I209" s="87"/>
    </row>
    <row r="210" spans="1:9" s="89" customFormat="1" ht="15.75" customHeight="1" x14ac:dyDescent="0.2">
      <c r="A210" s="87"/>
      <c r="E210" s="87"/>
      <c r="F210" s="87"/>
      <c r="G210" s="87"/>
      <c r="H210" s="87"/>
      <c r="I210" s="87"/>
    </row>
    <row r="211" spans="1:9" s="89" customFormat="1" ht="15.75" customHeight="1" x14ac:dyDescent="0.2">
      <c r="A211" s="87"/>
      <c r="E211" s="87"/>
      <c r="F211" s="87"/>
      <c r="G211" s="87"/>
      <c r="H211" s="87"/>
      <c r="I211" s="87"/>
    </row>
    <row r="212" spans="1:9" s="89" customFormat="1" ht="15.75" customHeight="1" x14ac:dyDescent="0.2">
      <c r="A212" s="87"/>
      <c r="E212" s="87"/>
      <c r="F212" s="87"/>
      <c r="G212" s="87"/>
      <c r="H212" s="87"/>
      <c r="I212" s="87"/>
    </row>
    <row r="213" spans="1:9" s="89" customFormat="1" ht="15.75" customHeight="1" x14ac:dyDescent="0.2">
      <c r="A213" s="87"/>
      <c r="E213" s="87"/>
      <c r="F213" s="87"/>
      <c r="G213" s="87"/>
      <c r="H213" s="87"/>
      <c r="I213" s="87"/>
    </row>
    <row r="214" spans="1:9" s="89" customFormat="1" ht="15.75" customHeight="1" x14ac:dyDescent="0.2">
      <c r="A214" s="87"/>
      <c r="E214" s="87"/>
      <c r="F214" s="87"/>
      <c r="G214" s="87"/>
      <c r="H214" s="87"/>
      <c r="I214" s="87"/>
    </row>
    <row r="215" spans="1:9" s="89" customFormat="1" ht="15.75" customHeight="1" x14ac:dyDescent="0.2">
      <c r="A215" s="87"/>
      <c r="E215" s="87"/>
      <c r="F215" s="87"/>
      <c r="G215" s="87"/>
      <c r="H215" s="87"/>
      <c r="I215" s="87"/>
    </row>
    <row r="216" spans="1:9" s="89" customFormat="1" ht="15.75" customHeight="1" x14ac:dyDescent="0.2">
      <c r="A216" s="87"/>
      <c r="E216" s="87"/>
      <c r="F216" s="87"/>
      <c r="G216" s="87"/>
      <c r="H216" s="87"/>
      <c r="I216" s="87"/>
    </row>
    <row r="217" spans="1:9" s="89" customFormat="1" ht="15.75" customHeight="1" x14ac:dyDescent="0.2">
      <c r="A217" s="87"/>
      <c r="E217" s="87"/>
      <c r="F217" s="87"/>
      <c r="G217" s="87"/>
      <c r="H217" s="87"/>
      <c r="I217" s="87"/>
    </row>
    <row r="218" spans="1:9" ht="15.75" customHeight="1" x14ac:dyDescent="0.2"/>
    <row r="219" spans="1:9" ht="15.75" customHeight="1" x14ac:dyDescent="0.2"/>
    <row r="220" spans="1:9" ht="15.75" customHeight="1" x14ac:dyDescent="0.2"/>
    <row r="221" spans="1:9" ht="15.75" customHeight="1" x14ac:dyDescent="0.2"/>
    <row r="222" spans="1:9" ht="15.75" customHeight="1" x14ac:dyDescent="0.2"/>
    <row r="223" spans="1:9" ht="15.75" customHeight="1" x14ac:dyDescent="0.2"/>
    <row r="224" spans="1:9" ht="15.75" customHeight="1" x14ac:dyDescent="0.2"/>
    <row r="225" spans="1:9" ht="15.75" customHeight="1" x14ac:dyDescent="0.2"/>
    <row r="226" spans="1:9" ht="15.75" customHeight="1" x14ac:dyDescent="0.2"/>
    <row r="227" spans="1:9" ht="15.75" customHeight="1" x14ac:dyDescent="0.2"/>
    <row r="228" spans="1:9" ht="15.75" customHeight="1" x14ac:dyDescent="0.2"/>
    <row r="229" spans="1:9" ht="15.75" customHeight="1" x14ac:dyDescent="0.2"/>
    <row r="230" spans="1:9" ht="15.75" customHeight="1" x14ac:dyDescent="0.2"/>
    <row r="231" spans="1:9" ht="15.75" customHeight="1" x14ac:dyDescent="0.2"/>
    <row r="232" spans="1:9" ht="15.75" customHeight="1" x14ac:dyDescent="0.2">
      <c r="A232" s="109"/>
    </row>
    <row r="233" spans="1:9" ht="15.75" customHeight="1" x14ac:dyDescent="0.2"/>
    <row r="234" spans="1:9" s="89" customFormat="1" ht="15.75" customHeight="1" x14ac:dyDescent="0.2">
      <c r="A234" s="87"/>
      <c r="E234" s="87"/>
      <c r="F234" s="87"/>
      <c r="G234" s="87"/>
      <c r="H234" s="87"/>
      <c r="I234" s="87"/>
    </row>
    <row r="235" spans="1:9" s="89" customFormat="1" ht="15.75" customHeight="1" x14ac:dyDescent="0.2">
      <c r="A235" s="87"/>
      <c r="E235" s="87"/>
      <c r="F235" s="87"/>
      <c r="G235" s="87"/>
      <c r="H235" s="87"/>
      <c r="I235" s="87"/>
    </row>
    <row r="236" spans="1:9" s="89" customFormat="1" ht="15.75" customHeight="1" x14ac:dyDescent="0.2">
      <c r="A236" s="87"/>
      <c r="E236" s="87"/>
      <c r="F236" s="87"/>
      <c r="G236" s="87"/>
      <c r="H236" s="87"/>
      <c r="I236" s="87"/>
    </row>
    <row r="237" spans="1:9" s="89" customFormat="1" ht="15.75" customHeight="1" x14ac:dyDescent="0.2">
      <c r="A237" s="87"/>
      <c r="E237" s="87"/>
      <c r="F237" s="87"/>
      <c r="G237" s="87"/>
      <c r="H237" s="87"/>
      <c r="I237" s="87"/>
    </row>
    <row r="238" spans="1:9" s="89" customFormat="1" ht="15.75" customHeight="1" x14ac:dyDescent="0.2">
      <c r="A238" s="87"/>
      <c r="E238" s="87"/>
      <c r="F238" s="87"/>
      <c r="G238" s="87"/>
      <c r="H238" s="87"/>
      <c r="I238" s="87"/>
    </row>
    <row r="239" spans="1:9" s="89" customFormat="1" ht="15.75" customHeight="1" x14ac:dyDescent="0.2">
      <c r="A239" s="87"/>
      <c r="E239" s="87"/>
      <c r="F239" s="87"/>
      <c r="G239" s="87"/>
      <c r="H239" s="87"/>
      <c r="I239" s="87"/>
    </row>
    <row r="240" spans="1:9" s="89" customFormat="1" ht="15.75" customHeight="1" x14ac:dyDescent="0.2">
      <c r="A240" s="87"/>
      <c r="E240" s="87"/>
      <c r="F240" s="87"/>
      <c r="G240" s="87"/>
      <c r="H240" s="87"/>
      <c r="I240" s="87"/>
    </row>
    <row r="241" spans="1:9" s="89" customFormat="1" ht="15.75" customHeight="1" x14ac:dyDescent="0.2">
      <c r="A241" s="87"/>
      <c r="E241" s="87"/>
      <c r="F241" s="87"/>
      <c r="G241" s="87"/>
      <c r="H241" s="87"/>
      <c r="I241" s="87"/>
    </row>
    <row r="242" spans="1:9" s="89" customFormat="1" ht="15.75" customHeight="1" x14ac:dyDescent="0.2">
      <c r="A242" s="87"/>
      <c r="E242" s="87"/>
      <c r="F242" s="87"/>
      <c r="G242" s="87"/>
      <c r="H242" s="87"/>
      <c r="I242" s="87"/>
    </row>
    <row r="243" spans="1:9" s="89" customFormat="1" ht="15.75" customHeight="1" x14ac:dyDescent="0.2">
      <c r="A243" s="87"/>
      <c r="E243" s="87"/>
      <c r="F243" s="87"/>
      <c r="G243" s="87"/>
      <c r="H243" s="87"/>
      <c r="I243" s="87"/>
    </row>
    <row r="244" spans="1:9" s="89" customFormat="1" ht="15.75" customHeight="1" x14ac:dyDescent="0.2">
      <c r="A244" s="87"/>
      <c r="E244" s="87"/>
      <c r="F244" s="87"/>
      <c r="G244" s="87"/>
      <c r="H244" s="87"/>
      <c r="I244" s="87"/>
    </row>
    <row r="245" spans="1:9" s="89" customFormat="1" ht="15.75" customHeight="1" x14ac:dyDescent="0.2">
      <c r="A245" s="87"/>
      <c r="E245" s="87"/>
      <c r="F245" s="87"/>
      <c r="G245" s="87"/>
      <c r="H245" s="87"/>
      <c r="I245" s="87"/>
    </row>
    <row r="246" spans="1:9" s="89" customFormat="1" ht="15.75" customHeight="1" x14ac:dyDescent="0.2">
      <c r="A246" s="87"/>
      <c r="E246" s="87"/>
      <c r="F246" s="87"/>
      <c r="G246" s="87"/>
      <c r="H246" s="87"/>
      <c r="I246" s="87"/>
    </row>
    <row r="247" spans="1:9" s="89" customFormat="1" ht="15.75" customHeight="1" x14ac:dyDescent="0.2">
      <c r="A247" s="87"/>
      <c r="E247" s="87"/>
      <c r="F247" s="87"/>
      <c r="G247" s="87"/>
      <c r="H247" s="87"/>
      <c r="I247" s="87"/>
    </row>
    <row r="248" spans="1:9" s="89" customFormat="1" ht="15.75" customHeight="1" x14ac:dyDescent="0.2">
      <c r="A248" s="87"/>
      <c r="E248" s="87"/>
      <c r="F248" s="87"/>
      <c r="G248" s="87"/>
      <c r="H248" s="87"/>
      <c r="I248" s="87"/>
    </row>
    <row r="249" spans="1:9" s="89" customFormat="1" ht="15.75" customHeight="1" x14ac:dyDescent="0.2">
      <c r="A249" s="87"/>
      <c r="E249" s="87"/>
      <c r="F249" s="87"/>
      <c r="G249" s="87"/>
      <c r="H249" s="87"/>
      <c r="I249" s="87"/>
    </row>
    <row r="250" spans="1:9" s="89" customFormat="1" ht="15.75" customHeight="1" x14ac:dyDescent="0.2">
      <c r="A250" s="87"/>
      <c r="E250" s="87"/>
      <c r="F250" s="87"/>
      <c r="G250" s="87"/>
      <c r="H250" s="87"/>
      <c r="I250" s="87"/>
    </row>
    <row r="251" spans="1:9" s="89" customFormat="1" ht="15.75" customHeight="1" x14ac:dyDescent="0.2">
      <c r="A251" s="87"/>
      <c r="E251" s="87"/>
      <c r="F251" s="87"/>
      <c r="G251" s="87"/>
      <c r="H251" s="87"/>
      <c r="I251" s="87"/>
    </row>
    <row r="252" spans="1:9" s="89" customFormat="1" ht="15.75" customHeight="1" x14ac:dyDescent="0.2">
      <c r="A252" s="87"/>
      <c r="E252" s="87"/>
      <c r="F252" s="87"/>
      <c r="G252" s="87"/>
      <c r="H252" s="87"/>
      <c r="I252" s="87"/>
    </row>
    <row r="253" spans="1:9" s="89" customFormat="1" ht="15.75" customHeight="1" x14ac:dyDescent="0.2">
      <c r="A253" s="87"/>
      <c r="E253" s="87"/>
      <c r="F253" s="87"/>
      <c r="G253" s="87"/>
      <c r="H253" s="87"/>
      <c r="I253" s="87"/>
    </row>
    <row r="254" spans="1:9" s="89" customFormat="1" ht="15.75" customHeight="1" x14ac:dyDescent="0.2">
      <c r="A254" s="87"/>
      <c r="E254" s="87"/>
      <c r="F254" s="87"/>
      <c r="G254" s="87"/>
      <c r="H254" s="87"/>
      <c r="I254" s="87"/>
    </row>
    <row r="255" spans="1:9" s="89" customFormat="1" ht="15.75" customHeight="1" x14ac:dyDescent="0.2">
      <c r="A255" s="88"/>
      <c r="E255" s="87"/>
      <c r="F255" s="87"/>
      <c r="G255" s="87"/>
      <c r="H255" s="87"/>
      <c r="I255" s="87"/>
    </row>
    <row r="256" spans="1:9" s="89" customFormat="1" ht="15.75" customHeight="1" x14ac:dyDescent="0.2">
      <c r="A256" s="214"/>
      <c r="E256" s="87"/>
      <c r="F256" s="87"/>
      <c r="G256" s="87"/>
      <c r="H256" s="87"/>
      <c r="I256" s="87"/>
    </row>
    <row r="257" spans="1:9" s="89" customFormat="1" ht="15.75" customHeight="1" x14ac:dyDescent="0.2">
      <c r="A257" s="87"/>
      <c r="E257" s="87"/>
      <c r="F257" s="87"/>
      <c r="G257" s="87"/>
      <c r="H257" s="87"/>
      <c r="I257" s="87"/>
    </row>
    <row r="258" spans="1:9" s="89" customFormat="1" ht="15.75" customHeight="1" x14ac:dyDescent="0.2">
      <c r="A258" s="87"/>
      <c r="E258" s="87"/>
      <c r="F258" s="87"/>
      <c r="G258" s="87"/>
      <c r="H258" s="87"/>
      <c r="I258" s="87"/>
    </row>
    <row r="259" spans="1:9" s="89" customFormat="1" ht="15.75" customHeight="1" x14ac:dyDescent="0.2">
      <c r="A259" s="87"/>
      <c r="E259" s="87"/>
      <c r="F259" s="87"/>
      <c r="G259" s="87"/>
      <c r="H259" s="87"/>
      <c r="I259" s="87"/>
    </row>
    <row r="260" spans="1:9" s="89" customFormat="1" ht="15.75" customHeight="1" x14ac:dyDescent="0.2">
      <c r="A260" s="87"/>
      <c r="E260" s="87"/>
      <c r="F260" s="87"/>
      <c r="G260" s="87"/>
      <c r="H260" s="87"/>
      <c r="I260" s="87"/>
    </row>
    <row r="261" spans="1:9" s="89" customFormat="1" ht="15.75" customHeight="1" x14ac:dyDescent="0.2">
      <c r="A261" s="87"/>
      <c r="E261" s="87"/>
      <c r="F261" s="87"/>
      <c r="G261" s="87"/>
      <c r="H261" s="87"/>
      <c r="I261" s="87"/>
    </row>
    <row r="262" spans="1:9" s="89" customFormat="1" ht="15.75" customHeight="1" x14ac:dyDescent="0.2">
      <c r="A262" s="87"/>
      <c r="E262" s="87"/>
      <c r="F262" s="87"/>
      <c r="G262" s="87"/>
      <c r="H262" s="87"/>
      <c r="I262" s="87"/>
    </row>
    <row r="263" spans="1:9" s="89" customFormat="1" ht="15.75" customHeight="1" x14ac:dyDescent="0.2">
      <c r="A263" s="87"/>
      <c r="E263" s="87"/>
      <c r="F263" s="87"/>
      <c r="G263" s="87"/>
      <c r="H263" s="87"/>
      <c r="I263" s="87"/>
    </row>
    <row r="264" spans="1:9" s="89" customFormat="1" ht="15.75" customHeight="1" x14ac:dyDescent="0.2">
      <c r="A264" s="87"/>
      <c r="E264" s="87"/>
      <c r="F264" s="87"/>
      <c r="G264" s="87"/>
      <c r="H264" s="87"/>
      <c r="I264" s="87"/>
    </row>
    <row r="265" spans="1:9" s="89" customFormat="1" ht="15.75" customHeight="1" x14ac:dyDescent="0.2">
      <c r="A265" s="87"/>
      <c r="E265" s="87"/>
      <c r="F265" s="87"/>
      <c r="G265" s="87"/>
      <c r="H265" s="87"/>
      <c r="I265" s="87"/>
    </row>
    <row r="266" spans="1:9" ht="15.75" customHeight="1" x14ac:dyDescent="0.2"/>
    <row r="267" spans="1:9" ht="15.75" customHeight="1" x14ac:dyDescent="0.2"/>
    <row r="268" spans="1:9" ht="15.75" customHeight="1" x14ac:dyDescent="0.2"/>
    <row r="269" spans="1:9" ht="15.75" customHeight="1" x14ac:dyDescent="0.2"/>
    <row r="270" spans="1:9" ht="15.75" customHeight="1" x14ac:dyDescent="0.2"/>
    <row r="271" spans="1:9" ht="15.75" customHeight="1" x14ac:dyDescent="0.2"/>
    <row r="272" spans="1:9"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sheetData>
  <mergeCells count="12">
    <mergeCell ref="B171:E171"/>
    <mergeCell ref="A183:A186"/>
    <mergeCell ref="A193:A194"/>
    <mergeCell ref="B193:E194"/>
    <mergeCell ref="B139:E139"/>
    <mergeCell ref="B170:E170"/>
    <mergeCell ref="A124:E124"/>
    <mergeCell ref="A1:E1"/>
    <mergeCell ref="A2:E2"/>
    <mergeCell ref="A14:E14"/>
    <mergeCell ref="A51:E51"/>
    <mergeCell ref="B62:E62"/>
  </mergeCells>
  <printOptions horizontalCentered="1"/>
  <pageMargins left="0.55118110236220474" right="0.15748031496062992" top="0.39370078740157483" bottom="0.59055118110236227" header="0.15748031496062992" footer="0.15748031496062992"/>
  <pageSetup scale="95" orientation="portrait" horizontalDpi="300" verticalDpi="300" r:id="rId1"/>
  <headerFooter alignWithMargins="0">
    <oddFooter>&amp;R&amp;P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5DD3E2-A0A4-4548-B3B2-08653107B9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138</vt:i4>
      </vt:variant>
    </vt:vector>
  </HeadingPairs>
  <TitlesOfParts>
    <vt:vector size="156" baseType="lpstr">
      <vt:lpstr>Listas</vt:lpstr>
      <vt:lpstr>PM</vt:lpstr>
      <vt:lpstr>Hoja2</vt:lpstr>
      <vt:lpstr>Hoja3</vt:lpstr>
      <vt:lpstr>PERSONAL</vt:lpstr>
      <vt:lpstr>TIPO</vt:lpstr>
      <vt:lpstr>PROGRAMAS Y DEPENDENCIAS</vt:lpstr>
      <vt:lpstr>PROYECTOS PDI</vt:lpstr>
      <vt:lpstr>ADQUISICIÓN DE ACTIVOS</vt:lpstr>
      <vt:lpstr>PUBLICIDAD</vt:lpstr>
      <vt:lpstr>ÚTILES Y PAPELERÍA</vt:lpstr>
      <vt:lpstr>ESPACIOS FÍSICOS y EQUIP</vt:lpstr>
      <vt:lpstr>DIVERSOS</vt:lpstr>
      <vt:lpstr>Presupuesto x Objetivo</vt:lpstr>
      <vt:lpstr>Presupuesto Pycto</vt:lpstr>
      <vt:lpstr>2025</vt:lpstr>
      <vt:lpstr>Ejempl fase planificación</vt:lpstr>
      <vt:lpstr>2019</vt:lpstr>
      <vt:lpstr>_C1</vt:lpstr>
      <vt:lpstr>_C10</vt:lpstr>
      <vt:lpstr>_C11</vt:lpstr>
      <vt:lpstr>_C12</vt:lpstr>
      <vt:lpstr>_C13</vt:lpstr>
      <vt:lpstr>_C14</vt:lpstr>
      <vt:lpstr>_C15</vt:lpstr>
      <vt:lpstr>_C16</vt:lpstr>
      <vt:lpstr>_C17</vt:lpstr>
      <vt:lpstr>_C18</vt:lpstr>
      <vt:lpstr>_C19</vt:lpstr>
      <vt:lpstr>_C2</vt:lpstr>
      <vt:lpstr>_C20</vt:lpstr>
      <vt:lpstr>_C21</vt:lpstr>
      <vt:lpstr>_C22</vt:lpstr>
      <vt:lpstr>_C23</vt:lpstr>
      <vt:lpstr>_C24</vt:lpstr>
      <vt:lpstr>_C25</vt:lpstr>
      <vt:lpstr>_C26</vt:lpstr>
      <vt:lpstr>_C27</vt:lpstr>
      <vt:lpstr>_C28</vt:lpstr>
      <vt:lpstr>_C29</vt:lpstr>
      <vt:lpstr>_C3</vt:lpstr>
      <vt:lpstr>_C30</vt:lpstr>
      <vt:lpstr>_C31</vt:lpstr>
      <vt:lpstr>_C32</vt:lpstr>
      <vt:lpstr>_C33</vt:lpstr>
      <vt:lpstr>_C34</vt:lpstr>
      <vt:lpstr>_C35</vt:lpstr>
      <vt:lpstr>_C36</vt:lpstr>
      <vt:lpstr>_C37</vt:lpstr>
      <vt:lpstr>_C38</vt:lpstr>
      <vt:lpstr>_C39</vt:lpstr>
      <vt:lpstr>_C4</vt:lpstr>
      <vt:lpstr>_C40</vt:lpstr>
      <vt:lpstr>_C5</vt:lpstr>
      <vt:lpstr>_C6</vt:lpstr>
      <vt:lpstr>_C7</vt:lpstr>
      <vt:lpstr>_C8</vt:lpstr>
      <vt:lpstr>_C9</vt:lpstr>
      <vt:lpstr>Accion_Evangelizadora</vt:lpstr>
      <vt:lpstr>Actualizar_oferta_de_programas</vt:lpstr>
      <vt:lpstr>'2019'!Área_de_impresión</vt:lpstr>
      <vt:lpstr>'2025'!Área_de_impresión</vt:lpstr>
      <vt:lpstr>Articular_Modelo_De_Autoevaluacion</vt:lpstr>
      <vt:lpstr>Asp_C1</vt:lpstr>
      <vt:lpstr>Asp_C10</vt:lpstr>
      <vt:lpstr>Asp_C11</vt:lpstr>
      <vt:lpstr>Asp_C12</vt:lpstr>
      <vt:lpstr>Asp_C13</vt:lpstr>
      <vt:lpstr>Asp_C14</vt:lpstr>
      <vt:lpstr>Asp_C15</vt:lpstr>
      <vt:lpstr>Asp_C16</vt:lpstr>
      <vt:lpstr>Asp_C17</vt:lpstr>
      <vt:lpstr>Asp_C18</vt:lpstr>
      <vt:lpstr>Asp_C19</vt:lpstr>
      <vt:lpstr>Asp_C2</vt:lpstr>
      <vt:lpstr>Asp_C20</vt:lpstr>
      <vt:lpstr>Asp_C21</vt:lpstr>
      <vt:lpstr>Asp_C22</vt:lpstr>
      <vt:lpstr>Asp_C23</vt:lpstr>
      <vt:lpstr>Asp_C24</vt:lpstr>
      <vt:lpstr>Asp_C25</vt:lpstr>
      <vt:lpstr>Asp_C26</vt:lpstr>
      <vt:lpstr>Asp_C27</vt:lpstr>
      <vt:lpstr>Asp_C28</vt:lpstr>
      <vt:lpstr>Asp_C29</vt:lpstr>
      <vt:lpstr>Asp_C3</vt:lpstr>
      <vt:lpstr>Asp_C30</vt:lpstr>
      <vt:lpstr>Asp_C31</vt:lpstr>
      <vt:lpstr>Asp_C32</vt:lpstr>
      <vt:lpstr>Asp_C33</vt:lpstr>
      <vt:lpstr>Asp_C34</vt:lpstr>
      <vt:lpstr>Asp_C35</vt:lpstr>
      <vt:lpstr>Asp_C36</vt:lpstr>
      <vt:lpstr>Asp_C37</vt:lpstr>
      <vt:lpstr>Asp_C38</vt:lpstr>
      <vt:lpstr>Asp_C39</vt:lpstr>
      <vt:lpstr>Asp_C4</vt:lpstr>
      <vt:lpstr>Asp_C40</vt:lpstr>
      <vt:lpstr>Asp_C41</vt:lpstr>
      <vt:lpstr>Asp_C42</vt:lpstr>
      <vt:lpstr>Asp_C43</vt:lpstr>
      <vt:lpstr>Asp_C44</vt:lpstr>
      <vt:lpstr>Asp_C45</vt:lpstr>
      <vt:lpstr>Asp_C46</vt:lpstr>
      <vt:lpstr>Asp_C47</vt:lpstr>
      <vt:lpstr>Asp_C48</vt:lpstr>
      <vt:lpstr>Asp_C5</vt:lpstr>
      <vt:lpstr>Asp_C6</vt:lpstr>
      <vt:lpstr>Asp_C7</vt:lpstr>
      <vt:lpstr>Asp_C8</vt:lpstr>
      <vt:lpstr>Asp_C9</vt:lpstr>
      <vt:lpstr>C_1</vt:lpstr>
      <vt:lpstr>C_2</vt:lpstr>
      <vt:lpstr>C_3</vt:lpstr>
      <vt:lpstr>Consolidar_Modelo_Pedagogico</vt:lpstr>
      <vt:lpstr>Desarrollar_portafolio_de_extension</vt:lpstr>
      <vt:lpstr>Fac_F1</vt:lpstr>
      <vt:lpstr>Fac_F10</vt:lpstr>
      <vt:lpstr>Fac_F11</vt:lpstr>
      <vt:lpstr>Fac_F12</vt:lpstr>
      <vt:lpstr>Fac_F2</vt:lpstr>
      <vt:lpstr>Fac_F3</vt:lpstr>
      <vt:lpstr>Fac_F4</vt:lpstr>
      <vt:lpstr>Fac_F5</vt:lpstr>
      <vt:lpstr>Fac_F6</vt:lpstr>
      <vt:lpstr>Fac_F7</vt:lpstr>
      <vt:lpstr>Fac_F8</vt:lpstr>
      <vt:lpstr>Fac_F9</vt:lpstr>
      <vt:lpstr>FACTOR_1</vt:lpstr>
      <vt:lpstr>FACTOR_10</vt:lpstr>
      <vt:lpstr>FACTOR_2</vt:lpstr>
      <vt:lpstr>FACTOR_3</vt:lpstr>
      <vt:lpstr>FACTOR_4</vt:lpstr>
      <vt:lpstr>FACTOR_5</vt:lpstr>
      <vt:lpstr>FACTOR_6</vt:lpstr>
      <vt:lpstr>FACTOR_7</vt:lpstr>
      <vt:lpstr>FACTOR_8</vt:lpstr>
      <vt:lpstr>FACTOR_9</vt:lpstr>
      <vt:lpstr>Factores</vt:lpstr>
      <vt:lpstr>Fortalecer_clima_organizacional</vt:lpstr>
      <vt:lpstr>Fortalecer_comunicaciones</vt:lpstr>
      <vt:lpstr>Fortalecer_la_internacionalizacion</vt:lpstr>
      <vt:lpstr>Fortalecer_lazos_con_comunidades</vt:lpstr>
      <vt:lpstr>Fortalecer_lazos_con_egresados</vt:lpstr>
      <vt:lpstr>Gestionar_infraestructura_fisica</vt:lpstr>
      <vt:lpstr>Gestionar_infraestructura_tecnologica</vt:lpstr>
      <vt:lpstr>Implementar_gestion_por_procesos</vt:lpstr>
      <vt:lpstr>Mejorar_continuamente_la_investigacion</vt:lpstr>
      <vt:lpstr>Ofrecer_programas_de_calidad</vt:lpstr>
      <vt:lpstr>Programas</vt:lpstr>
      <vt:lpstr>Promover_el_desarrollo_integral</vt:lpstr>
      <vt:lpstr>Promover_investigacion_formativa</vt:lpstr>
      <vt:lpstr>Promover_produccion_investigativa</vt:lpstr>
      <vt:lpstr>Promover_profesores_en_escalafon</vt:lpstr>
      <vt:lpstr>'2019'!Títulos_a_imprimir</vt:lpstr>
      <vt:lpstr>'2025'!Títulos_a_imprimir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Fabián Martos G.</dc:creator>
  <cp:lastModifiedBy>Milena  Benavides Alvarez</cp:lastModifiedBy>
  <cp:lastPrinted>2020-01-24T20:59:07Z</cp:lastPrinted>
  <dcterms:created xsi:type="dcterms:W3CDTF">2004-09-27T11:05:35Z</dcterms:created>
  <dcterms:modified xsi:type="dcterms:W3CDTF">2026-09-18T13:11:37Z</dcterms:modified>
</cp:coreProperties>
</file>