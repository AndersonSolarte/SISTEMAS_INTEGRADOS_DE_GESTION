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FRAESTRUCTURA\2024\6. Calidad\"/>
    </mc:Choice>
  </mc:AlternateContent>
  <xr:revisionPtr revIDLastSave="0" documentId="13_ncr:1_{734267A2-0999-40A6-9D28-61E807883C87}" xr6:coauthVersionLast="36" xr6:coauthVersionMax="47" xr10:uidLastSave="{00000000-0000-0000-0000-000000000000}"/>
  <bookViews>
    <workbookView xWindow="-120" yWindow="-120" windowWidth="24240" windowHeight="13140" firstSheet="4" activeTab="4" xr2:uid="{00000000-000D-0000-FFFF-FFFF00000000}"/>
  </bookViews>
  <sheets>
    <sheet name="Hoja3" sheetId="144" state="hidden" r:id="rId1"/>
    <sheet name="TD SACAR INF" sheetId="162" state="hidden" r:id="rId2"/>
    <sheet name="Tabla_ Infra_ Física" sheetId="1" r:id="rId3"/>
    <sheet name="Listas" sheetId="2" state="hidden" r:id="rId4"/>
    <sheet name="SEDE CENTRAL" sheetId="151" r:id="rId5"/>
    <sheet name="SEDE SANTIAGO" sheetId="154" r:id="rId6"/>
    <sheet name="MUSD" sheetId="157" r:id="rId7"/>
    <sheet name="Total x bloques" sheetId="160" r:id="rId8"/>
    <sheet name="Total x espacios" sheetId="161" r:id="rId9"/>
    <sheet name="Aula clase" sheetId="159" r:id="rId10"/>
    <sheet name="S.computo" sheetId="158" r:id="rId11"/>
    <sheet name="Tabla Dinámica" sheetId="5" state="hidden" r:id="rId12"/>
  </sheets>
  <externalReferences>
    <externalReference r:id="rId13"/>
    <externalReference r:id="rId14"/>
  </externalReferences>
  <definedNames>
    <definedName name="_">[1]Hoja2!$P$4:$P$6</definedName>
    <definedName name="_xlnm._FilterDatabase" localSheetId="9" hidden="1">'Aula clase'!$A$4:$H$4</definedName>
    <definedName name="_xlnm._FilterDatabase" localSheetId="7" hidden="1">'Total x bloques'!$A$4:$E$4</definedName>
    <definedName name="_xlnm._FilterDatabase" localSheetId="8" hidden="1">'Total x espacios'!$A$4:$D$4</definedName>
    <definedName name="Acceso">Listas!$P$4:$P$6</definedName>
    <definedName name="Áreas_administración">Listas!$F$80:$F$87</definedName>
    <definedName name="Áreas_bienestar">Listas!$G$80:$G$85</definedName>
    <definedName name="Áreas_docencia">Listas!$C$80:$C$87</definedName>
    <definedName name="Áreas_investigación">Listas!$D$80:$D$81</definedName>
    <definedName name="Áreas_Movilidad_Espacios_libres">Listas!$H$80:$H$86</definedName>
    <definedName name="Áreas_Servicios_a_Comunidad">Listas!$E$80:$E$83</definedName>
    <definedName name="ASIGNACIÓN">Listas!$L$4:$L$70</definedName>
    <definedName name="FUNCIÓN_ESPECÍFICA">Listas!$N$4:$N$10</definedName>
    <definedName name="TENENCIA">Listas!$D$4:$D$7</definedName>
    <definedName name="TIPO_DE_ÁREA">Listas!$B$4:$B$5</definedName>
    <definedName name="TIPO_DE_ESPACIO">Listas!$H$4:$H$20</definedName>
    <definedName name="UBICACIÓN">Listas!$F$4:$F$16</definedName>
  </definedNames>
  <calcPr calcId="191029"/>
  <pivotCaches>
    <pivotCache cacheId="0" r:id="rId15"/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3" i="151" l="1"/>
  <c r="L550" i="151" l="1"/>
  <c r="M424" i="151"/>
  <c r="O17" i="154" l="1"/>
  <c r="O13" i="154"/>
  <c r="O17" i="151"/>
  <c r="M345" i="151" l="1"/>
  <c r="O13" i="151" s="1"/>
  <c r="M550" i="151" l="1"/>
  <c r="M252" i="157"/>
  <c r="M251" i="157"/>
  <c r="M250" i="157"/>
  <c r="M249" i="157"/>
  <c r="M248" i="157"/>
  <c r="M247" i="157"/>
  <c r="M214" i="157"/>
  <c r="M213" i="157"/>
  <c r="M212" i="157"/>
  <c r="M42" i="154"/>
  <c r="O14" i="154"/>
  <c r="M807" i="1"/>
  <c r="M799" i="1"/>
  <c r="M798" i="1"/>
  <c r="M797" i="1"/>
  <c r="M796" i="1"/>
  <c r="M795" i="1"/>
  <c r="M794" i="1"/>
  <c r="M761" i="1"/>
  <c r="M760" i="1"/>
  <c r="M759" i="1"/>
  <c r="O14" i="1"/>
  <c r="O13" i="1" l="1"/>
  <c r="O16" i="1" s="1"/>
  <c r="O17" i="1"/>
  <c r="O17" i="157"/>
  <c r="M260" i="157"/>
  <c r="O13" i="157"/>
  <c r="O18" i="154"/>
  <c r="O16" i="154"/>
  <c r="J30" i="159"/>
  <c r="J45" i="159"/>
  <c r="J87" i="159"/>
  <c r="J11" i="159"/>
  <c r="AA6" i="161"/>
  <c r="AA5" i="161"/>
  <c r="B19" i="161"/>
  <c r="E19" i="161"/>
  <c r="G19" i="161"/>
  <c r="H19" i="161"/>
  <c r="J19" i="161"/>
  <c r="K19" i="161"/>
  <c r="M19" i="161"/>
  <c r="N19" i="161"/>
  <c r="P19" i="161"/>
  <c r="Q19" i="161"/>
  <c r="S19" i="161"/>
  <c r="T19" i="161"/>
  <c r="V19" i="161"/>
  <c r="W19" i="161"/>
  <c r="Y19" i="161"/>
  <c r="D19" i="161"/>
  <c r="Z6" i="161"/>
  <c r="AB6" i="161"/>
  <c r="Z7" i="161"/>
  <c r="AA7" i="161"/>
  <c r="AB7" i="161"/>
  <c r="Z8" i="161"/>
  <c r="AA8" i="161"/>
  <c r="AB8" i="161"/>
  <c r="Z9" i="161"/>
  <c r="AA9" i="161"/>
  <c r="AB9" i="161"/>
  <c r="Z10" i="161"/>
  <c r="AA10" i="161"/>
  <c r="AB10" i="161"/>
  <c r="Z11" i="161"/>
  <c r="AA11" i="161"/>
  <c r="AB11" i="161"/>
  <c r="Z12" i="161"/>
  <c r="AA12" i="161"/>
  <c r="AB12" i="161"/>
  <c r="Z13" i="161"/>
  <c r="AA13" i="161"/>
  <c r="AB13" i="161"/>
  <c r="Z14" i="161"/>
  <c r="AA14" i="161"/>
  <c r="AB14" i="161"/>
  <c r="Z15" i="161"/>
  <c r="AA15" i="161"/>
  <c r="AB15" i="161"/>
  <c r="Z16" i="161"/>
  <c r="AA16" i="161"/>
  <c r="AB16" i="161"/>
  <c r="Z17" i="161"/>
  <c r="AA17" i="161"/>
  <c r="AB17" i="161"/>
  <c r="Z18" i="161"/>
  <c r="AA18" i="161"/>
  <c r="AB18" i="161"/>
  <c r="AB5" i="161"/>
  <c r="Z5" i="161"/>
  <c r="E106" i="160"/>
  <c r="E94" i="160"/>
  <c r="E78" i="160"/>
  <c r="E64" i="160"/>
  <c r="E49" i="160"/>
  <c r="E34" i="160"/>
  <c r="E24" i="160"/>
  <c r="E12" i="160"/>
  <c r="XEZ40" i="1"/>
  <c r="O18" i="1" l="1"/>
  <c r="AB19" i="161"/>
  <c r="Z19" i="161"/>
  <c r="C108" i="160"/>
  <c r="Q19" i="158"/>
  <c r="Q18" i="158"/>
  <c r="Q7" i="158"/>
  <c r="K127" i="159"/>
  <c r="J127" i="159"/>
  <c r="K120" i="159"/>
  <c r="J120" i="159"/>
  <c r="K87" i="159"/>
  <c r="K45" i="159"/>
  <c r="K30" i="159"/>
  <c r="K11" i="159"/>
  <c r="O19" i="158" l="1"/>
  <c r="O18" i="158"/>
  <c r="O9" i="158"/>
  <c r="O8" i="158"/>
  <c r="O7" i="158"/>
  <c r="G128" i="159"/>
  <c r="H128" i="159"/>
  <c r="K21" i="158"/>
  <c r="M21" i="158"/>
  <c r="L21" i="158"/>
  <c r="O14" i="157" l="1"/>
  <c r="O16" i="157" l="1"/>
  <c r="O18" i="157"/>
  <c r="O14" i="151" l="1"/>
  <c r="O18" i="151" l="1"/>
  <c r="O16" i="151"/>
  <c r="D18" i="5"/>
  <c r="E69" i="5"/>
  <c r="E71" i="5"/>
  <c r="E70" i="5"/>
  <c r="D25" i="5"/>
  <c r="D17" i="5"/>
  <c r="E67" i="5"/>
  <c r="D23" i="5"/>
  <c r="D26" i="5"/>
  <c r="D16" i="5"/>
  <c r="E72" i="5"/>
  <c r="D19" i="5"/>
  <c r="D21" i="5"/>
  <c r="D24" i="5"/>
  <c r="D4" i="5"/>
  <c r="D22" i="5"/>
  <c r="D20" i="5"/>
  <c r="D5" i="5"/>
  <c r="E68" i="5"/>
  <c r="D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Aseguramiento</author>
  </authors>
  <commentList>
    <comment ref="F73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Piscinas
</t>
        </r>
      </text>
    </comment>
    <comment ref="F73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Piscinas
</t>
        </r>
      </text>
    </comment>
    <comment ref="F75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5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59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6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6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6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63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64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766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67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68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69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0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2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3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4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5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6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7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79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0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1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2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4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5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6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7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8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89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90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91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92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793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794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795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796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797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798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799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800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801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 xml:space="preserve">Aseguramieto: Acceso 2
</t>
        </r>
      </text>
    </comment>
    <comment ref="F802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803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804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Planta Fisica</author>
  </authors>
  <commentList>
    <comment ref="I304" authorId="0" shapeId="0" xr:uid="{FB0403F3-0E97-4C5D-B206-2B9F39643986}">
      <text>
        <r>
          <rPr>
            <b/>
            <sz val="9"/>
            <color indexed="81"/>
            <rFont val="Tahoma"/>
            <charset val="1"/>
          </rPr>
          <t>Planta Fisica:</t>
        </r>
        <r>
          <rPr>
            <sz val="9"/>
            <color indexed="81"/>
            <rFont val="Tahoma"/>
            <charset val="1"/>
          </rPr>
          <t xml:space="preserve">
Revisar traslado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Aseguramiento</author>
  </authors>
  <commentList>
    <comment ref="F18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Piscinas
</t>
        </r>
      </text>
    </comment>
    <comment ref="F189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Piscinas
</t>
        </r>
      </text>
    </comment>
    <comment ref="F210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2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5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6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7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CAMERINOS
</t>
        </r>
      </text>
    </comment>
    <comment ref="F219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0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2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3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4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5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6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7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8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29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0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1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2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3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4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5" authorId="0" shapeId="0" xr:uid="{00000000-0006-0000-0600-00001B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6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7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8" authorId="0" shapeId="0" xr:uid="{00000000-0006-0000-0600-00001E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39" authorId="0" shapeId="0" xr:uid="{00000000-0006-0000-0600-00001F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0" authorId="0" shapeId="0" xr:uid="{00000000-0006-0000-0600-000020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1" authorId="0" shapeId="0" xr:uid="{00000000-0006-0000-0600-000021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2" authorId="0" shapeId="0" xr:uid="{00000000-0006-0000-0600-000022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3" authorId="0" shapeId="0" xr:uid="{00000000-0006-0000-0600-000023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4" authorId="0" shapeId="0" xr:uid="{00000000-0006-0000-0600-000024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5" authorId="0" shapeId="0" xr:uid="{00000000-0006-0000-0600-000025000000}">
      <text>
        <r>
          <rPr>
            <b/>
            <sz val="9"/>
            <color indexed="81"/>
            <rFont val="Tahoma"/>
            <family val="2"/>
          </rPr>
          <t>Aseguramiento:
Polideportivo</t>
        </r>
      </text>
    </comment>
    <comment ref="F246" authorId="0" shapeId="0" xr:uid="{00000000-0006-0000-0600-000026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47" authorId="0" shapeId="0" xr:uid="{00000000-0006-0000-0600-000027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48" authorId="0" shapeId="0" xr:uid="{00000000-0006-0000-0600-000028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49" authorId="0" shapeId="0" xr:uid="{00000000-0006-0000-0600-000029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0" authorId="0" shapeId="0" xr:uid="{00000000-0006-0000-0600-00002A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1" authorId="0" shapeId="0" xr:uid="{00000000-0006-0000-0600-00002B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2" authorId="0" shapeId="0" xr:uid="{00000000-0006-0000-0600-00002C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3" authorId="0" shapeId="0" xr:uid="{00000000-0006-0000-0600-00002D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4" authorId="0" shapeId="0" xr:uid="{00000000-0006-0000-0600-00002E000000}">
      <text>
        <r>
          <rPr>
            <b/>
            <sz val="9"/>
            <color indexed="81"/>
            <rFont val="Tahoma"/>
            <family val="2"/>
          </rPr>
          <t xml:space="preserve">Aseguramieto: Acceso 2
</t>
        </r>
      </text>
    </comment>
    <comment ref="F255" authorId="0" shapeId="0" xr:uid="{00000000-0006-0000-0600-00002F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6" authorId="0" shapeId="0" xr:uid="{00000000-0006-0000-0600-000030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  <comment ref="F257" authorId="0" shapeId="0" xr:uid="{00000000-0006-0000-0600-000031000000}">
      <text>
        <r>
          <rPr>
            <b/>
            <sz val="9"/>
            <color indexed="81"/>
            <rFont val="Tahoma"/>
            <family val="2"/>
          </rPr>
          <t>Aseguramiento:</t>
        </r>
        <r>
          <rPr>
            <sz val="9"/>
            <color indexed="81"/>
            <rFont val="Tahoma"/>
            <family val="2"/>
          </rPr>
          <t xml:space="preserve">
SUB ESTACIÓN DE BOMBAS</t>
        </r>
      </text>
    </comment>
  </commentList>
</comments>
</file>

<file path=xl/sharedStrings.xml><?xml version="1.0" encoding="utf-8"?>
<sst xmlns="http://schemas.openxmlformats.org/spreadsheetml/2006/main" count="16098" uniqueCount="976">
  <si>
    <t>TIPO DE ÁREA</t>
  </si>
  <si>
    <t>UBICACIÓN</t>
  </si>
  <si>
    <t>ASIGNACIÓN</t>
  </si>
  <si>
    <t>CAPACIDAD FÍSICA</t>
  </si>
  <si>
    <t>TENENCIA</t>
  </si>
  <si>
    <t>DESCRIPCION</t>
  </si>
  <si>
    <t>CONSTRUIDA</t>
  </si>
  <si>
    <t>NO CONSTRUIDA</t>
  </si>
  <si>
    <t>TIPO_DE_ÁREA</t>
  </si>
  <si>
    <t>TIPO_DE_ESPACIO</t>
  </si>
  <si>
    <t>Propiedad</t>
  </si>
  <si>
    <t>Arriendo</t>
  </si>
  <si>
    <t>Comodato</t>
  </si>
  <si>
    <t>Otra</t>
  </si>
  <si>
    <t>Edificio Holanda</t>
  </si>
  <si>
    <t>Bloque B</t>
  </si>
  <si>
    <t>Bloque C</t>
  </si>
  <si>
    <t>Bloque Administrativo</t>
  </si>
  <si>
    <t>Edificio San Francisco</t>
  </si>
  <si>
    <t>Centro De Conciliación y Consultorios Jurídicos</t>
  </si>
  <si>
    <t>Sede Santiago</t>
  </si>
  <si>
    <t>Salas de Tutores (salas de profesores)</t>
  </si>
  <si>
    <t>Auditorios</t>
  </si>
  <si>
    <t>Oficinas</t>
  </si>
  <si>
    <t>Espacios deportivos</t>
  </si>
  <si>
    <t>Zonas comunes</t>
  </si>
  <si>
    <t>Aulas</t>
  </si>
  <si>
    <t>Salas especializadas y de práctica</t>
  </si>
  <si>
    <t xml:space="preserve">Asesoría Funciones Sustantiva </t>
  </si>
  <si>
    <t xml:space="preserve">Auditoría Interna </t>
  </si>
  <si>
    <t>Biblioteca</t>
  </si>
  <si>
    <t xml:space="preserve">Centro de  Investigaciones 
Sociojuríco 
</t>
  </si>
  <si>
    <t xml:space="preserve">Centro de Recursos Educativos </t>
  </si>
  <si>
    <t xml:space="preserve">Consultorios
 Jurídicos y Centro
 de Conciliación
</t>
  </si>
  <si>
    <t>Contabilidad</t>
  </si>
  <si>
    <t xml:space="preserve">Coordinación de Planta Física y Mantenimiento </t>
  </si>
  <si>
    <t>Coordinación de Posgrados en Convenio</t>
  </si>
  <si>
    <t>Coordinación de Proyección Social</t>
  </si>
  <si>
    <t xml:space="preserve">Coordinación de Redes y Comunicaciones </t>
  </si>
  <si>
    <t xml:space="preserve">Coordinación de Trabajo Social </t>
  </si>
  <si>
    <t xml:space="preserve">Coordinación Egresados </t>
  </si>
  <si>
    <t xml:space="preserve">Coordinación Internacionalización </t>
  </si>
  <si>
    <t>Departamento de Ciencias Básicas</t>
  </si>
  <si>
    <t>Departamento Jurídico</t>
  </si>
  <si>
    <t>Dirección de Planeación</t>
  </si>
  <si>
    <t xml:space="preserve">Dirección de Posgrados </t>
  </si>
  <si>
    <t xml:space="preserve">Inclusión y diversidad </t>
  </si>
  <si>
    <t xml:space="preserve">Jefatura Administriva de Proyectos </t>
  </si>
  <si>
    <t xml:space="preserve">Jefatura de Compras y Suministros </t>
  </si>
  <si>
    <t xml:space="preserve">Jefatura de Comunicaciones Publicidad y Mercadeo </t>
  </si>
  <si>
    <t>Jefatura de crédito y Cartera</t>
  </si>
  <si>
    <t>Jefatura de Desarrollo de Software</t>
  </si>
  <si>
    <t>Jefatura de Escuela de Paz</t>
  </si>
  <si>
    <t xml:space="preserve">Jefatura de Espiritualidad Franciscana </t>
  </si>
  <si>
    <t>Jefatura de Gestión Humana</t>
  </si>
  <si>
    <t>Jefatura de Presupuesto</t>
  </si>
  <si>
    <t xml:space="preserve">Jefatura de Proyección Institucional </t>
  </si>
  <si>
    <t xml:space="preserve">Jefatura de Seguridad y Salud en Trabajo </t>
  </si>
  <si>
    <t>Jefatura de sistemas e Internet</t>
  </si>
  <si>
    <t>Jefaturas de Programas</t>
  </si>
  <si>
    <t>Permanencia y Graduación</t>
  </si>
  <si>
    <t xml:space="preserve">Recreación y Deporte </t>
  </si>
  <si>
    <t>Rectoría</t>
  </si>
  <si>
    <t>Revisoría Fiscal</t>
  </si>
  <si>
    <t xml:space="preserve">Secretaría General </t>
  </si>
  <si>
    <t xml:space="preserve">Semilleros de Investigación </t>
  </si>
  <si>
    <t>Tesorería Pagaduría</t>
  </si>
  <si>
    <t>Vicerrectoría Académica</t>
  </si>
  <si>
    <t xml:space="preserve">Vicerrectoría Administrativa Financiera </t>
  </si>
  <si>
    <t xml:space="preserve">Vicerrectoría de Bienestar Universitario </t>
  </si>
  <si>
    <t>Vicerrectoría de Investigaciones</t>
  </si>
  <si>
    <t>Centro de Estimulación Infantil</t>
  </si>
  <si>
    <t>Decanatura Facultad de Ingenierías</t>
  </si>
  <si>
    <t>Decanatura Ciencias Adminstrativas y Contables</t>
  </si>
  <si>
    <t>Decanatura Ciencias Humanas y Sociales</t>
  </si>
  <si>
    <t>Decanatura Facultad de Educación</t>
  </si>
  <si>
    <t>Decanatura de Arquitectura y Bellas Artes</t>
  </si>
  <si>
    <t>Programa de Administración de Empresas</t>
  </si>
  <si>
    <t>Programa de Arquitectura</t>
  </si>
  <si>
    <t>Programa de Diseño Gráfico</t>
  </si>
  <si>
    <t>Programa de Psicología</t>
  </si>
  <si>
    <t>Programa de Derecho</t>
  </si>
  <si>
    <t>Programa de Educación Física</t>
  </si>
  <si>
    <t>Programa de Contaduría Pública</t>
  </si>
  <si>
    <t>Programa de Educación Infantil</t>
  </si>
  <si>
    <t>Programa de Ingeniería Electrónica</t>
  </si>
  <si>
    <t>Programa de Tecnología en Gestión Financiera</t>
  </si>
  <si>
    <t>Programa de Tecnología en Contabilidad y Finanzas</t>
  </si>
  <si>
    <t>Especialización en Gerencia de Proyectos</t>
  </si>
  <si>
    <t>FUNCIÓN_ESPECÍFICA</t>
  </si>
  <si>
    <t>DOCENCIA</t>
  </si>
  <si>
    <t>INVESTIGACIÓN</t>
  </si>
  <si>
    <t>PROYECCIÓN</t>
  </si>
  <si>
    <t>No definida</t>
  </si>
  <si>
    <t>N/A</t>
  </si>
  <si>
    <t>Cuarto técnico (UPS - Bodega)</t>
  </si>
  <si>
    <t>Cafetería Funcionarios</t>
  </si>
  <si>
    <t>Sala de Juntas San Damián (AEMG)</t>
  </si>
  <si>
    <t>Pasillos</t>
  </si>
  <si>
    <t>Sala de espera</t>
  </si>
  <si>
    <t>Baño mujeres</t>
  </si>
  <si>
    <t>Baño hombres</t>
  </si>
  <si>
    <t>Baño hombres personal admimistrativo</t>
  </si>
  <si>
    <t>Baño mujeres personal admimistrativo</t>
  </si>
  <si>
    <t>Cuarto de aseo</t>
  </si>
  <si>
    <t xml:space="preserve">Bodega </t>
  </si>
  <si>
    <t>Acceso</t>
  </si>
  <si>
    <t>Procesos de apoyo</t>
  </si>
  <si>
    <t>Nomenclatura</t>
  </si>
  <si>
    <t>Fecha Actualización</t>
  </si>
  <si>
    <t>Módulo de Caja</t>
  </si>
  <si>
    <t>TOTAL ÁREA CONSTRUIDA</t>
  </si>
  <si>
    <t>TOTAL CAPACIDAD FISICA</t>
  </si>
  <si>
    <t>Acceso Autónomo</t>
  </si>
  <si>
    <t>Si</t>
  </si>
  <si>
    <t>No</t>
  </si>
  <si>
    <t>Integral</t>
  </si>
  <si>
    <t>Salas de reunión</t>
  </si>
  <si>
    <t>ESTADÍSTICAS CONSOLIDADAS</t>
  </si>
  <si>
    <t>TOTAL ESTUDIANTES</t>
  </si>
  <si>
    <t>DENSIDAD ESTUDIANTIL</t>
  </si>
  <si>
    <t>AREA ACCESO AUTÓNOMO</t>
  </si>
  <si>
    <t>% ACCESO AUTÓNOMO</t>
  </si>
  <si>
    <t>Última Actualización</t>
  </si>
  <si>
    <t>201A</t>
  </si>
  <si>
    <t>201B</t>
  </si>
  <si>
    <t>201C</t>
  </si>
  <si>
    <t>205A</t>
  </si>
  <si>
    <t>Baño privado</t>
  </si>
  <si>
    <t>AEMG</t>
  </si>
  <si>
    <t>Consultorios</t>
  </si>
  <si>
    <t>Baños Funcionarios Damas</t>
  </si>
  <si>
    <t>Baños Funcionarios Caballeros</t>
  </si>
  <si>
    <t>Hall Acceso</t>
  </si>
  <si>
    <t>Oratorio</t>
  </si>
  <si>
    <t>Monitoría</t>
  </si>
  <si>
    <t xml:space="preserve">Laboratorio de Redes </t>
  </si>
  <si>
    <t>Sala de Sistemas No.4</t>
  </si>
  <si>
    <t>Aula de Clases</t>
  </si>
  <si>
    <t>B301</t>
  </si>
  <si>
    <t>B313</t>
  </si>
  <si>
    <t>B312</t>
  </si>
  <si>
    <t>B310</t>
  </si>
  <si>
    <t>B326</t>
  </si>
  <si>
    <t>B314</t>
  </si>
  <si>
    <t>B315</t>
  </si>
  <si>
    <t>B327</t>
  </si>
  <si>
    <t>B328</t>
  </si>
  <si>
    <t>B329</t>
  </si>
  <si>
    <t>Aula de Clase  con mesas de dibujo</t>
  </si>
  <si>
    <t>Programa de Ingeniería de Sistemas</t>
  </si>
  <si>
    <t>Baños Públicos Caballeros</t>
  </si>
  <si>
    <t>Baños Públicos Damas</t>
  </si>
  <si>
    <t>Sala de Sistemas No.8</t>
  </si>
  <si>
    <t>Auditorio Santa Clara</t>
  </si>
  <si>
    <t>Baños Mixto</t>
  </si>
  <si>
    <t>Bodega Auditorio Santa Clara</t>
  </si>
  <si>
    <t>204 D</t>
  </si>
  <si>
    <t>204 C</t>
  </si>
  <si>
    <t xml:space="preserve"> 204 B</t>
  </si>
  <si>
    <t>204 A</t>
  </si>
  <si>
    <r>
      <t>ÁREA (Metros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</si>
  <si>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t>Campus Principal</t>
  </si>
  <si>
    <t>COMPONENTE</t>
  </si>
  <si>
    <t>Componentes_de_Infraestructura_Física</t>
  </si>
  <si>
    <t>Áreas_docencia</t>
  </si>
  <si>
    <t>Áreas_investigación</t>
  </si>
  <si>
    <t>Áreas_Servicios_a_Comunidad</t>
  </si>
  <si>
    <t>Áreas_administración</t>
  </si>
  <si>
    <t>Áreas_bienestar</t>
  </si>
  <si>
    <t>Áreas_Movilidad_Espacios_libres</t>
  </si>
  <si>
    <t>Salas_de_investigadores</t>
  </si>
  <si>
    <t>Consultorio_Jurídico</t>
  </si>
  <si>
    <t>Cafeterías_privadas</t>
  </si>
  <si>
    <t>Accesos</t>
  </si>
  <si>
    <t>Archivo_Editorial</t>
  </si>
  <si>
    <t>Centro_de_Conciliación</t>
  </si>
  <si>
    <t>Módulos</t>
  </si>
  <si>
    <t>Cafeterías_públicas</t>
  </si>
  <si>
    <t>Asensores</t>
  </si>
  <si>
    <t>IPS_Psicológica</t>
  </si>
  <si>
    <t>Cuartos_técnicos</t>
  </si>
  <si>
    <t>Espacios_de_integración</t>
  </si>
  <si>
    <t>Escaleras</t>
  </si>
  <si>
    <t>Espacios_deportivos</t>
  </si>
  <si>
    <t>Cuartos_de_servicio</t>
  </si>
  <si>
    <t>Rampas_y_conectores</t>
  </si>
  <si>
    <t>Laboratorios_Especializados</t>
  </si>
  <si>
    <t>Salas_de_reunión</t>
  </si>
  <si>
    <t>Servicios_sanitarios_públicos</t>
  </si>
  <si>
    <t>Malla_de_circulación</t>
  </si>
  <si>
    <t>Salas_de_Tutores_(salas_de_profesores)</t>
  </si>
  <si>
    <t>Servicios_sanitarios_privados</t>
  </si>
  <si>
    <t>Parqueaderos</t>
  </si>
  <si>
    <t>Salas_especializadas_y_de_práctica</t>
  </si>
  <si>
    <t>Zonas_verdes</t>
  </si>
  <si>
    <t>Salas_Cómputo</t>
  </si>
  <si>
    <t>Medio San Damián</t>
  </si>
  <si>
    <t>101A</t>
  </si>
  <si>
    <t>101C</t>
  </si>
  <si>
    <t>206 E y F</t>
  </si>
  <si>
    <t>206A</t>
  </si>
  <si>
    <t>206B</t>
  </si>
  <si>
    <t>206C</t>
  </si>
  <si>
    <t>206D</t>
  </si>
  <si>
    <t>301A</t>
  </si>
  <si>
    <t>301B</t>
  </si>
  <si>
    <t>301C</t>
  </si>
  <si>
    <t>H201</t>
  </si>
  <si>
    <t>H302</t>
  </si>
  <si>
    <t>H305</t>
  </si>
  <si>
    <t>318B</t>
  </si>
  <si>
    <t>318C</t>
  </si>
  <si>
    <t>318D</t>
  </si>
  <si>
    <t>318E</t>
  </si>
  <si>
    <t>318F</t>
  </si>
  <si>
    <t>502A</t>
  </si>
  <si>
    <t>502B</t>
  </si>
  <si>
    <t>512A</t>
  </si>
  <si>
    <t>518A</t>
  </si>
  <si>
    <t>600a</t>
  </si>
  <si>
    <t>Gradas acceso</t>
  </si>
  <si>
    <t xml:space="preserve">Biblioteca - Casilleros </t>
  </si>
  <si>
    <t>Sala de Juntas (Bellina)</t>
  </si>
  <si>
    <t>Bodega</t>
  </si>
  <si>
    <t>Sala de espera 2 do piso</t>
  </si>
  <si>
    <t>Hall estudio - descanso (mesas)</t>
  </si>
  <si>
    <t>Aula de clases (Mesas de dibujo)</t>
  </si>
  <si>
    <t>CAMARA DE GESSEL</t>
  </si>
  <si>
    <t>Biblioteca - Planoteca</t>
  </si>
  <si>
    <t>Biblioteca - Sala de sistemas</t>
  </si>
  <si>
    <t xml:space="preserve">Bodega de auxiliares </t>
  </si>
  <si>
    <t>Sala de sistemas No. 2</t>
  </si>
  <si>
    <t xml:space="preserve">Sala de audiencias </t>
  </si>
  <si>
    <t>Sala de Sistemas -Mac</t>
  </si>
  <si>
    <t>Aula virtual - Sala de Sistemas</t>
  </si>
  <si>
    <t>Sala de Sistemas No. 5</t>
  </si>
  <si>
    <t>Sala de sistemas No. 6</t>
  </si>
  <si>
    <t>Sala de sistemas No. 7</t>
  </si>
  <si>
    <t>Bodega y Cuarto técnico</t>
  </si>
  <si>
    <t xml:space="preserve">Bodega mantenimiento </t>
  </si>
  <si>
    <t>Cuarto técnico - tanques reserva</t>
  </si>
  <si>
    <t>Área de Monitores - Cuarto de crisis</t>
  </si>
  <si>
    <t>Hall de exposiciones</t>
  </si>
  <si>
    <t>Cuarto técnico A302 interno</t>
  </si>
  <si>
    <t>Sala de Sistemas No. 3</t>
  </si>
  <si>
    <t>MEDIO SAN DAMIAN</t>
  </si>
  <si>
    <t>Sala de Gimansia - Colchonetas</t>
  </si>
  <si>
    <t>Sala de Gimansia -  Maquinas</t>
  </si>
  <si>
    <t>Gradas acceso a Maquinas</t>
  </si>
  <si>
    <t>Sala de vestuario</t>
  </si>
  <si>
    <t>Coliseo Guillermo de Castellana</t>
  </si>
  <si>
    <t>Cancha No. 1</t>
  </si>
  <si>
    <t>Cancha No. 2</t>
  </si>
  <si>
    <t>Cancha No. 3</t>
  </si>
  <si>
    <t>Baño hombres 1ER PISO</t>
  </si>
  <si>
    <t xml:space="preserve">Baño mujeres 1ER PISO </t>
  </si>
  <si>
    <t>Consultorios_Médicos</t>
  </si>
  <si>
    <t>Bodegas</t>
  </si>
  <si>
    <t>212A</t>
  </si>
  <si>
    <t>Archivo Central</t>
  </si>
  <si>
    <t>B311</t>
  </si>
  <si>
    <t xml:space="preserve">Baños públicos hombre Auditorio Santa Clara </t>
  </si>
  <si>
    <t>Baños públicos mujeres Auditorio Santa Clara</t>
  </si>
  <si>
    <t>Gradas acceso 1</t>
  </si>
  <si>
    <t>Aula de clases video beam instalado</t>
  </si>
  <si>
    <t xml:space="preserve">Pasillos general segundo piso </t>
  </si>
  <si>
    <t xml:space="preserve">Pasillos quinto piso  </t>
  </si>
  <si>
    <t>Pasillos cuarto piso</t>
  </si>
  <si>
    <t xml:space="preserve">Pasillos exterior primer piso </t>
  </si>
  <si>
    <t xml:space="preserve">Pasillos interior primer piso </t>
  </si>
  <si>
    <t>Gradas acceso primer piso</t>
  </si>
  <si>
    <t xml:space="preserve">Pasillos sexto piso </t>
  </si>
  <si>
    <t>Sotano</t>
  </si>
  <si>
    <t>Baño personas con mobilidad reducida M1</t>
  </si>
  <si>
    <t xml:space="preserve">Pasillos o corredores </t>
  </si>
  <si>
    <t>Baños hombres y aseo primer piso</t>
  </si>
  <si>
    <t>Baños mujeres primer piso</t>
  </si>
  <si>
    <t>Baño personas con mobilidad reducida primer piso</t>
  </si>
  <si>
    <t>PLAZOLETA PRINCIPAL primer piso</t>
  </si>
  <si>
    <t>Terraza acceso San Francisco primer piso</t>
  </si>
  <si>
    <t>Hall direcciones M2</t>
  </si>
  <si>
    <t>Pasillos M2</t>
  </si>
  <si>
    <t xml:space="preserve">Pasillos tercer piso </t>
  </si>
  <si>
    <t>Sala de sistemas No. 1</t>
  </si>
  <si>
    <t>Baño hombres cuarto piso</t>
  </si>
  <si>
    <t>Baño mujeres cuarto piso</t>
  </si>
  <si>
    <t>Baño personas con mobilidad reducida cuarto piso</t>
  </si>
  <si>
    <t>Cuarto técnico servidores cuarto piso</t>
  </si>
  <si>
    <t>Baño hombres quinto piso</t>
  </si>
  <si>
    <t>Baño mujeres quinto piso</t>
  </si>
  <si>
    <t>Baño personas con mobilidad reducida quinto piso</t>
  </si>
  <si>
    <t>Cuarto técnico servidores quinto piso</t>
  </si>
  <si>
    <t>Baño hombres sexto piso</t>
  </si>
  <si>
    <t>Baño mujeres sexto piso</t>
  </si>
  <si>
    <t>Baño personas con mobilidad reducida sexto piso</t>
  </si>
  <si>
    <t>Cuarto técnico servidores sexto piso</t>
  </si>
  <si>
    <t xml:space="preserve">Edificio Italia </t>
  </si>
  <si>
    <t xml:space="preserve">Medio San Damian </t>
  </si>
  <si>
    <t xml:space="preserve">Zonas comunes </t>
  </si>
  <si>
    <t>Vacia</t>
  </si>
  <si>
    <t>Piso No.</t>
  </si>
  <si>
    <t>PISO No.</t>
  </si>
  <si>
    <t xml:space="preserve">Baños Mujeres </t>
  </si>
  <si>
    <t>Cuarto de Aseo y lavatrapero</t>
  </si>
  <si>
    <t xml:space="preserve">Baños Hombres </t>
  </si>
  <si>
    <t>S201</t>
  </si>
  <si>
    <t>S205</t>
  </si>
  <si>
    <t>S206</t>
  </si>
  <si>
    <t>S202</t>
  </si>
  <si>
    <t>S203</t>
  </si>
  <si>
    <t>S204</t>
  </si>
  <si>
    <t>Oficina Director Programa</t>
  </si>
  <si>
    <t>Biblioteca y CRE</t>
  </si>
  <si>
    <t>S208</t>
  </si>
  <si>
    <t>Laboratorio digital o sala de prototipos</t>
  </si>
  <si>
    <t xml:space="preserve">Laboratorio de fotografía </t>
  </si>
  <si>
    <t>S207</t>
  </si>
  <si>
    <t>Zona de ocio terraza en cafeteria</t>
  </si>
  <si>
    <t xml:space="preserve">Sala docentes </t>
  </si>
  <si>
    <t xml:space="preserve">Procedimientos minimos </t>
  </si>
  <si>
    <t xml:space="preserve">Hall Acceso Auditorio Santa Clara </t>
  </si>
  <si>
    <t xml:space="preserve">Residuos Biológicos </t>
  </si>
  <si>
    <t xml:space="preserve">Archivo Unidad de Salud </t>
  </si>
  <si>
    <t xml:space="preserve">Bodega en archivo central </t>
  </si>
  <si>
    <t>Baños personal Administrativo Mixto</t>
  </si>
  <si>
    <t>Cuarto técnico</t>
  </si>
  <si>
    <t xml:space="preserve">Biblioteca - Balcon </t>
  </si>
  <si>
    <t xml:space="preserve">Cuarto técnico </t>
  </si>
  <si>
    <t xml:space="preserve">Baños administrativos damas </t>
  </si>
  <si>
    <t>Baños administrativos caballeros</t>
  </si>
  <si>
    <t xml:space="preserve">Biblioteca - Pasillos </t>
  </si>
  <si>
    <t xml:space="preserve">Baños Administrativos Damas Decanatura ciencias Admon y contables </t>
  </si>
  <si>
    <t xml:space="preserve">Baños administrativos hombres Decanatura ciencias Admon y contables  </t>
  </si>
  <si>
    <t xml:space="preserve">BibliotecaSala Fray Ansermo Caradona fondos especiales y autores Nariñenses </t>
  </si>
  <si>
    <t>301D</t>
  </si>
  <si>
    <t xml:space="preserve">Sala de docentes TC ciencias básicas </t>
  </si>
  <si>
    <t>Deposito - Cuarto de aseo</t>
  </si>
  <si>
    <t>Baños damas Esp. Franciscana tercer piso</t>
  </si>
  <si>
    <t>Baños caballeros Esp. Franciscana tercer piso</t>
  </si>
  <si>
    <t>Sala de docentes Escuelas Franciscanas</t>
  </si>
  <si>
    <t>Sala de docentes TC programa de derecho</t>
  </si>
  <si>
    <t>Cuarto Técnico - electrico</t>
  </si>
  <si>
    <t>M1</t>
  </si>
  <si>
    <t>M2</t>
  </si>
  <si>
    <t>SOTANO</t>
  </si>
  <si>
    <t xml:space="preserve">Monitoría </t>
  </si>
  <si>
    <t xml:space="preserve">Cuarto técnico servidores  </t>
  </si>
  <si>
    <t xml:space="preserve">Depósito - cuarto basuras </t>
  </si>
  <si>
    <t>Bodega 1</t>
  </si>
  <si>
    <t>Bodega 2</t>
  </si>
  <si>
    <t>Bodega 3</t>
  </si>
  <si>
    <t>Bodega 4</t>
  </si>
  <si>
    <t xml:space="preserve">Shut de Cables </t>
  </si>
  <si>
    <t xml:space="preserve">Baño personal hombres </t>
  </si>
  <si>
    <t xml:space="preserve">Baño personal mujeres </t>
  </si>
  <si>
    <t>Cuarto de Aseo</t>
  </si>
  <si>
    <t>Aula de Sistemas Operativo</t>
  </si>
  <si>
    <t xml:space="preserve">Shut de Basuras </t>
  </si>
  <si>
    <t>Cuarto de Aseo - Lavatraperos</t>
  </si>
  <si>
    <t xml:space="preserve">Cuarto de aseo - Lavatraperos </t>
  </si>
  <si>
    <t xml:space="preserve">Depósito de Basura </t>
  </si>
  <si>
    <t>UPS</t>
  </si>
  <si>
    <t xml:space="preserve">Archivo - unidad de archivo y correspondencia </t>
  </si>
  <si>
    <t>Deposito de compras</t>
  </si>
  <si>
    <t xml:space="preserve">Bodega Recreacion y deporte </t>
  </si>
  <si>
    <t xml:space="preserve">Sala de espera Escuela de Espiritualidad </t>
  </si>
  <si>
    <t>Bodega de compras</t>
  </si>
  <si>
    <t xml:space="preserve">Cuarto de Aseo </t>
  </si>
  <si>
    <t>Aula de Acompañamiento Unidad de acompañamiento Integral al Estudiente</t>
  </si>
  <si>
    <t>Shut basura - cuarto escoba mágica</t>
  </si>
  <si>
    <t>Salón de Música</t>
  </si>
  <si>
    <t>Baños Hombres teatro  y música</t>
  </si>
  <si>
    <t xml:space="preserve">Baños Damas teatro y música  </t>
  </si>
  <si>
    <t>Baños públicos caballeros</t>
  </si>
  <si>
    <t xml:space="preserve">Deposito - Bodega almacén </t>
  </si>
  <si>
    <t>Oficina coordinación académica</t>
  </si>
  <si>
    <t xml:space="preserve">Oficina coordinación de práctica </t>
  </si>
  <si>
    <t>Shut de Basura - cuarto escoba mágica</t>
  </si>
  <si>
    <t xml:space="preserve">Sala de investigadores </t>
  </si>
  <si>
    <t xml:space="preserve">Oficina de investigadores </t>
  </si>
  <si>
    <t xml:space="preserve">Ofina Jefe, secretaría, técnico y auxiliares </t>
  </si>
  <si>
    <t>Shut de Basuras - cuarto escoba mágica</t>
  </si>
  <si>
    <t>TIPO DE ESPACIO</t>
  </si>
  <si>
    <t>Función Específica</t>
  </si>
  <si>
    <t>Cafeterías privadas</t>
  </si>
  <si>
    <t>Cafeterías públicas</t>
  </si>
  <si>
    <t>Consultorio Jurídico</t>
  </si>
  <si>
    <t>Consultorios Médicos</t>
  </si>
  <si>
    <t>Cuartos de servicio</t>
  </si>
  <si>
    <t>Cuartos técnicos</t>
  </si>
  <si>
    <t>Espacios de integración</t>
  </si>
  <si>
    <t>IPS Psicológica</t>
  </si>
  <si>
    <t>Laboratorios Especializados</t>
  </si>
  <si>
    <t>Malla de circulación</t>
  </si>
  <si>
    <t>Rampas y conectores</t>
  </si>
  <si>
    <t>Salas Cómputo</t>
  </si>
  <si>
    <t>Salas de investigadores</t>
  </si>
  <si>
    <t>Servicios sanitarios privados</t>
  </si>
  <si>
    <t>Servicios sanitarios públicos</t>
  </si>
  <si>
    <t>Zonas verdes</t>
  </si>
  <si>
    <t>Baños públicos hombres M1</t>
  </si>
  <si>
    <t>Baño públicos mujeres   M1</t>
  </si>
  <si>
    <t xml:space="preserve">Baños públicos hombres </t>
  </si>
  <si>
    <t xml:space="preserve">Baños públicos mujeres </t>
  </si>
  <si>
    <t xml:space="preserve">Archivo secretaría General </t>
  </si>
  <si>
    <t xml:space="preserve">Unidad de servicios psicologicos coordinación y secretaría </t>
  </si>
  <si>
    <t xml:space="preserve">Oficina secretaría dirección y preparatorios </t>
  </si>
  <si>
    <t>Cuarto técnico servidores ups</t>
  </si>
  <si>
    <t>Cuarto técnico y cuarto de aseo con lavatrapero</t>
  </si>
  <si>
    <t>Baño personas con movilidad reducida</t>
  </si>
  <si>
    <t>Sala de Juntas Anselmo Caradona</t>
  </si>
  <si>
    <t xml:space="preserve">Unidad de Proyectos y Convenios </t>
  </si>
  <si>
    <t xml:space="preserve">Unidad de Acompañamiento Integral al Estudiante </t>
  </si>
  <si>
    <t>Jefatura de Sistemas e Internet</t>
  </si>
  <si>
    <t>Jefatura de Crédito y Cartera</t>
  </si>
  <si>
    <t xml:space="preserve">Inclusión y Diversidad </t>
  </si>
  <si>
    <t xml:space="preserve">Sala de Teatro y música </t>
  </si>
  <si>
    <t xml:space="preserve">Unidad de Servicios Psicológicos </t>
  </si>
  <si>
    <t>Sala de música</t>
  </si>
  <si>
    <t>Gradas acceso a música</t>
  </si>
  <si>
    <t>Modulo auxiliar - Sala de sistemas</t>
  </si>
  <si>
    <t xml:space="preserve">Profesional Trabajo Social </t>
  </si>
  <si>
    <t xml:space="preserve">Profesional Inclusión y Diversidad </t>
  </si>
  <si>
    <t>AUDITORIO SAN FRANCISCO 2</t>
  </si>
  <si>
    <t>Salón de Danzas</t>
  </si>
  <si>
    <t>Instrumento músical</t>
  </si>
  <si>
    <t>Consultoríos Médicos</t>
  </si>
  <si>
    <t>Consultorío Médico</t>
  </si>
  <si>
    <t>Consultorío Odontológico</t>
  </si>
  <si>
    <t>Consultorío 1 USP</t>
  </si>
  <si>
    <t>Consultorío 3 USP</t>
  </si>
  <si>
    <t>Consultorío 2 USP</t>
  </si>
  <si>
    <t xml:space="preserve">Parqueadero y rampa ingreso principal </t>
  </si>
  <si>
    <t xml:space="preserve">Sala de docentes  TC Administración y Contaduría </t>
  </si>
  <si>
    <t xml:space="preserve">OficinaPrincipal Secretaría General, Coordinador, auxiliares </t>
  </si>
  <si>
    <t>Oficinaprincipal Rectoría y secretaría</t>
  </si>
  <si>
    <t xml:space="preserve">OficinaPrincipal, secretaría, técnicos y prácticantes </t>
  </si>
  <si>
    <t>OficinaPrincipal, secretaría, coordinador</t>
  </si>
  <si>
    <t>OficinaPrincipal, secretario, coordinador</t>
  </si>
  <si>
    <t>OficinaPrincipal Sistema Aseguramiento de la calidad</t>
  </si>
  <si>
    <t>OficinaDirector, secretaría, técnicos y auxiliar</t>
  </si>
  <si>
    <t>OficinaMantenimiento y Planta física</t>
  </si>
  <si>
    <t>OficinaJefatura, técnico y auxiliar</t>
  </si>
  <si>
    <t>OficinaJefatura, secretaría, auxiliar</t>
  </si>
  <si>
    <t>OficinaDirección programa de derecho</t>
  </si>
  <si>
    <t>Oficinade Escuela Franciscana de  Espiritualidad Franciscana y de escuela de paz y fraternidad Coordinación</t>
  </si>
  <si>
    <t xml:space="preserve">Oficinade Espiritualidad Franciscana Capellania </t>
  </si>
  <si>
    <t>BañoS OficinaHombres 1ER PISO</t>
  </si>
  <si>
    <t>Baño OficinaMujeres 1ER PISO</t>
  </si>
  <si>
    <t>ClÍnica Jurídica - Sala de docentes de derecho</t>
  </si>
  <si>
    <t>Coordinación centro de Investigación SocioJurídica CIS</t>
  </si>
  <si>
    <t xml:space="preserve">Oficina Secretaría de programa </t>
  </si>
  <si>
    <t xml:space="preserve">Oficina Dirección de programa </t>
  </si>
  <si>
    <t xml:space="preserve">Sala de Docentes TC Y MT programa de Psicología </t>
  </si>
  <si>
    <t xml:space="preserve">Oficina secretaría de programa </t>
  </si>
  <si>
    <t xml:space="preserve">Coordinador académico y coordinador Preparatorios </t>
  </si>
  <si>
    <t xml:space="preserve">Oficina Decano Facultad </t>
  </si>
  <si>
    <t>Oficina Secretaría Facultad</t>
  </si>
  <si>
    <t>Oficina Laboratorista del CRE</t>
  </si>
  <si>
    <t>Área de Investigadores</t>
  </si>
  <si>
    <t>AUDITORIO SAN FRANCISCO 1</t>
  </si>
  <si>
    <t xml:space="preserve">Secretaría Unidad de acompañamiento Integral al Estudiente </t>
  </si>
  <si>
    <t>Cafetería Pública</t>
  </si>
  <si>
    <t>Fotocopiadora Pública</t>
  </si>
  <si>
    <t>Cocina cafetería Pública</t>
  </si>
  <si>
    <t xml:space="preserve">Cancha de Tenis </t>
  </si>
  <si>
    <t>Zona verde Cancha No. 2</t>
  </si>
  <si>
    <t xml:space="preserve">Oficina Secretaría Programa  </t>
  </si>
  <si>
    <t>Cafeteria Pública</t>
  </si>
  <si>
    <t xml:space="preserve">Cuarto técnico Servidor </t>
  </si>
  <si>
    <t xml:space="preserve">Oficina Dirección e programa </t>
  </si>
  <si>
    <t>Oficina Secretaría ciencias básicas</t>
  </si>
  <si>
    <t>Oficina Dirección ciencias básicas</t>
  </si>
  <si>
    <t>Oficina Secretaría CRE</t>
  </si>
  <si>
    <t>Oficina Auxiliares CRE</t>
  </si>
  <si>
    <t>Etiquetas de fila</t>
  </si>
  <si>
    <t>Total general</t>
  </si>
  <si>
    <t>Suma de ÁREA (Metros2)</t>
  </si>
  <si>
    <t xml:space="preserve">TENENCIA POR ÁREA </t>
  </si>
  <si>
    <t xml:space="preserve">ÁREA CONSTRUIDA </t>
  </si>
  <si>
    <t xml:space="preserve">UBICACIÓN POR ÁREA </t>
  </si>
  <si>
    <t xml:space="preserve">ÁREA POR TIPO DE ESPACIOS </t>
  </si>
  <si>
    <t xml:space="preserve">ÁREA POR FUNCIÓN ESPECIFICA </t>
  </si>
  <si>
    <t xml:space="preserve">ÁREA POR ACCESO AUTÓNOMO  </t>
  </si>
  <si>
    <t xml:space="preserve">TENENCIA </t>
  </si>
  <si>
    <t>ÁREA POR TIPO DE ESPACIO - USO</t>
  </si>
  <si>
    <t xml:space="preserve">Laboratorio de física  </t>
  </si>
  <si>
    <t>Laboratorio Morfofisiología</t>
  </si>
  <si>
    <t>Taller Carpintería</t>
  </si>
  <si>
    <t>Portería</t>
  </si>
  <si>
    <t xml:space="preserve">Coordinación técnico y auxiliar  de redes y comunicaciones </t>
  </si>
  <si>
    <t>Públicidad y Mercadeo primer piso</t>
  </si>
  <si>
    <t xml:space="preserve">Terraza Alvernia </t>
  </si>
  <si>
    <t>Archivo Investigaciones</t>
  </si>
  <si>
    <t>Camaras de vigilancia</t>
  </si>
  <si>
    <t xml:space="preserve">Cuarto electrico </t>
  </si>
  <si>
    <t>Area de servidores - electrico</t>
  </si>
  <si>
    <t>Hall acceso piso 1 - SECTOR AV AMERICAS</t>
  </si>
  <si>
    <t>Lobby auditorio-Hall credito y cartera - publicidad y mercadeo</t>
  </si>
  <si>
    <t xml:space="preserve">Cuarto electrico - Servidores </t>
  </si>
  <si>
    <t>Hall ascensores y escaleras primer piso</t>
  </si>
  <si>
    <t>Terraza posterior primer piso se incluye area cubierta</t>
  </si>
  <si>
    <t>Escaleras internas de aceeso primer piso</t>
  </si>
  <si>
    <t xml:space="preserve">Escaleras acceso primer piso  - entrada </t>
  </si>
  <si>
    <t>Rampas primer piso pendiente 12%</t>
  </si>
  <si>
    <t>Area para instalacion de estractores de aire- ventilacion parqueaderos - 2</t>
  </si>
  <si>
    <t>Escaleras acceso a parqueaderos</t>
  </si>
  <si>
    <t>Escaleras de distribucion central</t>
  </si>
  <si>
    <t xml:space="preserve">Área mesas incluida circulacion </t>
  </si>
  <si>
    <t>Baño público hombres + cuarto de aseo</t>
  </si>
  <si>
    <t>Oficina de acompañamiento</t>
  </si>
  <si>
    <t>Baño público mujeres + cuarto de aseo</t>
  </si>
  <si>
    <t>Escaleras acceso a parqueaderos - primer piso</t>
  </si>
  <si>
    <t>Escaleras internas - punto de distribucion</t>
  </si>
  <si>
    <t>Cuarto eléctrico electrico</t>
  </si>
  <si>
    <t>Zona planta electrica</t>
  </si>
  <si>
    <t>Cuarto tecnico -  hidraulico  - bombas</t>
  </si>
  <si>
    <t>Cuarto tecnico redes</t>
  </si>
  <si>
    <t>Area para ascensores</t>
  </si>
  <si>
    <t>Escaleras, acceso parqueaderos</t>
  </si>
  <si>
    <t>Portería con baño</t>
  </si>
  <si>
    <t xml:space="preserve">Prestamo y devolucion </t>
  </si>
  <si>
    <t>Depositos</t>
  </si>
  <si>
    <t>Direccion</t>
  </si>
  <si>
    <t>Sistemas</t>
  </si>
  <si>
    <t>Procesos tecnicos</t>
  </si>
  <si>
    <t>Secretaria vicerrector</t>
  </si>
  <si>
    <t>Sala general</t>
  </si>
  <si>
    <t>Sala de reserva</t>
  </si>
  <si>
    <t>Lectura Libre - Area de muebles</t>
  </si>
  <si>
    <t>Area documentos tesis</t>
  </si>
  <si>
    <t>Hemeroteca</t>
  </si>
  <si>
    <t>Escaleras - Acceso segundo piso</t>
  </si>
  <si>
    <t>Baño para movilidad reducida x2</t>
  </si>
  <si>
    <t>Cuarto tecnico</t>
  </si>
  <si>
    <t>Proceso de archivo</t>
  </si>
  <si>
    <t xml:space="preserve">Archivo Cental - Oficina técnicos y auxiliar </t>
  </si>
  <si>
    <t>Coordinacion de posgrados y maestrias</t>
  </si>
  <si>
    <t>Coordinacion de Egresados</t>
  </si>
  <si>
    <t>I208</t>
  </si>
  <si>
    <t>I209</t>
  </si>
  <si>
    <t>I212</t>
  </si>
  <si>
    <t>I213</t>
  </si>
  <si>
    <t>Oficina Direccion CRE</t>
  </si>
  <si>
    <t>Bodega Direccion CRE</t>
  </si>
  <si>
    <t>Multicopias CREE</t>
  </si>
  <si>
    <t>Deposito material  audivisual</t>
  </si>
  <si>
    <t>Centro de idiomas</t>
  </si>
  <si>
    <t>Sala de docentes idiomas</t>
  </si>
  <si>
    <t>Direccion departamento de Idiomas</t>
  </si>
  <si>
    <t>I307</t>
  </si>
  <si>
    <t>I308</t>
  </si>
  <si>
    <t>I309</t>
  </si>
  <si>
    <t>I310</t>
  </si>
  <si>
    <t>I311</t>
  </si>
  <si>
    <t>I312</t>
  </si>
  <si>
    <t>I315</t>
  </si>
  <si>
    <t>I316</t>
  </si>
  <si>
    <t>I317</t>
  </si>
  <si>
    <t>Escaleras aceeso 2do piso biblioteca</t>
  </si>
  <si>
    <t>Escaleras piso a piso</t>
  </si>
  <si>
    <t>H306</t>
  </si>
  <si>
    <t>Asociacion de egresados</t>
  </si>
  <si>
    <t xml:space="preserve">Bateria de baños hombres </t>
  </si>
  <si>
    <t>Bateria de baños mujeres</t>
  </si>
  <si>
    <t>Punto fijo central</t>
  </si>
  <si>
    <t>Area de mesas</t>
  </si>
  <si>
    <t>Baño hombres privado</t>
  </si>
  <si>
    <t>Baño mujeres privado</t>
  </si>
  <si>
    <t>Pasillos Ed. Italia/ Ed. Holanda</t>
  </si>
  <si>
    <t xml:space="preserve">Area de Humanidades Dirección </t>
  </si>
  <si>
    <t>Secretaria area de evangelizacion</t>
  </si>
  <si>
    <t>H401</t>
  </si>
  <si>
    <t>H402</t>
  </si>
  <si>
    <t>H403</t>
  </si>
  <si>
    <t>H404</t>
  </si>
  <si>
    <t>H405</t>
  </si>
  <si>
    <t>I411</t>
  </si>
  <si>
    <t>H406</t>
  </si>
  <si>
    <t>H407</t>
  </si>
  <si>
    <t>H408</t>
  </si>
  <si>
    <t>H409</t>
  </si>
  <si>
    <t>H410</t>
  </si>
  <si>
    <t>I412</t>
  </si>
  <si>
    <t>I413</t>
  </si>
  <si>
    <t>I420</t>
  </si>
  <si>
    <t>I416</t>
  </si>
  <si>
    <t>I417</t>
  </si>
  <si>
    <t>I418</t>
  </si>
  <si>
    <t>I419</t>
  </si>
  <si>
    <t>I421</t>
  </si>
  <si>
    <t>Oficina supergiros</t>
  </si>
  <si>
    <t>H501</t>
  </si>
  <si>
    <t>H502</t>
  </si>
  <si>
    <t>H503</t>
  </si>
  <si>
    <t>H505</t>
  </si>
  <si>
    <t>H506</t>
  </si>
  <si>
    <t>H508</t>
  </si>
  <si>
    <t>Secretaria y oficina de proyectos</t>
  </si>
  <si>
    <t>Acceso radio y television / cabina de radio / edicion</t>
  </si>
  <si>
    <t>Laboratorio de pruebas</t>
  </si>
  <si>
    <t>prototipado grupo rampa</t>
  </si>
  <si>
    <t>Consultorío 6 USP</t>
  </si>
  <si>
    <t>Consultorío 4 USP</t>
  </si>
  <si>
    <t>Consultorío 5 USP</t>
  </si>
  <si>
    <t>Archivo</t>
  </si>
  <si>
    <t>Deposito de residuos</t>
  </si>
  <si>
    <t>sala de espera</t>
  </si>
  <si>
    <t>hall de circulacion</t>
  </si>
  <si>
    <t>cuarto de aseo</t>
  </si>
  <si>
    <t xml:space="preserve">Oficina Relaciones interuniversitarias </t>
  </si>
  <si>
    <t>Sala de musica</t>
  </si>
  <si>
    <t>Cord deporte universitario</t>
  </si>
  <si>
    <t xml:space="preserve">Sala de semilleros de investigacion y editorial </t>
  </si>
  <si>
    <t>Coordinacion e internacionalizacion y proyeccion universitaria</t>
  </si>
  <si>
    <t>Oficina de practica Universitaria</t>
  </si>
  <si>
    <t xml:space="preserve">Oficina grupo de investigacion </t>
  </si>
  <si>
    <t>AUDITORIO  NIVEL 0</t>
  </si>
  <si>
    <t>DEPOSITO 1  NIVEL 0</t>
  </si>
  <si>
    <t>DEPOSITO 2  NIVEL 0</t>
  </si>
  <si>
    <t>CIRCULACION CUARTO TECNICO   NIVEL 0</t>
  </si>
  <si>
    <t>CUARTO TECNICO  NIVEL 0</t>
  </si>
  <si>
    <t>HALL  NIVEL 0</t>
  </si>
  <si>
    <t>CUARTO ELECTRICO  NIVEL 0</t>
  </si>
  <si>
    <t>AREA DE LOKERS  NIVEL 0</t>
  </si>
  <si>
    <t>ASEO NIVEL 0</t>
  </si>
  <si>
    <t>BAÑOS Y DUCHAS SEXADOS  NIVEL 0</t>
  </si>
  <si>
    <t>CIRCULACIONES  NIVEL 0</t>
  </si>
  <si>
    <t>CUARTO COMUNICACIONES VOZ Y DATOS NIVEL 3.5</t>
  </si>
  <si>
    <t>BAÑOS PROFESORES NIVEL 3.5</t>
  </si>
  <si>
    <t>BAÑOS PMR PROFESORES NIVEL 3.5</t>
  </si>
  <si>
    <t>BAÑOS ESTUDIANTES  NIVEL 3.5</t>
  </si>
  <si>
    <t>BAÑOS PMR ESTUDIANTES  NIVEL 3.5</t>
  </si>
  <si>
    <t>CUARTO ELECTRICO  NIVEL 3.5</t>
  </si>
  <si>
    <t>DEPOSITO Y ASEO  NIVEL 3.5</t>
  </si>
  <si>
    <t>CUARTO COMUNICACIONES VOZ Y DATOS 2 NIVEL 3.5</t>
  </si>
  <si>
    <t>AULA T40 CAP 41 PERSONAS NIVEL 3.5</t>
  </si>
  <si>
    <t>AULA T 50 CAP 51 PERSONAS  NIVEL 3.5</t>
  </si>
  <si>
    <t>OFICINA DOCENTES 1 NIVEL 3.5</t>
  </si>
  <si>
    <t>OFICINA DOCENTES 2 NIVEL 3.5</t>
  </si>
  <si>
    <t>OFICINA DOCENTES 3 NIVEL 3.5</t>
  </si>
  <si>
    <t>OFICINA DOCENTES 4 NIVEL 3.5</t>
  </si>
  <si>
    <t>OFICINA DOCENTES 5 NIVEL 3.5</t>
  </si>
  <si>
    <t>OFICINA DOCENTES 6 NIVEL 3.5</t>
  </si>
  <si>
    <t>OFICINA DOCENTES 7  NIVEL 3.5</t>
  </si>
  <si>
    <t>OFICINA DOCENTES 8 NIVEL 3.5</t>
  </si>
  <si>
    <t>OFICINA DOCENTES 9 NIVEL 3.5</t>
  </si>
  <si>
    <t>OFICINA DOCENTES 10 NIVEL 3.5</t>
  </si>
  <si>
    <t>OFICINA DOCENTES 11 NIVEL 3.5</t>
  </si>
  <si>
    <t>OFICINA DOCENTES 12 NIVEL 3.5</t>
  </si>
  <si>
    <t>SALA DOCENTES NIVEL 3.5</t>
  </si>
  <si>
    <t>CIRCULACIONES  NIVEL 3.5</t>
  </si>
  <si>
    <t>CUARTO COMUNICACIONES VOZ Y DATOS  NIVEL 7</t>
  </si>
  <si>
    <t>BAÑOS PROFESORES  NIVEL 7</t>
  </si>
  <si>
    <t>BAÑOS PMR PROFESORES NIVEL 7</t>
  </si>
  <si>
    <t>BAÑOS ESTUDIANTES  NIVEL 7</t>
  </si>
  <si>
    <t>BAÑOS PMR ESTUDIANTES  NIVEL 7</t>
  </si>
  <si>
    <t>CUARTO ELECTRICO  NIVEL 7</t>
  </si>
  <si>
    <t>DEPOSITO Y ASEO  NIVEL 7</t>
  </si>
  <si>
    <t>DEPOSITO Y ASEO 2 NIVEL 7</t>
  </si>
  <si>
    <t>CUARTO COMUNICACIONES VOZ Y DATOS 2 NIVEL 7</t>
  </si>
  <si>
    <t>AULA T40 CAP 41 PERSONAS NIVEL 7</t>
  </si>
  <si>
    <t>AULA T 50 CAP 51 PERSONAS  NIVEL 7</t>
  </si>
  <si>
    <t>AULA T 50 CAP 51 PERSONAS NIVEL 7</t>
  </si>
  <si>
    <t>AULA T 30 CAP 31 PERSONAS NIVEL 7</t>
  </si>
  <si>
    <t>DISPONIBLE NIVEL 7</t>
  </si>
  <si>
    <t>CIRCULACIONES  NIVEL 7</t>
  </si>
  <si>
    <t xml:space="preserve">CUARTO COMUNICACIONES VOZ Y DATOS </t>
  </si>
  <si>
    <t xml:space="preserve">BAÑOS PROFESORES </t>
  </si>
  <si>
    <t>BAÑOS PMR PROFESORES</t>
  </si>
  <si>
    <t xml:space="preserve">BAÑOS ESTUDIANTES </t>
  </si>
  <si>
    <t xml:space="preserve">BAÑOS PMR ESTUDIANTES </t>
  </si>
  <si>
    <t xml:space="preserve">CUARTO ELECTRICO </t>
  </si>
  <si>
    <t xml:space="preserve">DEPOSITO Y ASEO </t>
  </si>
  <si>
    <t>DEPOSITO Y ASEO 2</t>
  </si>
  <si>
    <t>CUARTO COMUNICACIONES VOZ Y DATOS 2</t>
  </si>
  <si>
    <t>AULA T40 CAP 41 PERSONAS</t>
  </si>
  <si>
    <t xml:space="preserve">AULA T 50 CAP 51 PERSONAS </t>
  </si>
  <si>
    <t>AULA T 30 CAP 31 PERSONAS</t>
  </si>
  <si>
    <t xml:space="preserve">CIRCULACIONES </t>
  </si>
  <si>
    <t xml:space="preserve">ASEO </t>
  </si>
  <si>
    <t>KIOSCO</t>
  </si>
  <si>
    <t xml:space="preserve">DEPOSITO KIOSCO </t>
  </si>
  <si>
    <t xml:space="preserve">PORTERIA </t>
  </si>
  <si>
    <t xml:space="preserve">BAÑO PORTERIA </t>
  </si>
  <si>
    <t xml:space="preserve">CUARTO TECNICO VOZ Y DATOS </t>
  </si>
  <si>
    <t>ARCHIVOS RODANTES</t>
  </si>
  <si>
    <t>CUARTO ELECTRICO</t>
  </si>
  <si>
    <t xml:space="preserve">DEPOSITO DE ASEO OFICINAS </t>
  </si>
  <si>
    <t xml:space="preserve">CUARTO TECNICO DE COMUNICACIONES </t>
  </si>
  <si>
    <t xml:space="preserve">BAÑO CUARTO TECNICO DE SEGURIDAD Y CONTROL </t>
  </si>
  <si>
    <t xml:space="preserve">CAJA </t>
  </si>
  <si>
    <t xml:space="preserve">RECEPCION Y SALA DE ESPERA CAP 10 PERSONAS </t>
  </si>
  <si>
    <t xml:space="preserve">OFICINA COORDINADOR </t>
  </si>
  <si>
    <t>COCINETA</t>
  </si>
  <si>
    <t xml:space="preserve">SALA DE JUNTAS CAP 13 PERSONAS </t>
  </si>
  <si>
    <t>SECRETARIA CAP 3 PERSONAS</t>
  </si>
  <si>
    <t xml:space="preserve">OFICINA RECTOR </t>
  </si>
  <si>
    <t xml:space="preserve">GUARDAROPA RECTOR </t>
  </si>
  <si>
    <t xml:space="preserve">BAÑO OFICINA RECTOR </t>
  </si>
  <si>
    <t xml:space="preserve">OFICINA ADMINISTRADOR </t>
  </si>
  <si>
    <t xml:space="preserve">BAÑO OFICINA ADMINISTRADOR </t>
  </si>
  <si>
    <t xml:space="preserve">CIRCULACION ADMINISTRATIVA </t>
  </si>
  <si>
    <t>BAÑOS HOMBRES TIPO 1</t>
  </si>
  <si>
    <t>BAÑOS MUJERES TIPO 1</t>
  </si>
  <si>
    <t>BAÑO PMR TIPO 1</t>
  </si>
  <si>
    <t>ASEO</t>
  </si>
  <si>
    <t>BAÑOS TIPO 2</t>
  </si>
  <si>
    <t>BAÑO PMR TIPO 2</t>
  </si>
  <si>
    <t xml:space="preserve">CONTROL SALA DE CONFERENCIAS </t>
  </si>
  <si>
    <t xml:space="preserve">BAÑOS MUJERES TIPO 3 </t>
  </si>
  <si>
    <t>BAÑOS HOMBRES TIPO 3</t>
  </si>
  <si>
    <t>BAÑO PMR TIPO 3</t>
  </si>
  <si>
    <t xml:space="preserve">DEPOSITO IMPLEMENTOS DEPORTIVOS </t>
  </si>
  <si>
    <t>BATERIA SANITARIA NIÑOS- NIÑAS</t>
  </si>
  <si>
    <t>BATERIA SANITARIA HOMBRES- MUJERES</t>
  </si>
  <si>
    <t>BAÑO DE INSTRUCTUTORES</t>
  </si>
  <si>
    <t>BAÑO PMR</t>
  </si>
  <si>
    <t xml:space="preserve">HALL, SALA DE ESPERA Y RECEPCION </t>
  </si>
  <si>
    <t>PRIMEROS AUXILIOS</t>
  </si>
  <si>
    <t xml:space="preserve">OFICINA ADMINISTRACION </t>
  </si>
  <si>
    <t xml:space="preserve">CONSULTORIO </t>
  </si>
  <si>
    <t>CALEFACCION CALENTADORES INDUSTRIALES A GAS</t>
  </si>
  <si>
    <t xml:space="preserve">ESPACIO DISPONIBLE </t>
  </si>
  <si>
    <t>CIRCULACIONES</t>
  </si>
  <si>
    <t xml:space="preserve">CUARTO TECNICO </t>
  </si>
  <si>
    <t xml:space="preserve">BAÑOS HOMBRES Y MUJERES </t>
  </si>
  <si>
    <t>CAURTO TECNICO REDES</t>
  </si>
  <si>
    <t xml:space="preserve">AREA DE GRADERIA </t>
  </si>
  <si>
    <t xml:space="preserve">CUARTO TECNICO MANTENIMIENTO CANCHAS </t>
  </si>
  <si>
    <t>CUARTO TECNICO</t>
  </si>
  <si>
    <t>DEPOSITO Y ASEO</t>
  </si>
  <si>
    <t>CUARTO TECNICO GAS</t>
  </si>
  <si>
    <t xml:space="preserve">VESTUARIO LOCKERS Y DUCHAS </t>
  </si>
  <si>
    <t>DUCHAS Y LOCKERS ARBITROS</t>
  </si>
  <si>
    <t xml:space="preserve">BAÑOS MIXTOS DEPORTISTAS POLIDEPORTIVO </t>
  </si>
  <si>
    <t>BAÑOS DEPOTISTAS CANCHAS EXT</t>
  </si>
  <si>
    <t>ASEO TIPO 1</t>
  </si>
  <si>
    <t>ASEO TIPO 2</t>
  </si>
  <si>
    <t>VESTIER JUECES</t>
  </si>
  <si>
    <t>DEPOSITO DE IMPLEMENTOS DEPORTIVOS TIPO 1</t>
  </si>
  <si>
    <t>DEPOSITO DE IMPLEMENTOS DEPORTIVOS TIPO 2</t>
  </si>
  <si>
    <t>CUARTO TECNICO ELECTRICO</t>
  </si>
  <si>
    <t>CUARTO TECNICO HIDRAULICO</t>
  </si>
  <si>
    <t xml:space="preserve">HALL Y CONCENTRACION EQUIPOS </t>
  </si>
  <si>
    <t>TAQUILLA</t>
  </si>
  <si>
    <t>BATERIA SANITARIA PUBLICA</t>
  </si>
  <si>
    <t>SUBESTACION 3</t>
  </si>
  <si>
    <t>PLANTA DE TRATAMIENTO AGUA RESIDUAL</t>
  </si>
  <si>
    <t>PLANTA DE TRATAMIENTO AGUA POTABLE</t>
  </si>
  <si>
    <t>POZO EYECTOR</t>
  </si>
  <si>
    <t>TANQUE DE REUSO FIBRA DE VIDRIO</t>
  </si>
  <si>
    <t>CASETAS DE EXTRACCIÓN</t>
  </si>
  <si>
    <t>LABORATORIO AGUAS</t>
  </si>
  <si>
    <t>CUARTO DE BASURAS, SUBESTACIÓN</t>
  </si>
  <si>
    <t>PARQUEADEROS EXTERIORES</t>
  </si>
  <si>
    <t>AREAS VIAS  EXTERNAS</t>
  </si>
  <si>
    <t>AREAS CIRCULACIONES EXTERNAS</t>
  </si>
  <si>
    <t>CANCHA DE FUTBOL Y PISTA ATLETICA</t>
  </si>
  <si>
    <t>CANCHAS MULTIFUNCIONALES</t>
  </si>
  <si>
    <t xml:space="preserve">MONITORIA DE SISTEMAS </t>
  </si>
  <si>
    <t>SALA DE COMPUTO # 1</t>
  </si>
  <si>
    <t>SALA DE COMPUTO # 2</t>
  </si>
  <si>
    <t>BAÑOS PMR PROFESORES PMR</t>
  </si>
  <si>
    <t>BAÑOS PMR ESTUDIANTES PMR</t>
  </si>
  <si>
    <r>
      <rPr>
        <b/>
        <sz val="22"/>
        <color theme="1"/>
        <rFont val="Calibri"/>
        <family val="2"/>
        <scheme val="minor"/>
      </rPr>
      <t xml:space="preserve">UNIVERSITARIA CESMAG </t>
    </r>
    <r>
      <rPr>
        <sz val="22"/>
        <color theme="1"/>
        <rFont val="Calibri"/>
        <family val="2"/>
        <scheme val="minor"/>
      </rPr>
      <t xml:space="preserve">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8"/>
        <color theme="1"/>
        <rFont val="Calibri"/>
        <family val="2"/>
        <scheme val="minor"/>
      </rPr>
      <t xml:space="preserve">                                              INFRAESTRUCTURA FÍSICA</t>
    </r>
  </si>
  <si>
    <t>(en blanco)</t>
  </si>
  <si>
    <t xml:space="preserve">Baño personas con movilidad reducida </t>
  </si>
  <si>
    <t xml:space="preserve">OficinaDirector y secretario consultorios </t>
  </si>
  <si>
    <t xml:space="preserve">Cuarto Técnico de redes y comunicacion </t>
  </si>
  <si>
    <t>Secretaria Administriva (Sala de espera)</t>
  </si>
  <si>
    <t>Coordinación de practica</t>
  </si>
  <si>
    <t>sala de audencias</t>
  </si>
  <si>
    <t>derecho laboral</t>
  </si>
  <si>
    <t>derecho civil</t>
  </si>
  <si>
    <t>Derecho de familia</t>
  </si>
  <si>
    <t xml:space="preserve">DECANATURA DE INGENIERÍA </t>
  </si>
  <si>
    <t>SECRETARIAS DE LA FACULTAD</t>
  </si>
  <si>
    <t>DIRECCION DE SISTEMAS O IN. F D</t>
  </si>
  <si>
    <t>DECANATURA DE INGENIERÍA SALA DE ESPERA</t>
  </si>
  <si>
    <t xml:space="preserve"> SALA DE JUNTAS</t>
  </si>
  <si>
    <t>Sala de docentes intinerante</t>
  </si>
  <si>
    <t>Secretaria vicerrectoría academica</t>
  </si>
  <si>
    <t>Auditoria Interna y Oficinas de Presupuesto</t>
  </si>
  <si>
    <t>Coordinacion de seguridad y salud al trabajo</t>
  </si>
  <si>
    <t>Bodega Seguridad y salud al trabajo</t>
  </si>
  <si>
    <t>Derecho publico</t>
  </si>
  <si>
    <t>Derecho penal</t>
  </si>
  <si>
    <t>Centro de concilación</t>
  </si>
  <si>
    <t>Sala virtual</t>
  </si>
  <si>
    <t xml:space="preserve">Oficina Departamento Jurídico </t>
  </si>
  <si>
    <t>Baño PMR y mixtado</t>
  </si>
  <si>
    <t>Parqueadero vias</t>
  </si>
  <si>
    <t>Parqueadero</t>
  </si>
  <si>
    <t>M3</t>
  </si>
  <si>
    <t>BIBLIOTECA</t>
  </si>
  <si>
    <t>Asistencia a usuarios</t>
  </si>
  <si>
    <t>Vicerrectoria evangelizacion de las culturas</t>
  </si>
  <si>
    <t>Consulta informatica</t>
  </si>
  <si>
    <t>Estanteria</t>
  </si>
  <si>
    <t xml:space="preserve">Bodega de danzas </t>
  </si>
  <si>
    <t xml:space="preserve">Cocina / cafetería Alvernia </t>
  </si>
  <si>
    <t xml:space="preserve">Aula de Clase </t>
  </si>
  <si>
    <t>Hall seguridad y salud en el trabajo</t>
  </si>
  <si>
    <t xml:space="preserve">Coordinación de seguridad y salud en el trabajo </t>
  </si>
  <si>
    <t>Baño libre</t>
  </si>
  <si>
    <t>Cuarto técnico AEMG</t>
  </si>
  <si>
    <t>Enfermería</t>
  </si>
  <si>
    <t>Oficina consultorías</t>
  </si>
  <si>
    <t>Bodega de mantenimiento</t>
  </si>
  <si>
    <t>Sala de docentes</t>
  </si>
  <si>
    <t>Escalera</t>
  </si>
  <si>
    <t xml:space="preserve">Area de mesas </t>
  </si>
  <si>
    <t>Baños</t>
  </si>
  <si>
    <t>Sala de Juntas</t>
  </si>
  <si>
    <t>Oficinas Secretarías de programa de la Facultad de Ingeniería</t>
  </si>
  <si>
    <t>Oficina Decanatura</t>
  </si>
  <si>
    <t>Oficina Dirección Ing. Electrónica</t>
  </si>
  <si>
    <t>Sala de pruebas/psicologicas</t>
  </si>
  <si>
    <t>Pendiente por asignar</t>
  </si>
  <si>
    <t>Traslado de mobiliaria</t>
  </si>
  <si>
    <t>Taller Artístico</t>
  </si>
  <si>
    <t>Taller mantenimiento</t>
  </si>
  <si>
    <t>Por asignar</t>
  </si>
  <si>
    <t>Oficina Dirección Programa de Lic. en Química.</t>
  </si>
  <si>
    <t>Dirección de Desarrollo Académico</t>
  </si>
  <si>
    <t>Oficina Vicerrectoría Académica</t>
  </si>
  <si>
    <t>Sala de docentes itinerantes</t>
  </si>
  <si>
    <t>Sala Unidad de acompañamiento Integral al Estudiante</t>
  </si>
  <si>
    <t>Espacio de relajación</t>
  </si>
  <si>
    <t>Oficina Principal Jefe, secretaría</t>
  </si>
  <si>
    <t>Medios Educativos</t>
  </si>
  <si>
    <t>Aula</t>
  </si>
  <si>
    <t>CUARTO INSPECCION ZONAS VERDES TIPO 1 NIVEL 17</t>
  </si>
  <si>
    <t xml:space="preserve">CIRCULACIONES  </t>
  </si>
  <si>
    <t>TERRAZA NIVEL 17 - 5</t>
  </si>
  <si>
    <t>CUARTO INSPECCION A LA CUBIERTA TIPO 1 NIVEL 17 - 5</t>
  </si>
  <si>
    <t>CENTRO DE DATOS</t>
  </si>
  <si>
    <t>CUARTO DE CONTROL Y MONITOREO</t>
  </si>
  <si>
    <t>HALL</t>
  </si>
  <si>
    <t>ARCHIVO</t>
  </si>
  <si>
    <t>HALL DE EXHIBICIONES</t>
  </si>
  <si>
    <t>CUARTO DE CONTROL SALA DE CONFERENCIAS</t>
  </si>
  <si>
    <t xml:space="preserve">CAFETERIA CAP 254 PERSONAS </t>
  </si>
  <si>
    <t>BAÑOS ARBITROS</t>
  </si>
  <si>
    <t>Juridica</t>
  </si>
  <si>
    <t>Consultorio psicologico 1</t>
  </si>
  <si>
    <t>Consultorio psicologico 2</t>
  </si>
  <si>
    <t>Consultorio psicologico 3</t>
  </si>
  <si>
    <t>Consultorio psicologico 4</t>
  </si>
  <si>
    <t xml:space="preserve">Hall Consultorios psicologicos </t>
  </si>
  <si>
    <t>Practicas  Psicologia</t>
  </si>
  <si>
    <t>libre</t>
  </si>
  <si>
    <t xml:space="preserve">Hall ingreso </t>
  </si>
  <si>
    <t xml:space="preserve">pasillo de circulacion </t>
  </si>
  <si>
    <t xml:space="preserve">Planta electrica 400KVA  </t>
  </si>
  <si>
    <t xml:space="preserve">Subestacion  400KVA  </t>
  </si>
  <si>
    <t>Subestacion  de GLP</t>
  </si>
  <si>
    <t xml:space="preserve">Cuarto de bombas  </t>
  </si>
  <si>
    <t xml:space="preserve">Piscinas </t>
  </si>
  <si>
    <t>Sala de Docentes Facultad de Ingeniería</t>
  </si>
  <si>
    <t>Laboratorio San Buenaventura</t>
  </si>
  <si>
    <t xml:space="preserve">Bodega coreográfica </t>
  </si>
  <si>
    <t>AREA DE CANCHA POLIDEPORTIVO</t>
  </si>
  <si>
    <t>Espacio por asignar</t>
  </si>
  <si>
    <r>
      <t>ÁREA (Metros</t>
    </r>
    <r>
      <rPr>
        <b/>
        <vertAlign val="superscript"/>
        <sz val="10"/>
        <color theme="0"/>
        <rFont val="Arial Narrow"/>
        <family val="2"/>
      </rPr>
      <t>2</t>
    </r>
    <r>
      <rPr>
        <b/>
        <sz val="10"/>
        <color theme="0"/>
        <rFont val="Arial Narrow"/>
        <family val="2"/>
      </rPr>
      <t>)</t>
    </r>
  </si>
  <si>
    <t>No.</t>
  </si>
  <si>
    <t>Prom</t>
  </si>
  <si>
    <t>EXISTENCIA SALAS DE CÓMPUTO</t>
  </si>
  <si>
    <t>EXISTENCIA AULAS DE CLASE</t>
  </si>
  <si>
    <t>Total m2</t>
  </si>
  <si>
    <t>Aulas de clase</t>
  </si>
  <si>
    <t>Cafeterías</t>
  </si>
  <si>
    <t>Capacidad</t>
  </si>
  <si>
    <t>Cant.</t>
  </si>
  <si>
    <r>
      <t>Área total (Metros</t>
    </r>
    <r>
      <rPr>
        <b/>
        <vertAlign val="superscript"/>
        <sz val="10"/>
        <color theme="0"/>
        <rFont val="Arial Narrow"/>
        <family val="2"/>
      </rPr>
      <t>2</t>
    </r>
    <r>
      <rPr>
        <b/>
        <sz val="10"/>
        <color theme="0"/>
        <rFont val="Arial Narrow"/>
        <family val="2"/>
      </rPr>
      <t>)</t>
    </r>
  </si>
  <si>
    <t>Edificio Italia</t>
  </si>
  <si>
    <t>Medio Universitario San Damián</t>
  </si>
  <si>
    <t>Tipo de espacio</t>
  </si>
  <si>
    <t>Cantidad</t>
  </si>
  <si>
    <t>Oficina</t>
  </si>
  <si>
    <t>Espacios de integración y deportivos</t>
  </si>
  <si>
    <t>Sala de reuniones (2AEMG)</t>
  </si>
  <si>
    <t>Consultorios médicos</t>
  </si>
  <si>
    <t>TOTAL</t>
  </si>
  <si>
    <t>Otros espacios</t>
  </si>
  <si>
    <t>Bloque / Ubicación</t>
  </si>
  <si>
    <t>Consultorios médicos (USP)</t>
  </si>
  <si>
    <t>*Prom</t>
  </si>
  <si>
    <t>Cap.</t>
  </si>
  <si>
    <t>Capacidad física por bloques o sedes</t>
  </si>
  <si>
    <t>DISTRIBUCIÓN Y CAPACIDAD DE LA PLANTA FÍSICA</t>
  </si>
  <si>
    <t>otros</t>
  </si>
  <si>
    <t>Bloque Administrativo y AEMG</t>
  </si>
  <si>
    <t>Auditorio (Coliseo Guillermo de Castellana)</t>
  </si>
  <si>
    <t>Taller mantenimiento - JARDINERIA</t>
  </si>
  <si>
    <t>Zona planta electrica y cuarto electrico</t>
  </si>
  <si>
    <t xml:space="preserve">Bodega-posterior ascensor </t>
  </si>
  <si>
    <t xml:space="preserve">Parqueadero bicicletas </t>
  </si>
  <si>
    <t>Biblioteca - zona de estudio libre</t>
  </si>
  <si>
    <t>CAMBIO POR POSGRADOS EN ENERO</t>
  </si>
  <si>
    <t xml:space="preserve">UNIR ESPACIOS DE DOCENTES Y DIRECCION </t>
  </si>
  <si>
    <t>CAMBIO</t>
  </si>
  <si>
    <t>Oficina SST</t>
  </si>
  <si>
    <t>Oficina Libre</t>
  </si>
  <si>
    <t>Local Fotocopiadora Pública</t>
  </si>
  <si>
    <t>Oficina Seguridad informatica</t>
  </si>
  <si>
    <t>Aula de clases</t>
  </si>
  <si>
    <t xml:space="preserve">Aula de Clase  </t>
  </si>
  <si>
    <t>Sala de bienestar</t>
  </si>
  <si>
    <t>H602</t>
  </si>
  <si>
    <t>H601</t>
  </si>
  <si>
    <t>Salon de Musica</t>
  </si>
  <si>
    <t>Oficina de teatro y Danza</t>
  </si>
  <si>
    <t>Construcción</t>
  </si>
  <si>
    <r>
      <rPr>
        <b/>
        <sz val="22"/>
        <rFont val="Calibri"/>
        <family val="2"/>
        <scheme val="minor"/>
      </rPr>
      <t xml:space="preserve">UNIVERSITARIA CESMAG </t>
    </r>
    <r>
      <rPr>
        <sz val="22"/>
        <rFont val="Calibri"/>
        <family val="2"/>
        <scheme val="minor"/>
      </rPr>
      <t xml:space="preserve">      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8"/>
        <rFont val="Calibri"/>
        <family val="2"/>
        <scheme val="minor"/>
      </rPr>
      <t xml:space="preserve">                                              INFRAESTRUCTURA FÍSICA</t>
    </r>
  </si>
  <si>
    <t>Oficina principal y coordinador</t>
  </si>
  <si>
    <t>Oficina Alta Gerencia, secretaría, coordinador</t>
  </si>
  <si>
    <t xml:space="preserve">Oficina de mercadeo y correspondencia </t>
  </si>
  <si>
    <t>CDA  Maria Goretti</t>
  </si>
  <si>
    <t>Baños Públicos Hombres</t>
  </si>
  <si>
    <t>Baños Públicos Mujeres</t>
  </si>
  <si>
    <t>Baños niños y niñas CDA</t>
  </si>
  <si>
    <t>Centro juridico</t>
  </si>
  <si>
    <t>ICBF</t>
  </si>
  <si>
    <t>ONDAS</t>
  </si>
  <si>
    <t>TULATO Y ICETEX (Pendiente asignar)</t>
  </si>
  <si>
    <t>Bodega Deporte y Cultura</t>
  </si>
  <si>
    <t xml:space="preserve">Sin asignación </t>
  </si>
  <si>
    <t>Deporte y Cultura</t>
  </si>
  <si>
    <t>zou</t>
  </si>
  <si>
    <t>Coordinación de posgrados y maestrias</t>
  </si>
  <si>
    <t>Vicerrectoria investigaciones</t>
  </si>
  <si>
    <t>Bodega Convenio ONDAS</t>
  </si>
  <si>
    <t>Deposito - SST</t>
  </si>
  <si>
    <t>Local disponible (Antiguo super giros)</t>
  </si>
  <si>
    <t xml:space="preserve">Bodega vestuario Danzas </t>
  </si>
  <si>
    <t>Área de Monitores - monitoreo de camaras</t>
  </si>
  <si>
    <t xml:space="preserve">Internacionalización </t>
  </si>
  <si>
    <t xml:space="preserve">Vicerrectoria Evangelización </t>
  </si>
  <si>
    <t>Depósito - cuarto reciclaje</t>
  </si>
  <si>
    <t>Cuarto electrico</t>
  </si>
  <si>
    <t>Aulas MUSD</t>
  </si>
  <si>
    <t>Piscinas MUSD</t>
  </si>
  <si>
    <t>Polideportivo MUSD</t>
  </si>
  <si>
    <t>Camerinos MUSD</t>
  </si>
  <si>
    <t>Bloque Bienestar MUSD</t>
  </si>
  <si>
    <t>Oficina multiple</t>
  </si>
  <si>
    <t>Oficina mercadeo y correspondencia</t>
  </si>
  <si>
    <t>Oficina principal</t>
  </si>
  <si>
    <t>Atenciòn inclusiva y preferencial</t>
  </si>
  <si>
    <t>Oficina consultorías- aux. laboratorio</t>
  </si>
  <si>
    <t>Coordinación de practica empresarial</t>
  </si>
  <si>
    <t xml:space="preserve">derecho civil y comercial </t>
  </si>
  <si>
    <t xml:space="preserve">Proceso de archivo- Oficina técnicos y auxiliar </t>
  </si>
  <si>
    <t xml:space="preserve">Archivo Cental </t>
  </si>
  <si>
    <t>oficina de practica</t>
  </si>
  <si>
    <t>CAMARA DE GESSEL Consultorio</t>
  </si>
  <si>
    <t>Bodega laboratorio</t>
  </si>
  <si>
    <t>oficina Psicologica</t>
  </si>
  <si>
    <t>ups</t>
  </si>
  <si>
    <t xml:space="preserve">cuarto aseo </t>
  </si>
  <si>
    <t xml:space="preserve">Laboratorio de fotografia </t>
  </si>
  <si>
    <t xml:space="preserve">OFICINA 12 Coordinacion investigaciòn </t>
  </si>
  <si>
    <t xml:space="preserve">OFICINA 11 coordinacion academica </t>
  </si>
  <si>
    <t>OFICINA 10 Coordinacion de practica</t>
  </si>
  <si>
    <t>OFICINA 9 Coordinaciòn academica</t>
  </si>
  <si>
    <t>OFICINA 8 Investigacion INTI RUMI</t>
  </si>
  <si>
    <t>OFICINA 6  Investigaciòn COOPER</t>
  </si>
  <si>
    <t>OFICINA 5 Investigaciòn MARIA MONTESSORI</t>
  </si>
  <si>
    <t>OFICINA 4 Investigaciòn ALARIFE</t>
  </si>
  <si>
    <t xml:space="preserve">OFICINA 3 Semilleros de investigaciòn </t>
  </si>
  <si>
    <t>OFICINA 7  Grupo de Investigación Modelos Pedagogicos</t>
  </si>
  <si>
    <t xml:space="preserve">OFICINA 2  Coordinaciòn de practica </t>
  </si>
  <si>
    <t xml:space="preserve">OFICINA 1 Coordinaciòn de practica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</si>
</sst>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(* #,##0_);_(* \(#,##0\);_(* &quot;-&quot;??_);_(@_)"/>
    <numFmt numFmtId="166" formatCode="dd/mm/yyyy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3483CA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0"/>
      <name val="Arial Narrow"/>
      <family val="2"/>
    </font>
    <font>
      <b/>
      <vertAlign val="superscript"/>
      <sz val="10"/>
      <color theme="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Arial Narrow"/>
      <family val="2"/>
    </font>
    <font>
      <b/>
      <sz val="12"/>
      <color theme="1"/>
      <name val="Times New Roman"/>
      <family val="1"/>
    </font>
    <font>
      <sz val="11"/>
      <color theme="1"/>
      <name val="Arial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hair">
        <color auto="1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-0.2499465926084170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5" fillId="0" borderId="0" xfId="1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2" fontId="5" fillId="0" borderId="0" xfId="1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7" fillId="0" borderId="0" xfId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right" vertical="center"/>
    </xf>
    <xf numFmtId="10" fontId="7" fillId="0" borderId="0" xfId="2" applyNumberFormat="1" applyFont="1" applyFill="1" applyBorder="1" applyAlignment="1">
      <alignment horizontal="right" vertical="center"/>
    </xf>
    <xf numFmtId="14" fontId="7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14" fontId="5" fillId="0" borderId="0" xfId="1" applyNumberFormat="1" applyFont="1" applyFill="1" applyBorder="1" applyAlignment="1" applyProtection="1">
      <alignment horizontal="center" vertical="center"/>
      <protection locked="0"/>
    </xf>
    <xf numFmtId="1" fontId="5" fillId="0" borderId="0" xfId="1" applyNumberFormat="1" applyFont="1" applyFill="1" applyAlignment="1">
      <alignment vertical="center"/>
    </xf>
    <xf numFmtId="0" fontId="12" fillId="0" borderId="0" xfId="0" applyFont="1" applyAlignment="1">
      <alignment vertical="center" wrapText="1"/>
    </xf>
    <xf numFmtId="164" fontId="5" fillId="0" borderId="0" xfId="1" applyFont="1" applyFill="1" applyAlignment="1">
      <alignment horizontal="right" vertical="center"/>
    </xf>
    <xf numFmtId="1" fontId="5" fillId="0" borderId="0" xfId="1" applyNumberFormat="1" applyFont="1" applyFill="1" applyAlignment="1">
      <alignment horizontal="right" vertical="center"/>
    </xf>
    <xf numFmtId="1" fontId="5" fillId="0" borderId="0" xfId="1" applyNumberFormat="1" applyFont="1" applyFill="1" applyBorder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4" fontId="5" fillId="0" borderId="0" xfId="1" applyNumberFormat="1" applyFont="1" applyFill="1" applyAlignment="1">
      <alignment horizontal="center" vertical="center" wrapText="1"/>
    </xf>
    <xf numFmtId="164" fontId="0" fillId="0" borderId="0" xfId="1" applyFont="1" applyFill="1" applyAlignment="1">
      <alignment vertical="center"/>
    </xf>
    <xf numFmtId="164" fontId="0" fillId="0" borderId="0" xfId="1" applyFont="1" applyFill="1" applyAlignment="1">
      <alignment horizontal="center" vertical="center"/>
    </xf>
    <xf numFmtId="165" fontId="0" fillId="0" borderId="0" xfId="1" applyNumberFormat="1" applyFont="1" applyFill="1" applyAlignment="1">
      <alignment vertical="center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5" fillId="3" borderId="0" xfId="0" applyFont="1" applyFill="1" applyAlignment="1">
      <alignment vertical="center"/>
    </xf>
    <xf numFmtId="14" fontId="5" fillId="0" borderId="0" xfId="1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4" fontId="5" fillId="0" borderId="0" xfId="0" applyNumberFormat="1" applyFont="1" applyAlignment="1">
      <alignment horizontal="right" vertical="center"/>
    </xf>
    <xf numFmtId="166" fontId="5" fillId="0" borderId="0" xfId="1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1" fontId="5" fillId="3" borderId="0" xfId="1" applyNumberFormat="1" applyFont="1" applyFill="1" applyAlignment="1">
      <alignment vertical="center"/>
    </xf>
    <xf numFmtId="2" fontId="5" fillId="3" borderId="1" xfId="1" applyNumberFormat="1" applyFont="1" applyFill="1" applyBorder="1" applyAlignment="1">
      <alignment horizontal="right" vertical="center"/>
    </xf>
    <xf numFmtId="2" fontId="5" fillId="0" borderId="1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1" fontId="5" fillId="2" borderId="0" xfId="1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4" fontId="5" fillId="2" borderId="0" xfId="0" applyNumberFormat="1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1" fontId="13" fillId="2" borderId="0" xfId="1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4" fontId="13" fillId="2" borderId="0" xfId="0" applyNumberFormat="1" applyFont="1" applyFill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1" fontId="18" fillId="0" borderId="0" xfId="1" applyNumberFormat="1" applyFont="1" applyFill="1" applyAlignment="1">
      <alignment vertical="center"/>
    </xf>
    <xf numFmtId="2" fontId="18" fillId="0" borderId="0" xfId="1" applyNumberFormat="1" applyFont="1" applyFill="1" applyAlignment="1">
      <alignment horizontal="right" vertical="center"/>
    </xf>
    <xf numFmtId="1" fontId="18" fillId="0" borderId="0" xfId="1" applyNumberFormat="1" applyFont="1" applyFill="1" applyAlignment="1">
      <alignment horizontal="right" vertical="center"/>
    </xf>
    <xf numFmtId="2" fontId="18" fillId="0" borderId="1" xfId="1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19" fillId="4" borderId="6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22" fillId="0" borderId="5" xfId="0" applyFont="1" applyBorder="1" applyAlignment="1">
      <alignment vertical="center" wrapText="1"/>
    </xf>
    <xf numFmtId="1" fontId="23" fillId="0" borderId="5" xfId="0" applyNumberFormat="1" applyFont="1" applyBorder="1"/>
    <xf numFmtId="1" fontId="0" fillId="0" borderId="5" xfId="0" applyNumberFormat="1" applyBorder="1" applyAlignment="1">
      <alignment horizontal="left"/>
    </xf>
    <xf numFmtId="2" fontId="23" fillId="0" borderId="5" xfId="0" applyNumberFormat="1" applyFont="1" applyBorder="1"/>
    <xf numFmtId="0" fontId="19" fillId="4" borderId="8" xfId="0" applyFont="1" applyFill="1" applyBorder="1" applyAlignment="1">
      <alignment horizontal="left" vertical="center" wrapText="1"/>
    </xf>
    <xf numFmtId="0" fontId="21" fillId="5" borderId="5" xfId="0" applyFont="1" applyFill="1" applyBorder="1"/>
    <xf numFmtId="0" fontId="22" fillId="5" borderId="5" xfId="0" applyFont="1" applyFill="1" applyBorder="1" applyAlignment="1">
      <alignment vertical="center"/>
    </xf>
    <xf numFmtId="0" fontId="22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vertical="center" wrapText="1"/>
    </xf>
    <xf numFmtId="1" fontId="22" fillId="5" borderId="5" xfId="1" applyNumberFormat="1" applyFont="1" applyFill="1" applyBorder="1" applyAlignment="1">
      <alignment vertical="center"/>
    </xf>
    <xf numFmtId="2" fontId="22" fillId="5" borderId="5" xfId="1" applyNumberFormat="1" applyFont="1" applyFill="1" applyBorder="1" applyAlignment="1">
      <alignment horizontal="right" vertical="center"/>
    </xf>
    <xf numFmtId="14" fontId="22" fillId="5" borderId="5" xfId="1" applyNumberFormat="1" applyFont="1" applyFill="1" applyBorder="1" applyAlignment="1">
      <alignment horizontal="center" vertical="center"/>
    </xf>
    <xf numFmtId="0" fontId="21" fillId="6" borderId="5" xfId="0" applyFont="1" applyFill="1" applyBorder="1"/>
    <xf numFmtId="0" fontId="22" fillId="6" borderId="5" xfId="0" applyFont="1" applyFill="1" applyBorder="1" applyAlignment="1">
      <alignment vertical="center"/>
    </xf>
    <xf numFmtId="0" fontId="22" fillId="6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vertical="center" wrapText="1"/>
    </xf>
    <xf numFmtId="1" fontId="22" fillId="6" borderId="5" xfId="1" applyNumberFormat="1" applyFont="1" applyFill="1" applyBorder="1" applyAlignment="1">
      <alignment vertical="center"/>
    </xf>
    <xf numFmtId="2" fontId="22" fillId="6" borderId="5" xfId="1" applyNumberFormat="1" applyFont="1" applyFill="1" applyBorder="1" applyAlignment="1">
      <alignment horizontal="right" vertical="center"/>
    </xf>
    <xf numFmtId="14" fontId="22" fillId="6" borderId="5" xfId="1" applyNumberFormat="1" applyFont="1" applyFill="1" applyBorder="1" applyAlignment="1">
      <alignment horizontal="center" vertical="center"/>
    </xf>
    <xf numFmtId="0" fontId="21" fillId="7" borderId="5" xfId="0" applyFont="1" applyFill="1" applyBorder="1"/>
    <xf numFmtId="0" fontId="22" fillId="7" borderId="5" xfId="0" applyFont="1" applyFill="1" applyBorder="1" applyAlignment="1">
      <alignment vertical="center"/>
    </xf>
    <xf numFmtId="14" fontId="22" fillId="7" borderId="1" xfId="0" applyNumberFormat="1" applyFont="1" applyFill="1" applyBorder="1" applyAlignment="1">
      <alignment horizontal="center" vertical="center"/>
    </xf>
    <xf numFmtId="0" fontId="21" fillId="8" borderId="5" xfId="0" applyFont="1" applyFill="1" applyBorder="1"/>
    <xf numFmtId="0" fontId="22" fillId="8" borderId="5" xfId="0" applyFont="1" applyFill="1" applyBorder="1" applyAlignment="1">
      <alignment vertical="center"/>
    </xf>
    <xf numFmtId="0" fontId="22" fillId="8" borderId="5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right" vertical="center"/>
    </xf>
    <xf numFmtId="0" fontId="22" fillId="8" borderId="5" xfId="0" applyFont="1" applyFill="1" applyBorder="1" applyAlignment="1">
      <alignment vertical="center" wrapText="1"/>
    </xf>
    <xf numFmtId="1" fontId="22" fillId="8" borderId="5" xfId="1" applyNumberFormat="1" applyFont="1" applyFill="1" applyBorder="1" applyAlignment="1">
      <alignment horizontal="right" vertical="center"/>
    </xf>
    <xf numFmtId="2" fontId="22" fillId="8" borderId="5" xfId="1" applyNumberFormat="1" applyFont="1" applyFill="1" applyBorder="1" applyAlignment="1">
      <alignment horizontal="right" vertical="center"/>
    </xf>
    <xf numFmtId="14" fontId="22" fillId="8" borderId="5" xfId="1" applyNumberFormat="1" applyFont="1" applyFill="1" applyBorder="1" applyAlignment="1">
      <alignment horizontal="center" vertical="center"/>
    </xf>
    <xf numFmtId="0" fontId="21" fillId="9" borderId="5" xfId="0" applyFont="1" applyFill="1" applyBorder="1"/>
    <xf numFmtId="0" fontId="22" fillId="9" borderId="5" xfId="0" applyFont="1" applyFill="1" applyBorder="1" applyAlignment="1">
      <alignment vertical="center"/>
    </xf>
    <xf numFmtId="0" fontId="22" fillId="9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vertical="center" wrapText="1"/>
    </xf>
    <xf numFmtId="1" fontId="22" fillId="9" borderId="5" xfId="1" applyNumberFormat="1" applyFont="1" applyFill="1" applyBorder="1" applyAlignment="1">
      <alignment horizontal="right" vertical="center"/>
    </xf>
    <xf numFmtId="0" fontId="22" fillId="9" borderId="5" xfId="0" applyFont="1" applyFill="1" applyBorder="1" applyAlignment="1">
      <alignment horizontal="right" vertical="center"/>
    </xf>
    <xf numFmtId="14" fontId="22" fillId="9" borderId="5" xfId="0" applyNumberFormat="1" applyFont="1" applyFill="1" applyBorder="1" applyAlignment="1">
      <alignment horizontal="center" vertical="center"/>
    </xf>
    <xf numFmtId="0" fontId="21" fillId="9" borderId="8" xfId="0" applyFont="1" applyFill="1" applyBorder="1"/>
    <xf numFmtId="0" fontId="22" fillId="9" borderId="8" xfId="0" applyFont="1" applyFill="1" applyBorder="1" applyAlignment="1">
      <alignment vertical="center"/>
    </xf>
    <xf numFmtId="0" fontId="22" fillId="9" borderId="8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vertical="center" wrapText="1"/>
    </xf>
    <xf numFmtId="1" fontId="22" fillId="9" borderId="8" xfId="1" applyNumberFormat="1" applyFont="1" applyFill="1" applyBorder="1" applyAlignment="1">
      <alignment horizontal="right" vertical="center"/>
    </xf>
    <xf numFmtId="0" fontId="22" fillId="9" borderId="8" xfId="0" applyFont="1" applyFill="1" applyBorder="1" applyAlignment="1">
      <alignment horizontal="right" vertical="center"/>
    </xf>
    <xf numFmtId="0" fontId="21" fillId="5" borderId="8" xfId="0" applyFont="1" applyFill="1" applyBorder="1"/>
    <xf numFmtId="0" fontId="22" fillId="5" borderId="8" xfId="0" applyFont="1" applyFill="1" applyBorder="1" applyAlignment="1">
      <alignment vertical="center"/>
    </xf>
    <xf numFmtId="0" fontId="22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vertical="center" wrapText="1"/>
    </xf>
    <xf numFmtId="1" fontId="22" fillId="5" borderId="8" xfId="1" applyNumberFormat="1" applyFont="1" applyFill="1" applyBorder="1" applyAlignment="1">
      <alignment vertical="center"/>
    </xf>
    <xf numFmtId="2" fontId="22" fillId="5" borderId="8" xfId="1" applyNumberFormat="1" applyFont="1" applyFill="1" applyBorder="1" applyAlignment="1">
      <alignment horizontal="right" vertical="center"/>
    </xf>
    <xf numFmtId="0" fontId="21" fillId="6" borderId="8" xfId="0" applyFont="1" applyFill="1" applyBorder="1"/>
    <xf numFmtId="0" fontId="22" fillId="6" borderId="8" xfId="0" applyFont="1" applyFill="1" applyBorder="1" applyAlignment="1">
      <alignment vertical="center"/>
    </xf>
    <xf numFmtId="0" fontId="22" fillId="6" borderId="8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vertical="center" wrapText="1"/>
    </xf>
    <xf numFmtId="1" fontId="22" fillId="6" borderId="8" xfId="1" applyNumberFormat="1" applyFont="1" applyFill="1" applyBorder="1" applyAlignment="1">
      <alignment horizontal="right" vertical="center"/>
    </xf>
    <xf numFmtId="2" fontId="22" fillId="6" borderId="8" xfId="1" applyNumberFormat="1" applyFont="1" applyFill="1" applyBorder="1" applyAlignment="1">
      <alignment horizontal="right" vertical="center"/>
    </xf>
    <xf numFmtId="0" fontId="21" fillId="7" borderId="8" xfId="0" applyFont="1" applyFill="1" applyBorder="1"/>
    <xf numFmtId="0" fontId="22" fillId="7" borderId="8" xfId="0" applyFont="1" applyFill="1" applyBorder="1" applyAlignment="1">
      <alignment vertical="center"/>
    </xf>
    <xf numFmtId="0" fontId="22" fillId="7" borderId="8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vertical="center" wrapText="1"/>
    </xf>
    <xf numFmtId="1" fontId="22" fillId="7" borderId="8" xfId="1" applyNumberFormat="1" applyFont="1" applyFill="1" applyBorder="1" applyAlignment="1">
      <alignment horizontal="right" vertical="center"/>
    </xf>
    <xf numFmtId="2" fontId="22" fillId="7" borderId="8" xfId="1" applyNumberFormat="1" applyFont="1" applyFill="1" applyBorder="1" applyAlignment="1">
      <alignment horizontal="right" vertical="center"/>
    </xf>
    <xf numFmtId="0" fontId="21" fillId="8" borderId="8" xfId="0" applyFont="1" applyFill="1" applyBorder="1"/>
    <xf numFmtId="0" fontId="22" fillId="8" borderId="8" xfId="0" applyFont="1" applyFill="1" applyBorder="1" applyAlignment="1">
      <alignment vertical="center"/>
    </xf>
    <xf numFmtId="0" fontId="22" fillId="8" borderId="8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vertical="center" wrapText="1"/>
    </xf>
    <xf numFmtId="1" fontId="22" fillId="8" borderId="8" xfId="1" applyNumberFormat="1" applyFont="1" applyFill="1" applyBorder="1" applyAlignment="1">
      <alignment horizontal="right" vertical="center"/>
    </xf>
    <xf numFmtId="2" fontId="22" fillId="8" borderId="8" xfId="1" applyNumberFormat="1" applyFont="1" applyFill="1" applyBorder="1" applyAlignment="1">
      <alignment horizontal="right" vertical="center"/>
    </xf>
    <xf numFmtId="0" fontId="21" fillId="10" borderId="8" xfId="0" applyFont="1" applyFill="1" applyBorder="1"/>
    <xf numFmtId="0" fontId="22" fillId="10" borderId="8" xfId="0" applyFont="1" applyFill="1" applyBorder="1" applyAlignment="1">
      <alignment vertical="center"/>
    </xf>
    <xf numFmtId="0" fontId="22" fillId="10" borderId="8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vertical="center" wrapText="1"/>
    </xf>
    <xf numFmtId="1" fontId="22" fillId="10" borderId="8" xfId="1" applyNumberFormat="1" applyFont="1" applyFill="1" applyBorder="1" applyAlignment="1">
      <alignment vertical="center"/>
    </xf>
    <xf numFmtId="2" fontId="22" fillId="10" borderId="8" xfId="1" applyNumberFormat="1" applyFont="1" applyFill="1" applyBorder="1" applyAlignment="1">
      <alignment horizontal="right" vertical="center"/>
    </xf>
    <xf numFmtId="0" fontId="22" fillId="10" borderId="7" xfId="0" applyFont="1" applyFill="1" applyBorder="1" applyAlignment="1">
      <alignment vertical="center"/>
    </xf>
    <xf numFmtId="0" fontId="22" fillId="10" borderId="7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vertical="center" wrapText="1"/>
    </xf>
    <xf numFmtId="1" fontId="22" fillId="10" borderId="7" xfId="1" applyNumberFormat="1" applyFont="1" applyFill="1" applyBorder="1" applyAlignment="1">
      <alignment vertical="center"/>
    </xf>
    <xf numFmtId="2" fontId="22" fillId="10" borderId="7" xfId="1" applyNumberFormat="1" applyFont="1" applyFill="1" applyBorder="1" applyAlignment="1">
      <alignment horizontal="right" vertical="center"/>
    </xf>
    <xf numFmtId="0" fontId="22" fillId="10" borderId="5" xfId="0" applyFont="1" applyFill="1" applyBorder="1" applyAlignment="1">
      <alignment vertical="center"/>
    </xf>
    <xf numFmtId="0" fontId="22" fillId="10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vertical="center" wrapText="1"/>
    </xf>
    <xf numFmtId="1" fontId="22" fillId="10" borderId="5" xfId="1" applyNumberFormat="1" applyFont="1" applyFill="1" applyBorder="1" applyAlignment="1">
      <alignment vertical="center"/>
    </xf>
    <xf numFmtId="2" fontId="22" fillId="10" borderId="5" xfId="1" applyNumberFormat="1" applyFont="1" applyFill="1" applyBorder="1" applyAlignment="1">
      <alignment horizontal="right" vertical="center"/>
    </xf>
    <xf numFmtId="2" fontId="21" fillId="0" borderId="0" xfId="0" applyNumberFormat="1" applyFont="1"/>
    <xf numFmtId="1" fontId="21" fillId="0" borderId="0" xfId="0" applyNumberFormat="1" applyFont="1"/>
    <xf numFmtId="0" fontId="19" fillId="4" borderId="0" xfId="0" applyFont="1" applyFill="1" applyAlignment="1">
      <alignment horizontal="left" vertical="center" wrapText="1"/>
    </xf>
    <xf numFmtId="2" fontId="22" fillId="5" borderId="0" xfId="1" applyNumberFormat="1" applyFont="1" applyFill="1" applyBorder="1" applyAlignment="1">
      <alignment horizontal="right" vertical="center"/>
    </xf>
    <xf numFmtId="2" fontId="22" fillId="6" borderId="0" xfId="1" applyNumberFormat="1" applyFont="1" applyFill="1" applyBorder="1" applyAlignment="1">
      <alignment horizontal="right" vertical="center"/>
    </xf>
    <xf numFmtId="2" fontId="22" fillId="7" borderId="0" xfId="1" applyNumberFormat="1" applyFont="1" applyFill="1" applyBorder="1" applyAlignment="1">
      <alignment horizontal="right" vertical="center"/>
    </xf>
    <xf numFmtId="2" fontId="22" fillId="8" borderId="0" xfId="1" applyNumberFormat="1" applyFont="1" applyFill="1" applyBorder="1" applyAlignment="1">
      <alignment horizontal="right" vertical="center"/>
    </xf>
    <xf numFmtId="0" fontId="22" fillId="9" borderId="0" xfId="0" applyFont="1" applyFill="1" applyAlignment="1">
      <alignment horizontal="right" vertical="center"/>
    </xf>
    <xf numFmtId="2" fontId="22" fillId="10" borderId="0" xfId="1" applyNumberFormat="1" applyFont="1" applyFill="1" applyBorder="1" applyAlignment="1">
      <alignment horizontal="right" vertical="center"/>
    </xf>
    <xf numFmtId="2" fontId="23" fillId="0" borderId="0" xfId="0" applyNumberFormat="1" applyFont="1"/>
    <xf numFmtId="0" fontId="25" fillId="0" borderId="0" xfId="0" applyFont="1"/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/>
    <xf numFmtId="0" fontId="25" fillId="0" borderId="9" xfId="0" applyFont="1" applyBorder="1" applyAlignment="1">
      <alignment vertical="center"/>
    </xf>
    <xf numFmtId="0" fontId="25" fillId="0" borderId="9" xfId="0" applyFont="1" applyBorder="1" applyAlignment="1">
      <alignment vertical="center" wrapText="1"/>
    </xf>
    <xf numFmtId="1" fontId="25" fillId="0" borderId="9" xfId="0" applyNumberFormat="1" applyFont="1" applyBorder="1" applyAlignment="1">
      <alignment vertical="center" wrapText="1"/>
    </xf>
    <xf numFmtId="1" fontId="25" fillId="0" borderId="9" xfId="0" applyNumberFormat="1" applyFont="1" applyBorder="1"/>
    <xf numFmtId="0" fontId="26" fillId="0" borderId="9" xfId="0" applyFont="1" applyBorder="1"/>
    <xf numFmtId="0" fontId="26" fillId="0" borderId="9" xfId="0" applyFont="1" applyBorder="1" applyAlignment="1">
      <alignment vertical="center"/>
    </xf>
    <xf numFmtId="1" fontId="26" fillId="0" borderId="9" xfId="0" applyNumberFormat="1" applyFont="1" applyBorder="1"/>
    <xf numFmtId="2" fontId="26" fillId="0" borderId="9" xfId="0" applyNumberFormat="1" applyFont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2" fontId="26" fillId="0" borderId="9" xfId="0" applyNumberFormat="1" applyFont="1" applyBorder="1"/>
    <xf numFmtId="1" fontId="26" fillId="0" borderId="9" xfId="1" applyNumberFormat="1" applyFont="1" applyBorder="1" applyAlignment="1">
      <alignment vertical="center"/>
    </xf>
    <xf numFmtId="2" fontId="26" fillId="0" borderId="9" xfId="1" applyNumberFormat="1" applyFont="1" applyBorder="1" applyAlignment="1">
      <alignment horizontal="right" vertical="center"/>
    </xf>
    <xf numFmtId="1" fontId="26" fillId="0" borderId="9" xfId="1" applyNumberFormat="1" applyFont="1" applyBorder="1" applyAlignment="1">
      <alignment horizontal="right" vertical="center"/>
    </xf>
    <xf numFmtId="0" fontId="26" fillId="0" borderId="9" xfId="0" applyFont="1" applyBorder="1" applyAlignment="1">
      <alignment horizontal="right" vertical="center"/>
    </xf>
    <xf numFmtId="0" fontId="26" fillId="0" borderId="9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27" fillId="0" borderId="9" xfId="0" applyFont="1" applyBorder="1" applyAlignment="1">
      <alignment vertical="center"/>
    </xf>
    <xf numFmtId="0" fontId="27" fillId="0" borderId="9" xfId="0" applyFont="1" applyBorder="1" applyAlignment="1">
      <alignment horizontal="left" vertical="center"/>
    </xf>
    <xf numFmtId="0" fontId="24" fillId="0" borderId="9" xfId="0" applyFont="1" applyBorder="1"/>
    <xf numFmtId="2" fontId="27" fillId="0" borderId="9" xfId="1" applyNumberFormat="1" applyFont="1" applyBorder="1" applyAlignment="1">
      <alignment horizontal="right" vertical="center"/>
    </xf>
    <xf numFmtId="0" fontId="27" fillId="0" borderId="9" xfId="0" applyFont="1" applyBorder="1"/>
    <xf numFmtId="1" fontId="27" fillId="0" borderId="9" xfId="0" applyNumberFormat="1" applyFont="1" applyBorder="1"/>
    <xf numFmtId="1" fontId="27" fillId="0" borderId="9" xfId="1" applyNumberFormat="1" applyFont="1" applyBorder="1" applyAlignment="1">
      <alignment horizontal="right" vertical="center"/>
    </xf>
    <xf numFmtId="164" fontId="26" fillId="0" borderId="9" xfId="0" applyNumberFormat="1" applyFont="1" applyBorder="1" applyAlignment="1">
      <alignment horizontal="right" vertical="center"/>
    </xf>
    <xf numFmtId="0" fontId="24" fillId="12" borderId="9" xfId="0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wrapText="1"/>
    </xf>
    <xf numFmtId="0" fontId="27" fillId="0" borderId="9" xfId="0" applyFont="1" applyBorder="1" applyAlignment="1">
      <alignment horizontal="left" vertical="center" wrapText="1"/>
    </xf>
    <xf numFmtId="0" fontId="25" fillId="0" borderId="0" xfId="0" applyFont="1" applyAlignment="1">
      <alignment wrapText="1"/>
    </xf>
    <xf numFmtId="0" fontId="28" fillId="0" borderId="9" xfId="0" applyFont="1" applyBorder="1" applyAlignment="1">
      <alignment horizontal="center" vertical="center" wrapText="1"/>
    </xf>
    <xf numFmtId="1" fontId="25" fillId="0" borderId="9" xfId="0" applyNumberFormat="1" applyFont="1" applyBorder="1" applyAlignment="1">
      <alignment vertical="center"/>
    </xf>
    <xf numFmtId="0" fontId="25" fillId="12" borderId="9" xfId="0" applyFont="1" applyFill="1" applyBorder="1" applyAlignment="1">
      <alignment vertical="center"/>
    </xf>
    <xf numFmtId="1" fontId="25" fillId="12" borderId="9" xfId="0" applyNumberFormat="1" applyFont="1" applyFill="1" applyBorder="1" applyAlignment="1">
      <alignment vertical="center"/>
    </xf>
    <xf numFmtId="1" fontId="26" fillId="0" borderId="9" xfId="0" applyNumberFormat="1" applyFont="1" applyBorder="1" applyAlignment="1">
      <alignment vertical="center"/>
    </xf>
    <xf numFmtId="2" fontId="26" fillId="0" borderId="9" xfId="0" applyNumberFormat="1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12" borderId="9" xfId="0" applyFont="1" applyFill="1" applyBorder="1" applyAlignment="1">
      <alignment vertical="center"/>
    </xf>
    <xf numFmtId="1" fontId="24" fillId="12" borderId="9" xfId="0" applyNumberFormat="1" applyFont="1" applyFill="1" applyBorder="1" applyAlignment="1">
      <alignment vertical="center"/>
    </xf>
    <xf numFmtId="0" fontId="29" fillId="0" borderId="0" xfId="0" applyFont="1"/>
    <xf numFmtId="2" fontId="25" fillId="0" borderId="0" xfId="0" applyNumberFormat="1" applyFont="1"/>
    <xf numFmtId="0" fontId="24" fillId="5" borderId="9" xfId="0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vertical="center"/>
    </xf>
    <xf numFmtId="1" fontId="25" fillId="5" borderId="9" xfId="0" applyNumberFormat="1" applyFont="1" applyFill="1" applyBorder="1" applyAlignment="1">
      <alignment vertical="center"/>
    </xf>
    <xf numFmtId="1" fontId="26" fillId="5" borderId="9" xfId="1" applyNumberFormat="1" applyFont="1" applyFill="1" applyBorder="1" applyAlignment="1">
      <alignment vertical="center"/>
    </xf>
    <xf numFmtId="2" fontId="26" fillId="5" borderId="9" xfId="1" applyNumberFormat="1" applyFont="1" applyFill="1" applyBorder="1" applyAlignment="1">
      <alignment horizontal="right" vertical="center"/>
    </xf>
    <xf numFmtId="0" fontId="24" fillId="5" borderId="9" xfId="0" applyFont="1" applyFill="1" applyBorder="1" applyAlignment="1">
      <alignment vertical="center"/>
    </xf>
    <xf numFmtId="2" fontId="27" fillId="5" borderId="9" xfId="1" applyNumberFormat="1" applyFont="1" applyFill="1" applyBorder="1" applyAlignment="1">
      <alignment horizontal="right" vertical="center"/>
    </xf>
    <xf numFmtId="2" fontId="25" fillId="0" borderId="9" xfId="0" applyNumberFormat="1" applyFont="1" applyBorder="1" applyAlignment="1">
      <alignment vertical="center"/>
    </xf>
    <xf numFmtId="2" fontId="25" fillId="0" borderId="9" xfId="0" applyNumberFormat="1" applyFont="1" applyBorder="1"/>
    <xf numFmtId="14" fontId="18" fillId="0" borderId="0" xfId="1" applyNumberFormat="1" applyFont="1" applyFill="1" applyBorder="1" applyAlignment="1" applyProtection="1">
      <alignment horizontal="center" vertical="center"/>
      <protection locked="0"/>
    </xf>
    <xf numFmtId="14" fontId="18" fillId="0" borderId="0" xfId="1" applyNumberFormat="1" applyFont="1" applyFill="1" applyAlignment="1">
      <alignment horizontal="center" vertical="center" wrapText="1"/>
    </xf>
    <xf numFmtId="2" fontId="5" fillId="13" borderId="0" xfId="1" applyNumberFormat="1" applyFont="1" applyFill="1" applyAlignment="1">
      <alignment horizontal="right" vertical="center"/>
    </xf>
    <xf numFmtId="14" fontId="5" fillId="3" borderId="0" xfId="1" applyNumberFormat="1" applyFont="1" applyFill="1" applyAlignment="1">
      <alignment horizontal="center" vertical="center"/>
    </xf>
    <xf numFmtId="14" fontId="18" fillId="0" borderId="0" xfId="1" applyNumberFormat="1" applyFont="1" applyFill="1" applyAlignment="1">
      <alignment horizontal="center" vertical="center"/>
    </xf>
    <xf numFmtId="14" fontId="18" fillId="0" borderId="0" xfId="0" applyNumberFormat="1" applyFont="1" applyAlignment="1" applyProtection="1">
      <alignment horizontal="center" vertical="center"/>
      <protection locked="0"/>
    </xf>
    <xf numFmtId="164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2" fontId="30" fillId="12" borderId="9" xfId="0" applyNumberFormat="1" applyFont="1" applyFill="1" applyBorder="1" applyAlignment="1">
      <alignment vertical="center"/>
    </xf>
    <xf numFmtId="0" fontId="31" fillId="0" borderId="0" xfId="0" pivotButton="1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164" fontId="7" fillId="0" borderId="18" xfId="1" applyFont="1" applyFill="1" applyBorder="1" applyAlignment="1">
      <alignment horizontal="right" vertical="center"/>
    </xf>
    <xf numFmtId="165" fontId="7" fillId="0" borderId="18" xfId="1" applyNumberFormat="1" applyFont="1" applyFill="1" applyBorder="1" applyAlignment="1">
      <alignment horizontal="right" vertical="center"/>
    </xf>
    <xf numFmtId="9" fontId="7" fillId="0" borderId="18" xfId="2" applyFont="1" applyFill="1" applyBorder="1" applyAlignment="1">
      <alignment horizontal="right" vertical="center"/>
    </xf>
    <xf numFmtId="0" fontId="6" fillId="0" borderId="19" xfId="0" applyFont="1" applyBorder="1" applyAlignment="1">
      <alignment vertical="center"/>
    </xf>
    <xf numFmtId="10" fontId="7" fillId="0" borderId="20" xfId="2" applyNumberFormat="1" applyFont="1" applyFill="1" applyBorder="1" applyAlignment="1">
      <alignment horizontal="right" vertical="center"/>
    </xf>
    <xf numFmtId="0" fontId="5" fillId="13" borderId="0" xfId="0" applyFont="1" applyFill="1" applyAlignment="1">
      <alignment vertical="center" wrapText="1"/>
    </xf>
    <xf numFmtId="1" fontId="5" fillId="13" borderId="0" xfId="0" applyNumberFormat="1" applyFont="1" applyFill="1" applyAlignment="1">
      <alignment horizontal="right" vertical="center"/>
    </xf>
    <xf numFmtId="2" fontId="5" fillId="13" borderId="0" xfId="0" applyNumberFormat="1" applyFont="1" applyFill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35" fillId="13" borderId="0" xfId="0" applyFont="1" applyFill="1" applyAlignment="1">
      <alignment vertical="center" wrapText="1"/>
    </xf>
    <xf numFmtId="2" fontId="5" fillId="3" borderId="0" xfId="1" applyNumberFormat="1" applyFont="1" applyFill="1" applyAlignment="1">
      <alignment horizontal="right" vertical="center"/>
    </xf>
    <xf numFmtId="14" fontId="5" fillId="3" borderId="0" xfId="1" applyNumberFormat="1" applyFont="1" applyFill="1" applyBorder="1" applyAlignment="1" applyProtection="1">
      <alignment horizontal="center" vertical="center"/>
      <protection locked="0"/>
    </xf>
    <xf numFmtId="14" fontId="5" fillId="3" borderId="0" xfId="0" applyNumberFormat="1" applyFont="1" applyFill="1" applyAlignment="1" applyProtection="1">
      <alignment horizontal="center" vertical="center"/>
      <protection locked="0"/>
    </xf>
    <xf numFmtId="1" fontId="5" fillId="3" borderId="0" xfId="1" applyNumberFormat="1" applyFont="1" applyFill="1" applyAlignment="1">
      <alignment horizontal="right" vertical="center"/>
    </xf>
    <xf numFmtId="1" fontId="5" fillId="3" borderId="0" xfId="1" applyNumberFormat="1" applyFont="1" applyFill="1" applyBorder="1" applyAlignment="1">
      <alignment horizontal="right" vertical="center"/>
    </xf>
    <xf numFmtId="2" fontId="5" fillId="3" borderId="0" xfId="1" applyNumberFormat="1" applyFont="1" applyFill="1" applyBorder="1" applyAlignment="1">
      <alignment horizontal="right" vertical="center"/>
    </xf>
    <xf numFmtId="14" fontId="5" fillId="3" borderId="0" xfId="1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0" fillId="0" borderId="0" xfId="0" applyAlignment="1">
      <alignment horizontal="center" vertical="top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2" fontId="24" fillId="0" borderId="10" xfId="0" applyNumberFormat="1" applyFont="1" applyBorder="1" applyAlignment="1">
      <alignment horizontal="center"/>
    </xf>
    <xf numFmtId="2" fontId="24" fillId="0" borderId="11" xfId="0" applyNumberFormat="1" applyFont="1" applyBorder="1" applyAlignment="1">
      <alignment horizontal="center"/>
    </xf>
    <xf numFmtId="2" fontId="24" fillId="0" borderId="12" xfId="0" applyNumberFormat="1" applyFont="1" applyBorder="1" applyAlignment="1">
      <alignment horizontal="center"/>
    </xf>
    <xf numFmtId="0" fontId="24" fillId="11" borderId="9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24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4" fillId="12" borderId="9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vertical="center"/>
    </xf>
    <xf numFmtId="2" fontId="5" fillId="15" borderId="0" xfId="1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 wrapText="1"/>
    </xf>
    <xf numFmtId="1" fontId="5" fillId="14" borderId="0" xfId="1" applyNumberFormat="1" applyFont="1" applyFill="1" applyAlignment="1">
      <alignment horizontal="right" vertical="center"/>
    </xf>
    <xf numFmtId="0" fontId="18" fillId="0" borderId="0" xfId="0" applyFont="1" applyFill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160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.00_);_(* \(#,##0.0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</font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1"/>
      </font>
    </dxf>
    <dxf>
      <alignment horizontal="center"/>
    </dxf>
    <dxf>
      <alignment horizontal="center"/>
    </dxf>
    <dxf>
      <alignment horizontal="left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ont>
        <strike/>
        <color theme="8" tint="-0.24994659260841701"/>
      </font>
      <fill>
        <patternFill>
          <bgColor rgb="FFFFFF00"/>
        </patternFill>
      </fill>
    </dxf>
  </dxfs>
  <tableStyles count="4" defaultTableStyle="TableStyleMedium2" defaultPivotStyle="PivotStyleLight16">
    <tableStyle name="Estilo de tabla 1" pivot="0" count="1" xr9:uid="{00000000-0011-0000-FFFF-FFFF00000000}">
      <tableStyleElement type="secondRowStripe" size="9"/>
    </tableStyle>
    <tableStyle name="Estilo de tabla 2" pivot="0" count="1" xr9:uid="{00000000-0011-0000-FFFF-FFFF01000000}">
      <tableStyleElement type="firstColumnStripe" dxfId="159"/>
    </tableStyle>
    <tableStyle name="Estilo de tabla 3" pivot="0" count="1" xr9:uid="{00000000-0011-0000-FFFF-FFFF02000000}">
      <tableStyleElement type="wholeTable" dxfId="158"/>
    </tableStyle>
    <tableStyle name="Estilo de tabla dinámica 1" table="0" count="1" xr9:uid="{00000000-0011-0000-FFFF-FFFF03000000}">
      <tableStyleElement type="pageFieldLabels" dxfId="157"/>
    </tableStyle>
  </tableStyles>
  <colors>
    <mruColors>
      <color rgb="FFCC99FF"/>
      <color rgb="FF00FF00"/>
      <color rgb="FFDEDEDE"/>
      <color rgb="FFF0F999"/>
      <color rgb="FFF8DAC8"/>
      <color rgb="FFEEEEEE"/>
      <color rgb="FF90FAA9"/>
      <color rgb="FFFF8B8B"/>
      <color rgb="FF3483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TENENCIA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6129503286438948"/>
          <c:y val="0.15938529586620709"/>
          <c:w val="0.59630128293333473"/>
          <c:h val="0.69504458489672882"/>
        </c:manualLayout>
      </c:layout>
      <c:pieChart>
        <c:varyColors val="1"/>
        <c:ser>
          <c:idx val="0"/>
          <c:order val="0"/>
          <c:tx>
            <c:strRef>
              <c:f>'[2]Tabla Dinámica'!$D$3</c:f>
              <c:strCache>
                <c:ptCount val="1"/>
                <c:pt idx="0">
                  <c:v>TENENCIA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19-42AB-AD26-BDABF40F61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19-42AB-AD26-BDABF40F61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'[2]Tabla Dinámica'!$C$4:$C$5</c:f>
              <c:strCache>
                <c:ptCount val="2"/>
                <c:pt idx="0">
                  <c:v>Arriendo</c:v>
                </c:pt>
                <c:pt idx="1">
                  <c:v>Propiedad</c:v>
                </c:pt>
              </c:strCache>
            </c:strRef>
          </c:cat>
          <c:val>
            <c:numRef>
              <c:f>'[2]Tabla Dinámica'!$D$4:$D$5</c:f>
              <c:numCache>
                <c:formatCode>General</c:formatCode>
                <c:ptCount val="2"/>
                <c:pt idx="0">
                  <c:v>20.893190543508918</c:v>
                </c:pt>
                <c:pt idx="1">
                  <c:v>79.032394711249026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19-42AB-AD26-BDABF40F618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5216690857685879E-2"/>
          <c:y val="0.28068401678024457"/>
          <c:w val="0.52930196301847188"/>
          <c:h val="0.59928283490984091"/>
        </c:manualLayout>
      </c:layout>
      <c:pieChart>
        <c:varyColors val="1"/>
        <c:ser>
          <c:idx val="0"/>
          <c:order val="0"/>
          <c:tx>
            <c:strRef>
              <c:f>'[2]Tabla Dinámica'!$E$66</c:f>
              <c:strCache>
                <c:ptCount val="1"/>
                <c:pt idx="0">
                  <c:v>ÁREA POR FUNCIÓN ESPECIFICA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3A-4BB7-B392-F3AA91A08CB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3A-4BB7-B392-F3AA91A08CB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3A-4BB7-B392-F3AA91A08CB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3A-4BB7-B392-F3AA91A08CB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3A-4BB7-B392-F3AA91A08CB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03A-4BB7-B392-F3AA91A08CB4}"/>
              </c:ext>
            </c:extLst>
          </c:dPt>
          <c:dLbls>
            <c:dLbl>
              <c:idx val="1"/>
              <c:layout>
                <c:manualLayout>
                  <c:x val="7.3596456692913328E-2"/>
                  <c:y val="-7.19677748614756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3A-4BB7-B392-F3AA91A08CB4}"/>
                </c:ext>
              </c:extLst>
            </c:dLbl>
            <c:dLbl>
              <c:idx val="2"/>
              <c:layout>
                <c:manualLayout>
                  <c:x val="0.13237598425196845"/>
                  <c:y val="-0.128896179644211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3A-4BB7-B392-F3AA91A08CB4}"/>
                </c:ext>
              </c:extLst>
            </c:dLbl>
            <c:dLbl>
              <c:idx val="4"/>
              <c:layout>
                <c:manualLayout>
                  <c:x val="0.11393744531933508"/>
                  <c:y val="0.158217045785943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3A-4BB7-B392-F3AA91A08CB4}"/>
                </c:ext>
              </c:extLst>
            </c:dLbl>
            <c:dLbl>
              <c:idx val="5"/>
              <c:layout>
                <c:manualLayout>
                  <c:x val="5.7410542432195927E-2"/>
                  <c:y val="0.111723899095946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03A-4BB7-B392-F3AA91A08C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'[2]Tabla Dinámica'!$D$67:$D$72</c:f>
              <c:strCache>
                <c:ptCount val="6"/>
                <c:pt idx="0">
                  <c:v>DOCENCIA</c:v>
                </c:pt>
                <c:pt idx="1">
                  <c:v>Integral</c:v>
                </c:pt>
                <c:pt idx="2">
                  <c:v>INVESTIGACIÓN</c:v>
                </c:pt>
                <c:pt idx="3">
                  <c:v>Procesos de apoyo</c:v>
                </c:pt>
                <c:pt idx="4">
                  <c:v>PROYECCIÓN</c:v>
                </c:pt>
                <c:pt idx="5">
                  <c:v>N/A</c:v>
                </c:pt>
              </c:strCache>
            </c:strRef>
          </c:cat>
          <c:val>
            <c:numRef>
              <c:f>'[2]Tabla Dinámica'!$E$67:$E$72</c:f>
              <c:numCache>
                <c:formatCode>General</c:formatCode>
                <c:ptCount val="6"/>
                <c:pt idx="0">
                  <c:v>16.03942195317266</c:v>
                </c:pt>
                <c:pt idx="1">
                  <c:v>0.97817089007371827</c:v>
                </c:pt>
                <c:pt idx="2">
                  <c:v>0.27288567005855707</c:v>
                </c:pt>
                <c:pt idx="3">
                  <c:v>20.550917371003763</c:v>
                </c:pt>
                <c:pt idx="4">
                  <c:v>0</c:v>
                </c:pt>
                <c:pt idx="5">
                  <c:v>62.084189370449266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3A-4BB7-B392-F3AA91A08CB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68661440776126"/>
          <c:y val="0.35734901844803146"/>
          <c:w val="0.37576591761184996"/>
          <c:h val="0.37071975124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UBICACIÓN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'[2]Tabla Dinámica'!$D$15</c:f>
              <c:strCache>
                <c:ptCount val="1"/>
                <c:pt idx="0">
                  <c:v>UBICACIÓN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4E-434C-A8A0-BE2A49E79BE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4E-434C-A8A0-BE2A49E79BE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4E-434C-A8A0-BE2A49E79BE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4E-434C-A8A0-BE2A49E79BE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4E-434C-A8A0-BE2A49E79BEC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4E-434C-A8A0-BE2A49E79BEC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4E-434C-A8A0-BE2A49E79BE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44E-434C-A8A0-BE2A49E79BEC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44E-434C-A8A0-BE2A49E79BEC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44E-434C-A8A0-BE2A49E79BEC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44E-434C-A8A0-BE2A49E79B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'[2]Tabla Dinámica'!$C$16:$C$26</c:f>
              <c:strCache>
                <c:ptCount val="11"/>
                <c:pt idx="0">
                  <c:v>Bloque Administrativo</c:v>
                </c:pt>
                <c:pt idx="1">
                  <c:v>Bloque B</c:v>
                </c:pt>
                <c:pt idx="2">
                  <c:v>Bloque C</c:v>
                </c:pt>
                <c:pt idx="3">
                  <c:v>Centro De Conciliación y Consultorios Jurídicos</c:v>
                </c:pt>
                <c:pt idx="4">
                  <c:v>Edificio Holanda</c:v>
                </c:pt>
                <c:pt idx="5">
                  <c:v>Edificio Italia </c:v>
                </c:pt>
                <c:pt idx="6">
                  <c:v>Edificio San Francisco</c:v>
                </c:pt>
                <c:pt idx="7">
                  <c:v>Medio San Damián</c:v>
                </c:pt>
                <c:pt idx="8">
                  <c:v>Otra</c:v>
                </c:pt>
                <c:pt idx="9">
                  <c:v>Sede Santiago</c:v>
                </c:pt>
                <c:pt idx="10">
                  <c:v>Zonas comunes </c:v>
                </c:pt>
              </c:strCache>
            </c:strRef>
          </c:cat>
          <c:val>
            <c:numRef>
              <c:f>'[2]Tabla Dinámica'!$D$16:$D$26</c:f>
              <c:numCache>
                <c:formatCode>General</c:formatCode>
                <c:ptCount val="11"/>
                <c:pt idx="0">
                  <c:v>4.4242788037145591</c:v>
                </c:pt>
                <c:pt idx="1">
                  <c:v>1.4743236816374539</c:v>
                </c:pt>
                <c:pt idx="2">
                  <c:v>0.96441762667060793</c:v>
                </c:pt>
                <c:pt idx="3">
                  <c:v>0</c:v>
                </c:pt>
                <c:pt idx="4">
                  <c:v>3.5466189857807389</c:v>
                </c:pt>
                <c:pt idx="5">
                  <c:v>3.8595656671466161</c:v>
                </c:pt>
                <c:pt idx="6">
                  <c:v>9.3367766622595223</c:v>
                </c:pt>
                <c:pt idx="7">
                  <c:v>0</c:v>
                </c:pt>
                <c:pt idx="8">
                  <c:v>10.491080867009213</c:v>
                </c:pt>
                <c:pt idx="9">
                  <c:v>1.0407907407189452</c:v>
                </c:pt>
                <c:pt idx="10">
                  <c:v>3.282714349296274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44E-434C-A8A0-BE2A49E79B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06502636625464"/>
          <c:y val="4.8752937970050411E-2"/>
          <c:w val="0.31965539393933579"/>
          <c:h val="0.8963188467347106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ÁREA POR TIPO DE ESPACIO - USO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7705489938757653"/>
          <c:y val="0.10826391501025845"/>
          <c:w val="0.56072287839020118"/>
          <c:h val="0.820271203303728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'[2]Tabla Dinámica'!$E$30</c:f>
              <c:strCache>
                <c:ptCount val="1"/>
                <c:pt idx="0">
                  <c:v>ÁREA POR TIPO DE ESPACIO - USO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'[2]Tabla Dinámica'!$D$31:$D$62</c:f>
              <c:strCache>
                <c:ptCount val="32"/>
                <c:pt idx="0">
                  <c:v>Accesos</c:v>
                </c:pt>
                <c:pt idx="1">
                  <c:v>Auditorios</c:v>
                </c:pt>
                <c:pt idx="2">
                  <c:v>Aulas</c:v>
                </c:pt>
                <c:pt idx="3">
                  <c:v>Biblioteca</c:v>
                </c:pt>
                <c:pt idx="4">
                  <c:v>Bodegas</c:v>
                </c:pt>
                <c:pt idx="5">
                  <c:v>Cafeterías privadas</c:v>
                </c:pt>
                <c:pt idx="6">
                  <c:v>Cafeterías públicas</c:v>
                </c:pt>
                <c:pt idx="7">
                  <c:v>Consultorio Jurídico</c:v>
                </c:pt>
                <c:pt idx="8">
                  <c:v>Consultorios Médicos</c:v>
                </c:pt>
                <c:pt idx="9">
                  <c:v>Consultoríos Médicos</c:v>
                </c:pt>
                <c:pt idx="10">
                  <c:v>Cuartos de servicio</c:v>
                </c:pt>
                <c:pt idx="11">
                  <c:v>Cuartos técnicos</c:v>
                </c:pt>
                <c:pt idx="12">
                  <c:v>Escaleras</c:v>
                </c:pt>
                <c:pt idx="13">
                  <c:v>Espacios de integración</c:v>
                </c:pt>
                <c:pt idx="14">
                  <c:v>Espacios deportivos</c:v>
                </c:pt>
                <c:pt idx="15">
                  <c:v>IPS Psicológica</c:v>
                </c:pt>
                <c:pt idx="16">
                  <c:v>Laboratorios Especializados</c:v>
                </c:pt>
                <c:pt idx="17">
                  <c:v>Malla de circulación</c:v>
                </c:pt>
                <c:pt idx="18">
                  <c:v>MEDIO SAN DAMIAN</c:v>
                </c:pt>
                <c:pt idx="19">
                  <c:v>Módulos</c:v>
                </c:pt>
                <c:pt idx="20">
                  <c:v>Oficinas</c:v>
                </c:pt>
                <c:pt idx="21">
                  <c:v>Parqueaderos</c:v>
                </c:pt>
                <c:pt idx="22">
                  <c:v>Rampas y conectores</c:v>
                </c:pt>
                <c:pt idx="23">
                  <c:v>Sala de espera</c:v>
                </c:pt>
                <c:pt idx="24">
                  <c:v>Salas Cómputo</c:v>
                </c:pt>
                <c:pt idx="25">
                  <c:v>Salas de investigadores</c:v>
                </c:pt>
                <c:pt idx="26">
                  <c:v>Salas de reunión</c:v>
                </c:pt>
                <c:pt idx="27">
                  <c:v>Salas de Tutores (salas de profesores)</c:v>
                </c:pt>
                <c:pt idx="28">
                  <c:v>Salas especializadas y de práctica</c:v>
                </c:pt>
                <c:pt idx="29">
                  <c:v>Servicios sanitarios privados</c:v>
                </c:pt>
                <c:pt idx="30">
                  <c:v>Servicios sanitarios públicos</c:v>
                </c:pt>
                <c:pt idx="31">
                  <c:v>Zonas verdes</c:v>
                </c:pt>
              </c:strCache>
            </c:strRef>
          </c:cat>
          <c:val>
            <c:numRef>
              <c:f>'[2]Tabla Dinámica'!$E$31:$E$62</c:f>
              <c:numCache>
                <c:formatCode>General</c:formatCode>
                <c:ptCount val="32"/>
                <c:pt idx="0">
                  <c:v>292.61</c:v>
                </c:pt>
                <c:pt idx="1">
                  <c:v>2062.89</c:v>
                </c:pt>
                <c:pt idx="2">
                  <c:v>5304.2799999999988</c:v>
                </c:pt>
                <c:pt idx="3">
                  <c:v>791.45999999999992</c:v>
                </c:pt>
                <c:pt idx="4">
                  <c:v>529.17999999999995</c:v>
                </c:pt>
                <c:pt idx="5">
                  <c:v>111.03</c:v>
                </c:pt>
                <c:pt idx="6">
                  <c:v>357.56999999999994</c:v>
                </c:pt>
                <c:pt idx="7">
                  <c:v>492.58000000000004</c:v>
                </c:pt>
                <c:pt idx="8">
                  <c:v>35.520000000000003</c:v>
                </c:pt>
                <c:pt idx="9">
                  <c:v>20.700000000000003</c:v>
                </c:pt>
                <c:pt idx="10">
                  <c:v>37.299999999999997</c:v>
                </c:pt>
                <c:pt idx="11">
                  <c:v>317.17</c:v>
                </c:pt>
                <c:pt idx="12">
                  <c:v>290.68999999999988</c:v>
                </c:pt>
                <c:pt idx="13">
                  <c:v>1060.26</c:v>
                </c:pt>
                <c:pt idx="14">
                  <c:v>11370.810000000001</c:v>
                </c:pt>
                <c:pt idx="15">
                  <c:v>75.069999999999993</c:v>
                </c:pt>
                <c:pt idx="16">
                  <c:v>500.15999999999997</c:v>
                </c:pt>
                <c:pt idx="17">
                  <c:v>6391.6399999999985</c:v>
                </c:pt>
                <c:pt idx="18">
                  <c:v>34955.599999999999</c:v>
                </c:pt>
                <c:pt idx="19">
                  <c:v>164.89</c:v>
                </c:pt>
                <c:pt idx="20">
                  <c:v>2190.8899999999994</c:v>
                </c:pt>
                <c:pt idx="21">
                  <c:v>3228.48</c:v>
                </c:pt>
                <c:pt idx="22">
                  <c:v>33.76</c:v>
                </c:pt>
                <c:pt idx="23">
                  <c:v>49.559999999999995</c:v>
                </c:pt>
                <c:pt idx="24">
                  <c:v>867.40000000000009</c:v>
                </c:pt>
                <c:pt idx="25">
                  <c:v>131.6</c:v>
                </c:pt>
                <c:pt idx="26">
                  <c:v>185.83</c:v>
                </c:pt>
                <c:pt idx="27">
                  <c:v>527.5200000000001</c:v>
                </c:pt>
                <c:pt idx="28">
                  <c:v>155.78</c:v>
                </c:pt>
                <c:pt idx="29">
                  <c:v>67.588000000000022</c:v>
                </c:pt>
                <c:pt idx="30">
                  <c:v>453.37</c:v>
                </c:pt>
                <c:pt idx="31">
                  <c:v>168.59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6-4DA0-A45A-DF2B91F92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87877216"/>
        <c:axId val="-187869056"/>
      </c:barChart>
      <c:catAx>
        <c:axId val="-18787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69056"/>
        <c:crosses val="autoZero"/>
        <c:auto val="1"/>
        <c:lblAlgn val="ctr"/>
        <c:lblOffset val="100"/>
        <c:noMultiLvlLbl val="0"/>
      </c:catAx>
      <c:valAx>
        <c:axId val="-1878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TENENCIA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6129503286438948"/>
          <c:y val="0.15938529586620709"/>
          <c:w val="0.59630128293333473"/>
          <c:h val="0.69504458489672882"/>
        </c:manualLayout>
      </c:layout>
      <c:pieChart>
        <c:varyColors val="1"/>
        <c:ser>
          <c:idx val="0"/>
          <c:order val="0"/>
          <c:tx>
            <c:strRef>
              <c:f>'Tabla Dinámica'!$D$3</c:f>
              <c:strCache>
                <c:ptCount val="1"/>
                <c:pt idx="0">
                  <c:v>TENENCIA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8-4ED6-91F8-5BBE4EF7B5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8-4ED6-91F8-5BBE4EF7B5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Dinámica'!$C$4:$C$5</c:f>
              <c:strCache>
                <c:ptCount val="2"/>
                <c:pt idx="0">
                  <c:v>Arriendo</c:v>
                </c:pt>
                <c:pt idx="1">
                  <c:v>Propiedad</c:v>
                </c:pt>
              </c:strCache>
            </c:strRef>
          </c:cat>
          <c:val>
            <c:numRef>
              <c:f>'Tabla Dinámica'!$D$4:$D$5</c:f>
              <c:numCache>
                <c:formatCode>0</c:formatCode>
                <c:ptCount val="2"/>
                <c:pt idx="0">
                  <c:v>20.893190543508918</c:v>
                </c:pt>
                <c:pt idx="1">
                  <c:v>79.032394711249026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B8-4ED6-91F8-5BBE4EF7B52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5216690857685879E-2"/>
          <c:y val="0.28068401678024457"/>
          <c:w val="0.52930196301847188"/>
          <c:h val="0.59928283490984091"/>
        </c:manualLayout>
      </c:layout>
      <c:pieChart>
        <c:varyColors val="1"/>
        <c:ser>
          <c:idx val="0"/>
          <c:order val="0"/>
          <c:tx>
            <c:strRef>
              <c:f>'Tabla Dinámica'!$E$66</c:f>
              <c:strCache>
                <c:ptCount val="1"/>
                <c:pt idx="0">
                  <c:v>ÁREA POR FUNCIÓN ESPECIFICA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18-4E01-8F54-B8FAD0E51E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18-4E01-8F54-B8FAD0E51E6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18-4E01-8F54-B8FAD0E51E6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18-4E01-8F54-B8FAD0E51E6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18-4E01-8F54-B8FAD0E51E6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18-4E01-8F54-B8FAD0E51E68}"/>
              </c:ext>
            </c:extLst>
          </c:dPt>
          <c:dLbls>
            <c:dLbl>
              <c:idx val="1"/>
              <c:layout>
                <c:manualLayout>
                  <c:x val="7.3596456692913328E-2"/>
                  <c:y val="-7.19677748614756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8-4E01-8F54-B8FAD0E51E68}"/>
                </c:ext>
              </c:extLst>
            </c:dLbl>
            <c:dLbl>
              <c:idx val="2"/>
              <c:layout>
                <c:manualLayout>
                  <c:x val="0.13237598425196845"/>
                  <c:y val="-0.128896179644211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18-4E01-8F54-B8FAD0E51E68}"/>
                </c:ext>
              </c:extLst>
            </c:dLbl>
            <c:dLbl>
              <c:idx val="4"/>
              <c:layout>
                <c:manualLayout>
                  <c:x val="0.11393744531933508"/>
                  <c:y val="0.158217045785943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118-4E01-8F54-B8FAD0E51E68}"/>
                </c:ext>
              </c:extLst>
            </c:dLbl>
            <c:dLbl>
              <c:idx val="5"/>
              <c:layout>
                <c:manualLayout>
                  <c:x val="5.7410542432195927E-2"/>
                  <c:y val="0.111723899095946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118-4E01-8F54-B8FAD0E51E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Dinámica'!$D$67:$D$72</c:f>
              <c:strCache>
                <c:ptCount val="6"/>
                <c:pt idx="0">
                  <c:v>DOCENCIA</c:v>
                </c:pt>
                <c:pt idx="1">
                  <c:v>Integral</c:v>
                </c:pt>
                <c:pt idx="2">
                  <c:v>INVESTIGACIÓN</c:v>
                </c:pt>
                <c:pt idx="3">
                  <c:v>Procesos de apoyo</c:v>
                </c:pt>
                <c:pt idx="4">
                  <c:v>PROYECCIÓN</c:v>
                </c:pt>
                <c:pt idx="5">
                  <c:v>N/A</c:v>
                </c:pt>
              </c:strCache>
            </c:strRef>
          </c:cat>
          <c:val>
            <c:numRef>
              <c:f>'Tabla Dinámica'!$E$67:$E$72</c:f>
              <c:numCache>
                <c:formatCode>0</c:formatCode>
                <c:ptCount val="6"/>
                <c:pt idx="0">
                  <c:v>16.03942195317266</c:v>
                </c:pt>
                <c:pt idx="1">
                  <c:v>0.97817089007371827</c:v>
                </c:pt>
                <c:pt idx="2">
                  <c:v>0.27288567005855707</c:v>
                </c:pt>
                <c:pt idx="3">
                  <c:v>20.550917371003763</c:v>
                </c:pt>
                <c:pt idx="4">
                  <c:v>0</c:v>
                </c:pt>
                <c:pt idx="5">
                  <c:v>62.084189370449266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18-4E01-8F54-B8FAD0E51E6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68661440776126"/>
          <c:y val="0.35734901844803146"/>
          <c:w val="0.37576591761184996"/>
          <c:h val="0.37071975124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UBICACIÓN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'Tabla Dinámica'!$D$15</c:f>
              <c:strCache>
                <c:ptCount val="1"/>
                <c:pt idx="0">
                  <c:v>UBICACIÓN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E3-4C19-AABB-4718BD2AC0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3-4C19-AABB-4718BD2AC0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3-4C19-AABB-4718BD2AC01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E3-4C19-AABB-4718BD2AC01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E3-4C19-AABB-4718BD2AC01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E3-4C19-AABB-4718BD2AC01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E3-4C19-AABB-4718BD2AC01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6E3-4C19-AABB-4718BD2AC01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6E3-4C19-AABB-4718BD2AC01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6E3-4C19-AABB-4718BD2AC01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6E3-4C19-AABB-4718BD2AC0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Dinámica'!$C$16:$C$26</c:f>
              <c:strCache>
                <c:ptCount val="11"/>
                <c:pt idx="0">
                  <c:v>Bloque Administrativo</c:v>
                </c:pt>
                <c:pt idx="1">
                  <c:v>Bloque B</c:v>
                </c:pt>
                <c:pt idx="2">
                  <c:v>Bloque C</c:v>
                </c:pt>
                <c:pt idx="3">
                  <c:v>Centro De Conciliación y Consultorios Jurídicos</c:v>
                </c:pt>
                <c:pt idx="4">
                  <c:v>Edificio Holanda</c:v>
                </c:pt>
                <c:pt idx="5">
                  <c:v>Edificio Italia </c:v>
                </c:pt>
                <c:pt idx="6">
                  <c:v>Edificio San Francisco</c:v>
                </c:pt>
                <c:pt idx="7">
                  <c:v>Medio San Damián</c:v>
                </c:pt>
                <c:pt idx="8">
                  <c:v>Otra</c:v>
                </c:pt>
                <c:pt idx="9">
                  <c:v>Sede Santiago</c:v>
                </c:pt>
                <c:pt idx="10">
                  <c:v>Zonas comunes </c:v>
                </c:pt>
              </c:strCache>
            </c:strRef>
          </c:cat>
          <c:val>
            <c:numRef>
              <c:f>'Tabla Dinámica'!$D$16:$D$26</c:f>
              <c:numCache>
                <c:formatCode>0</c:formatCode>
                <c:ptCount val="11"/>
                <c:pt idx="0">
                  <c:v>4.4242788037145591</c:v>
                </c:pt>
                <c:pt idx="1">
                  <c:v>1.4743236816374539</c:v>
                </c:pt>
                <c:pt idx="2">
                  <c:v>0.96441762667060793</c:v>
                </c:pt>
                <c:pt idx="3">
                  <c:v>0</c:v>
                </c:pt>
                <c:pt idx="4">
                  <c:v>3.5466189857807389</c:v>
                </c:pt>
                <c:pt idx="5">
                  <c:v>3.8595656671466161</c:v>
                </c:pt>
                <c:pt idx="6">
                  <c:v>9.3367766622595223</c:v>
                </c:pt>
                <c:pt idx="7">
                  <c:v>0</c:v>
                </c:pt>
                <c:pt idx="8">
                  <c:v>10.491080867009213</c:v>
                </c:pt>
                <c:pt idx="9">
                  <c:v>1.0407907407189452</c:v>
                </c:pt>
                <c:pt idx="10">
                  <c:v>3.282714349296274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E3-4C19-AABB-4718BD2AC0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06502636625464"/>
          <c:y val="4.8752937970050411E-2"/>
          <c:w val="0.31965539393933579"/>
          <c:h val="0.8963188467347106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ÁREA POR TIPO DE ESPACIO - USO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7705489938757653"/>
          <c:y val="0.10826391501025845"/>
          <c:w val="0.56072287839020118"/>
          <c:h val="0.820271203303728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 Dinámica'!$E$30</c:f>
              <c:strCache>
                <c:ptCount val="1"/>
                <c:pt idx="0">
                  <c:v>ÁREA POR TIPO DE ESPACIO - USO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Dinámica'!$D$31:$D$62</c:f>
              <c:strCache>
                <c:ptCount val="32"/>
                <c:pt idx="0">
                  <c:v>Accesos</c:v>
                </c:pt>
                <c:pt idx="1">
                  <c:v>Auditorios</c:v>
                </c:pt>
                <c:pt idx="2">
                  <c:v>Aulas</c:v>
                </c:pt>
                <c:pt idx="3">
                  <c:v>Biblioteca</c:v>
                </c:pt>
                <c:pt idx="4">
                  <c:v>Bodegas</c:v>
                </c:pt>
                <c:pt idx="5">
                  <c:v>Cafeterías privadas</c:v>
                </c:pt>
                <c:pt idx="6">
                  <c:v>Cafeterías públicas</c:v>
                </c:pt>
                <c:pt idx="7">
                  <c:v>Consultorio Jurídico</c:v>
                </c:pt>
                <c:pt idx="8">
                  <c:v>Consultorios Médicos</c:v>
                </c:pt>
                <c:pt idx="9">
                  <c:v>Consultoríos Médicos</c:v>
                </c:pt>
                <c:pt idx="10">
                  <c:v>Cuartos de servicio</c:v>
                </c:pt>
                <c:pt idx="11">
                  <c:v>Cuartos técnicos</c:v>
                </c:pt>
                <c:pt idx="12">
                  <c:v>Escaleras</c:v>
                </c:pt>
                <c:pt idx="13">
                  <c:v>Espacios de integración</c:v>
                </c:pt>
                <c:pt idx="14">
                  <c:v>Espacios deportivos</c:v>
                </c:pt>
                <c:pt idx="15">
                  <c:v>IPS Psicológica</c:v>
                </c:pt>
                <c:pt idx="16">
                  <c:v>Laboratorios Especializados</c:v>
                </c:pt>
                <c:pt idx="17">
                  <c:v>Malla de circulación</c:v>
                </c:pt>
                <c:pt idx="18">
                  <c:v>MEDIO SAN DAMIAN</c:v>
                </c:pt>
                <c:pt idx="19">
                  <c:v>Módulos</c:v>
                </c:pt>
                <c:pt idx="20">
                  <c:v>Oficinas</c:v>
                </c:pt>
                <c:pt idx="21">
                  <c:v>Parqueaderos</c:v>
                </c:pt>
                <c:pt idx="22">
                  <c:v>Rampas y conectores</c:v>
                </c:pt>
                <c:pt idx="23">
                  <c:v>Sala de espera</c:v>
                </c:pt>
                <c:pt idx="24">
                  <c:v>Salas Cómputo</c:v>
                </c:pt>
                <c:pt idx="25">
                  <c:v>Salas de investigadores</c:v>
                </c:pt>
                <c:pt idx="26">
                  <c:v>Salas de reunión</c:v>
                </c:pt>
                <c:pt idx="27">
                  <c:v>Salas de Tutores (salas de profesores)</c:v>
                </c:pt>
                <c:pt idx="28">
                  <c:v>Salas especializadas y de práctica</c:v>
                </c:pt>
                <c:pt idx="29">
                  <c:v>Servicios sanitarios privados</c:v>
                </c:pt>
                <c:pt idx="30">
                  <c:v>Servicios sanitarios públicos</c:v>
                </c:pt>
                <c:pt idx="31">
                  <c:v>Zonas verdes</c:v>
                </c:pt>
              </c:strCache>
            </c:strRef>
          </c:cat>
          <c:val>
            <c:numRef>
              <c:f>'Tabla Dinámica'!$E$31:$E$62</c:f>
              <c:numCache>
                <c:formatCode>General</c:formatCode>
                <c:ptCount val="32"/>
                <c:pt idx="0">
                  <c:v>292.61</c:v>
                </c:pt>
                <c:pt idx="1">
                  <c:v>2062.89</c:v>
                </c:pt>
                <c:pt idx="2">
                  <c:v>5304.2799999999988</c:v>
                </c:pt>
                <c:pt idx="3">
                  <c:v>791.45999999999992</c:v>
                </c:pt>
                <c:pt idx="4">
                  <c:v>529.17999999999995</c:v>
                </c:pt>
                <c:pt idx="5">
                  <c:v>111.03</c:v>
                </c:pt>
                <c:pt idx="6">
                  <c:v>357.56999999999994</c:v>
                </c:pt>
                <c:pt idx="7">
                  <c:v>492.58000000000004</c:v>
                </c:pt>
                <c:pt idx="8">
                  <c:v>35.520000000000003</c:v>
                </c:pt>
                <c:pt idx="9">
                  <c:v>20.700000000000003</c:v>
                </c:pt>
                <c:pt idx="10">
                  <c:v>37.299999999999997</c:v>
                </c:pt>
                <c:pt idx="11">
                  <c:v>317.17</c:v>
                </c:pt>
                <c:pt idx="12">
                  <c:v>290.68999999999988</c:v>
                </c:pt>
                <c:pt idx="13">
                  <c:v>1060.26</c:v>
                </c:pt>
                <c:pt idx="14">
                  <c:v>11370.810000000001</c:v>
                </c:pt>
                <c:pt idx="15">
                  <c:v>75.069999999999993</c:v>
                </c:pt>
                <c:pt idx="16">
                  <c:v>500.15999999999997</c:v>
                </c:pt>
                <c:pt idx="17">
                  <c:v>6391.6399999999985</c:v>
                </c:pt>
                <c:pt idx="18">
                  <c:v>34955.599999999999</c:v>
                </c:pt>
                <c:pt idx="19">
                  <c:v>164.89</c:v>
                </c:pt>
                <c:pt idx="20">
                  <c:v>2190.8899999999994</c:v>
                </c:pt>
                <c:pt idx="21">
                  <c:v>3228.48</c:v>
                </c:pt>
                <c:pt idx="22">
                  <c:v>33.76</c:v>
                </c:pt>
                <c:pt idx="23">
                  <c:v>49.559999999999995</c:v>
                </c:pt>
                <c:pt idx="24">
                  <c:v>867.40000000000009</c:v>
                </c:pt>
                <c:pt idx="25">
                  <c:v>131.6</c:v>
                </c:pt>
                <c:pt idx="26">
                  <c:v>185.83</c:v>
                </c:pt>
                <c:pt idx="27">
                  <c:v>527.5200000000001</c:v>
                </c:pt>
                <c:pt idx="28">
                  <c:v>155.78</c:v>
                </c:pt>
                <c:pt idx="29">
                  <c:v>67.588000000000022</c:v>
                </c:pt>
                <c:pt idx="30">
                  <c:v>453.37</c:v>
                </c:pt>
                <c:pt idx="31">
                  <c:v>168.59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5-4667-86CC-420BBA141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87877216"/>
        <c:axId val="-187869056"/>
      </c:barChart>
      <c:catAx>
        <c:axId val="-18787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69056"/>
        <c:crosses val="autoZero"/>
        <c:auto val="1"/>
        <c:lblAlgn val="ctr"/>
        <c:lblOffset val="100"/>
        <c:noMultiLvlLbl val="0"/>
      </c:catAx>
      <c:valAx>
        <c:axId val="-1878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TENENCIA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6129503286438948"/>
          <c:y val="0.15938529586620709"/>
          <c:w val="0.59630128293333473"/>
          <c:h val="0.69504458489672882"/>
        </c:manualLayout>
      </c:layout>
      <c:pieChart>
        <c:varyColors val="1"/>
        <c:ser>
          <c:idx val="0"/>
          <c:order val="0"/>
          <c:tx>
            <c:strRef>
              <c:f>'Tabla Dinámica'!$D$3</c:f>
              <c:strCache>
                <c:ptCount val="1"/>
                <c:pt idx="0">
                  <c:v>TENENCIA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E5-427D-85B8-51C5451010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E5-427D-85B8-51C5451010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Dinámica'!$C$4:$C$5</c:f>
              <c:strCache>
                <c:ptCount val="2"/>
                <c:pt idx="0">
                  <c:v>Arriendo</c:v>
                </c:pt>
                <c:pt idx="1">
                  <c:v>Propiedad</c:v>
                </c:pt>
              </c:strCache>
            </c:strRef>
          </c:cat>
          <c:val>
            <c:numRef>
              <c:f>'Tabla Dinámica'!$D$4:$D$5</c:f>
              <c:numCache>
                <c:formatCode>0</c:formatCode>
                <c:ptCount val="2"/>
                <c:pt idx="0">
                  <c:v>20.893190543508918</c:v>
                </c:pt>
                <c:pt idx="1">
                  <c:v>79.032394711249026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5-427D-85B8-51C5451010C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5216690857685879E-2"/>
          <c:y val="0.28068401678024457"/>
          <c:w val="0.52930196301847188"/>
          <c:h val="0.59928283490984091"/>
        </c:manualLayout>
      </c:layout>
      <c:pieChart>
        <c:varyColors val="1"/>
        <c:ser>
          <c:idx val="0"/>
          <c:order val="0"/>
          <c:tx>
            <c:strRef>
              <c:f>'Tabla Dinámica'!$E$66</c:f>
              <c:strCache>
                <c:ptCount val="1"/>
                <c:pt idx="0">
                  <c:v>ÁREA POR FUNCIÓN ESPECIFICA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BA-4E13-B8E6-F131D7F6F4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BA-4E13-B8E6-F131D7F6F4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BA-4E13-B8E6-F131D7F6F4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BA-4E13-B8E6-F131D7F6F4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BA-4E13-B8E6-F131D7F6F4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BA-4E13-B8E6-F131D7F6F4A8}"/>
              </c:ext>
            </c:extLst>
          </c:dPt>
          <c:dLbls>
            <c:dLbl>
              <c:idx val="1"/>
              <c:layout>
                <c:manualLayout>
                  <c:x val="7.3596456692913328E-2"/>
                  <c:y val="-7.19677748614756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BA-4E13-B8E6-F131D7F6F4A8}"/>
                </c:ext>
              </c:extLst>
            </c:dLbl>
            <c:dLbl>
              <c:idx val="2"/>
              <c:layout>
                <c:manualLayout>
                  <c:x val="0.13237598425196845"/>
                  <c:y val="-0.128896179644211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BA-4E13-B8E6-F131D7F6F4A8}"/>
                </c:ext>
              </c:extLst>
            </c:dLbl>
            <c:dLbl>
              <c:idx val="4"/>
              <c:layout>
                <c:manualLayout>
                  <c:x val="0.11393744531933508"/>
                  <c:y val="0.158217045785943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A-4E13-B8E6-F131D7F6F4A8}"/>
                </c:ext>
              </c:extLst>
            </c:dLbl>
            <c:dLbl>
              <c:idx val="5"/>
              <c:layout>
                <c:manualLayout>
                  <c:x val="5.7410542432195927E-2"/>
                  <c:y val="0.111723899095946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4BA-4E13-B8E6-F131D7F6F4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Dinámica'!$D$67:$D$72</c:f>
              <c:strCache>
                <c:ptCount val="6"/>
                <c:pt idx="0">
                  <c:v>DOCENCIA</c:v>
                </c:pt>
                <c:pt idx="1">
                  <c:v>Integral</c:v>
                </c:pt>
                <c:pt idx="2">
                  <c:v>INVESTIGACIÓN</c:v>
                </c:pt>
                <c:pt idx="3">
                  <c:v>Procesos de apoyo</c:v>
                </c:pt>
                <c:pt idx="4">
                  <c:v>PROYECCIÓN</c:v>
                </c:pt>
                <c:pt idx="5">
                  <c:v>N/A</c:v>
                </c:pt>
              </c:strCache>
            </c:strRef>
          </c:cat>
          <c:val>
            <c:numRef>
              <c:f>'Tabla Dinámica'!$E$67:$E$72</c:f>
              <c:numCache>
                <c:formatCode>0</c:formatCode>
                <c:ptCount val="6"/>
                <c:pt idx="0">
                  <c:v>16.03942195317266</c:v>
                </c:pt>
                <c:pt idx="1">
                  <c:v>0.97817089007371827</c:v>
                </c:pt>
                <c:pt idx="2">
                  <c:v>0.27288567005855707</c:v>
                </c:pt>
                <c:pt idx="3">
                  <c:v>20.550917371003763</c:v>
                </c:pt>
                <c:pt idx="4">
                  <c:v>0</c:v>
                </c:pt>
                <c:pt idx="5">
                  <c:v>62.084189370449266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BA-4E13-B8E6-F131D7F6F4A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68661440776126"/>
          <c:y val="0.35734901844803146"/>
          <c:w val="0.37576591761184996"/>
          <c:h val="0.37071975124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UBICACIÓN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'Tabla Dinámica'!$D$15</c:f>
              <c:strCache>
                <c:ptCount val="1"/>
                <c:pt idx="0">
                  <c:v>UBICACIÓN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4B-4815-8387-B66882C7E13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4B-4815-8387-B66882C7E13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4B-4815-8387-B66882C7E13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4B-4815-8387-B66882C7E13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4B-4815-8387-B66882C7E13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4B-4815-8387-B66882C7E13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4B-4815-8387-B66882C7E13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4B-4815-8387-B66882C7E13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4B-4815-8387-B66882C7E13E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4B-4815-8387-B66882C7E13E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D4B-4815-8387-B66882C7E1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Dinámica'!$C$16:$C$26</c:f>
              <c:strCache>
                <c:ptCount val="11"/>
                <c:pt idx="0">
                  <c:v>Bloque Administrativo</c:v>
                </c:pt>
                <c:pt idx="1">
                  <c:v>Bloque B</c:v>
                </c:pt>
                <c:pt idx="2">
                  <c:v>Bloque C</c:v>
                </c:pt>
                <c:pt idx="3">
                  <c:v>Centro De Conciliación y Consultorios Jurídicos</c:v>
                </c:pt>
                <c:pt idx="4">
                  <c:v>Edificio Holanda</c:v>
                </c:pt>
                <c:pt idx="5">
                  <c:v>Edificio Italia </c:v>
                </c:pt>
                <c:pt idx="6">
                  <c:v>Edificio San Francisco</c:v>
                </c:pt>
                <c:pt idx="7">
                  <c:v>Medio San Damián</c:v>
                </c:pt>
                <c:pt idx="8">
                  <c:v>Otra</c:v>
                </c:pt>
                <c:pt idx="9">
                  <c:v>Sede Santiago</c:v>
                </c:pt>
                <c:pt idx="10">
                  <c:v>Zonas comunes </c:v>
                </c:pt>
              </c:strCache>
            </c:strRef>
          </c:cat>
          <c:val>
            <c:numRef>
              <c:f>'Tabla Dinámica'!$D$16:$D$26</c:f>
              <c:numCache>
                <c:formatCode>0</c:formatCode>
                <c:ptCount val="11"/>
                <c:pt idx="0">
                  <c:v>4.4242788037145591</c:v>
                </c:pt>
                <c:pt idx="1">
                  <c:v>1.4743236816374539</c:v>
                </c:pt>
                <c:pt idx="2">
                  <c:v>0.96441762667060793</c:v>
                </c:pt>
                <c:pt idx="3">
                  <c:v>0</c:v>
                </c:pt>
                <c:pt idx="4">
                  <c:v>3.5466189857807389</c:v>
                </c:pt>
                <c:pt idx="5">
                  <c:v>3.8595656671466161</c:v>
                </c:pt>
                <c:pt idx="6">
                  <c:v>9.3367766622595223</c:v>
                </c:pt>
                <c:pt idx="7">
                  <c:v>0</c:v>
                </c:pt>
                <c:pt idx="8">
                  <c:v>10.491080867009213</c:v>
                </c:pt>
                <c:pt idx="9">
                  <c:v>1.0407907407189452</c:v>
                </c:pt>
                <c:pt idx="10">
                  <c:v>3.282714349296274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4B-4815-8387-B66882C7E1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06502636625464"/>
          <c:y val="4.8752937970050411E-2"/>
          <c:w val="0.31965539393933579"/>
          <c:h val="0.8963188467347106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ÁREA POR TIPO DE ESPACIO - USO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7705489938757653"/>
          <c:y val="0.10826391501025845"/>
          <c:w val="0.56072287839020118"/>
          <c:h val="0.820271203303728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 Dinámica'!$E$30</c:f>
              <c:strCache>
                <c:ptCount val="1"/>
                <c:pt idx="0">
                  <c:v>ÁREA POR TIPO DE ESPACIO - USO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Dinámica'!$D$31:$D$62</c:f>
              <c:strCache>
                <c:ptCount val="32"/>
                <c:pt idx="0">
                  <c:v>Accesos</c:v>
                </c:pt>
                <c:pt idx="1">
                  <c:v>Auditorios</c:v>
                </c:pt>
                <c:pt idx="2">
                  <c:v>Aulas</c:v>
                </c:pt>
                <c:pt idx="3">
                  <c:v>Biblioteca</c:v>
                </c:pt>
                <c:pt idx="4">
                  <c:v>Bodegas</c:v>
                </c:pt>
                <c:pt idx="5">
                  <c:v>Cafeterías privadas</c:v>
                </c:pt>
                <c:pt idx="6">
                  <c:v>Cafeterías públicas</c:v>
                </c:pt>
                <c:pt idx="7">
                  <c:v>Consultorio Jurídico</c:v>
                </c:pt>
                <c:pt idx="8">
                  <c:v>Consultorios Médicos</c:v>
                </c:pt>
                <c:pt idx="9">
                  <c:v>Consultoríos Médicos</c:v>
                </c:pt>
                <c:pt idx="10">
                  <c:v>Cuartos de servicio</c:v>
                </c:pt>
                <c:pt idx="11">
                  <c:v>Cuartos técnicos</c:v>
                </c:pt>
                <c:pt idx="12">
                  <c:v>Escaleras</c:v>
                </c:pt>
                <c:pt idx="13">
                  <c:v>Espacios de integración</c:v>
                </c:pt>
                <c:pt idx="14">
                  <c:v>Espacios deportivos</c:v>
                </c:pt>
                <c:pt idx="15">
                  <c:v>IPS Psicológica</c:v>
                </c:pt>
                <c:pt idx="16">
                  <c:v>Laboratorios Especializados</c:v>
                </c:pt>
                <c:pt idx="17">
                  <c:v>Malla de circulación</c:v>
                </c:pt>
                <c:pt idx="18">
                  <c:v>MEDIO SAN DAMIAN</c:v>
                </c:pt>
                <c:pt idx="19">
                  <c:v>Módulos</c:v>
                </c:pt>
                <c:pt idx="20">
                  <c:v>Oficinas</c:v>
                </c:pt>
                <c:pt idx="21">
                  <c:v>Parqueaderos</c:v>
                </c:pt>
                <c:pt idx="22">
                  <c:v>Rampas y conectores</c:v>
                </c:pt>
                <c:pt idx="23">
                  <c:v>Sala de espera</c:v>
                </c:pt>
                <c:pt idx="24">
                  <c:v>Salas Cómputo</c:v>
                </c:pt>
                <c:pt idx="25">
                  <c:v>Salas de investigadores</c:v>
                </c:pt>
                <c:pt idx="26">
                  <c:v>Salas de reunión</c:v>
                </c:pt>
                <c:pt idx="27">
                  <c:v>Salas de Tutores (salas de profesores)</c:v>
                </c:pt>
                <c:pt idx="28">
                  <c:v>Salas especializadas y de práctica</c:v>
                </c:pt>
                <c:pt idx="29">
                  <c:v>Servicios sanitarios privados</c:v>
                </c:pt>
                <c:pt idx="30">
                  <c:v>Servicios sanitarios públicos</c:v>
                </c:pt>
                <c:pt idx="31">
                  <c:v>Zonas verdes</c:v>
                </c:pt>
              </c:strCache>
            </c:strRef>
          </c:cat>
          <c:val>
            <c:numRef>
              <c:f>'Tabla Dinámica'!$E$31:$E$62</c:f>
              <c:numCache>
                <c:formatCode>General</c:formatCode>
                <c:ptCount val="32"/>
                <c:pt idx="0">
                  <c:v>292.61</c:v>
                </c:pt>
                <c:pt idx="1">
                  <c:v>2062.89</c:v>
                </c:pt>
                <c:pt idx="2">
                  <c:v>5304.2799999999988</c:v>
                </c:pt>
                <c:pt idx="3">
                  <c:v>791.45999999999992</c:v>
                </c:pt>
                <c:pt idx="4">
                  <c:v>529.17999999999995</c:v>
                </c:pt>
                <c:pt idx="5">
                  <c:v>111.03</c:v>
                </c:pt>
                <c:pt idx="6">
                  <c:v>357.56999999999994</c:v>
                </c:pt>
                <c:pt idx="7">
                  <c:v>492.58000000000004</c:v>
                </c:pt>
                <c:pt idx="8">
                  <c:v>35.520000000000003</c:v>
                </c:pt>
                <c:pt idx="9">
                  <c:v>20.700000000000003</c:v>
                </c:pt>
                <c:pt idx="10">
                  <c:v>37.299999999999997</c:v>
                </c:pt>
                <c:pt idx="11">
                  <c:v>317.17</c:v>
                </c:pt>
                <c:pt idx="12">
                  <c:v>290.68999999999988</c:v>
                </c:pt>
                <c:pt idx="13">
                  <c:v>1060.26</c:v>
                </c:pt>
                <c:pt idx="14">
                  <c:v>11370.810000000001</c:v>
                </c:pt>
                <c:pt idx="15">
                  <c:v>75.069999999999993</c:v>
                </c:pt>
                <c:pt idx="16">
                  <c:v>500.15999999999997</c:v>
                </c:pt>
                <c:pt idx="17">
                  <c:v>6391.6399999999985</c:v>
                </c:pt>
                <c:pt idx="18">
                  <c:v>34955.599999999999</c:v>
                </c:pt>
                <c:pt idx="19">
                  <c:v>164.89</c:v>
                </c:pt>
                <c:pt idx="20">
                  <c:v>2190.8899999999994</c:v>
                </c:pt>
                <c:pt idx="21">
                  <c:v>3228.48</c:v>
                </c:pt>
                <c:pt idx="22">
                  <c:v>33.76</c:v>
                </c:pt>
                <c:pt idx="23">
                  <c:v>49.559999999999995</c:v>
                </c:pt>
                <c:pt idx="24">
                  <c:v>867.40000000000009</c:v>
                </c:pt>
                <c:pt idx="25">
                  <c:v>131.6</c:v>
                </c:pt>
                <c:pt idx="26">
                  <c:v>185.83</c:v>
                </c:pt>
                <c:pt idx="27">
                  <c:v>527.5200000000001</c:v>
                </c:pt>
                <c:pt idx="28">
                  <c:v>155.78</c:v>
                </c:pt>
                <c:pt idx="29">
                  <c:v>67.588000000000022</c:v>
                </c:pt>
                <c:pt idx="30">
                  <c:v>453.37</c:v>
                </c:pt>
                <c:pt idx="31">
                  <c:v>168.59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D76-B6D3-B9116210A5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87877216"/>
        <c:axId val="-187869056"/>
      </c:barChart>
      <c:catAx>
        <c:axId val="-18787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69056"/>
        <c:crosses val="autoZero"/>
        <c:auto val="1"/>
        <c:lblAlgn val="ctr"/>
        <c:lblOffset val="100"/>
        <c:noMultiLvlLbl val="0"/>
      </c:catAx>
      <c:valAx>
        <c:axId val="-1878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TENENCIA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6129503286438948"/>
          <c:y val="0.15938529586620709"/>
          <c:w val="0.59630128293333473"/>
          <c:h val="0.69504458489672882"/>
        </c:manualLayout>
      </c:layout>
      <c:pieChart>
        <c:varyColors val="1"/>
        <c:ser>
          <c:idx val="0"/>
          <c:order val="0"/>
          <c:tx>
            <c:strRef>
              <c:f>'Tabla Dinámica'!$D$3</c:f>
              <c:strCache>
                <c:ptCount val="1"/>
                <c:pt idx="0">
                  <c:v>TENENCIA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DC-40AC-94EC-0929C2937B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DC-40AC-94EC-0929C2937B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Dinámica'!$C$4:$C$5</c:f>
              <c:strCache>
                <c:ptCount val="2"/>
                <c:pt idx="0">
                  <c:v>Arriendo</c:v>
                </c:pt>
                <c:pt idx="1">
                  <c:v>Propiedad</c:v>
                </c:pt>
              </c:strCache>
            </c:strRef>
          </c:cat>
          <c:val>
            <c:numRef>
              <c:f>'Tabla Dinámica'!$D$4:$D$5</c:f>
              <c:numCache>
                <c:formatCode>0</c:formatCode>
                <c:ptCount val="2"/>
                <c:pt idx="0">
                  <c:v>20.893190543508918</c:v>
                </c:pt>
                <c:pt idx="1">
                  <c:v>79.032394711249026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DC-40AC-94EC-0929C2937B8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5216690857685879E-2"/>
          <c:y val="0.28068401678024457"/>
          <c:w val="0.52930196301847188"/>
          <c:h val="0.59928283490984091"/>
        </c:manualLayout>
      </c:layout>
      <c:pieChart>
        <c:varyColors val="1"/>
        <c:ser>
          <c:idx val="0"/>
          <c:order val="0"/>
          <c:tx>
            <c:strRef>
              <c:f>'Tabla Dinámica'!$E$66</c:f>
              <c:strCache>
                <c:ptCount val="1"/>
                <c:pt idx="0">
                  <c:v>ÁREA POR FUNCIÓN ESPECIFICA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0A-4F57-B574-BC4B85EC3E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0A-4F57-B574-BC4B85EC3E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0A-4F57-B574-BC4B85EC3EF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0A-4F57-B574-BC4B85EC3EF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10A-4F57-B574-BC4B85EC3EF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10A-4F57-B574-BC4B85EC3EFE}"/>
              </c:ext>
            </c:extLst>
          </c:dPt>
          <c:dLbls>
            <c:dLbl>
              <c:idx val="1"/>
              <c:layout>
                <c:manualLayout>
                  <c:x val="7.3596456692913328E-2"/>
                  <c:y val="-7.19677748614756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0A-4F57-B574-BC4B85EC3EFE}"/>
                </c:ext>
              </c:extLst>
            </c:dLbl>
            <c:dLbl>
              <c:idx val="2"/>
              <c:layout>
                <c:manualLayout>
                  <c:x val="0.13237598425196845"/>
                  <c:y val="-0.128896179644211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0A-4F57-B574-BC4B85EC3EFE}"/>
                </c:ext>
              </c:extLst>
            </c:dLbl>
            <c:dLbl>
              <c:idx val="4"/>
              <c:layout>
                <c:manualLayout>
                  <c:x val="0.11393744531933508"/>
                  <c:y val="0.158217045785943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0A-4F57-B574-BC4B85EC3EFE}"/>
                </c:ext>
              </c:extLst>
            </c:dLbl>
            <c:dLbl>
              <c:idx val="5"/>
              <c:layout>
                <c:manualLayout>
                  <c:x val="5.7410542432195927E-2"/>
                  <c:y val="0.1117238990959463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10A-4F57-B574-BC4B85EC3E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Dinámica'!$D$67:$D$72</c:f>
              <c:strCache>
                <c:ptCount val="6"/>
                <c:pt idx="0">
                  <c:v>DOCENCIA</c:v>
                </c:pt>
                <c:pt idx="1">
                  <c:v>Integral</c:v>
                </c:pt>
                <c:pt idx="2">
                  <c:v>INVESTIGACIÓN</c:v>
                </c:pt>
                <c:pt idx="3">
                  <c:v>Procesos de apoyo</c:v>
                </c:pt>
                <c:pt idx="4">
                  <c:v>PROYECCIÓN</c:v>
                </c:pt>
                <c:pt idx="5">
                  <c:v>N/A</c:v>
                </c:pt>
              </c:strCache>
            </c:strRef>
          </c:cat>
          <c:val>
            <c:numRef>
              <c:f>'Tabla Dinámica'!$E$67:$E$72</c:f>
              <c:numCache>
                <c:formatCode>0</c:formatCode>
                <c:ptCount val="6"/>
                <c:pt idx="0">
                  <c:v>16.03942195317266</c:v>
                </c:pt>
                <c:pt idx="1">
                  <c:v>0.97817089007371827</c:v>
                </c:pt>
                <c:pt idx="2">
                  <c:v>0.27288567005855707</c:v>
                </c:pt>
                <c:pt idx="3">
                  <c:v>20.550917371003763</c:v>
                </c:pt>
                <c:pt idx="4">
                  <c:v>0</c:v>
                </c:pt>
                <c:pt idx="5">
                  <c:v>62.084189370449266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0A-4F57-B574-BC4B85EC3EF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68661440776126"/>
          <c:y val="0.35734901844803146"/>
          <c:w val="0.37576591761184996"/>
          <c:h val="0.37071975124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UBICACIÓN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'Tabla Dinámica'!$D$15</c:f>
              <c:strCache>
                <c:ptCount val="1"/>
                <c:pt idx="0">
                  <c:v>UBICACIÓN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4-4C2D-A5DE-C57C042888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4-4C2D-A5DE-C57C042888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4-4C2D-A5DE-C57C042888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4-4C2D-A5DE-C57C0428885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94-4C2D-A5DE-C57C0428885A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94-4C2D-A5DE-C57C0428885A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94-4C2D-A5DE-C57C0428885A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094-4C2D-A5DE-C57C0428885A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094-4C2D-A5DE-C57C0428885A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094-4C2D-A5DE-C57C0428885A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094-4C2D-A5DE-C57C042888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Dinámica'!$C$16:$C$26</c:f>
              <c:strCache>
                <c:ptCount val="11"/>
                <c:pt idx="0">
                  <c:v>Bloque Administrativo</c:v>
                </c:pt>
                <c:pt idx="1">
                  <c:v>Bloque B</c:v>
                </c:pt>
                <c:pt idx="2">
                  <c:v>Bloque C</c:v>
                </c:pt>
                <c:pt idx="3">
                  <c:v>Centro De Conciliación y Consultorios Jurídicos</c:v>
                </c:pt>
                <c:pt idx="4">
                  <c:v>Edificio Holanda</c:v>
                </c:pt>
                <c:pt idx="5">
                  <c:v>Edificio Italia </c:v>
                </c:pt>
                <c:pt idx="6">
                  <c:v>Edificio San Francisco</c:v>
                </c:pt>
                <c:pt idx="7">
                  <c:v>Medio San Damián</c:v>
                </c:pt>
                <c:pt idx="8">
                  <c:v>Otra</c:v>
                </c:pt>
                <c:pt idx="9">
                  <c:v>Sede Santiago</c:v>
                </c:pt>
                <c:pt idx="10">
                  <c:v>Zonas comunes </c:v>
                </c:pt>
              </c:strCache>
            </c:strRef>
          </c:cat>
          <c:val>
            <c:numRef>
              <c:f>'Tabla Dinámica'!$D$16:$D$26</c:f>
              <c:numCache>
                <c:formatCode>0</c:formatCode>
                <c:ptCount val="11"/>
                <c:pt idx="0">
                  <c:v>4.4242788037145591</c:v>
                </c:pt>
                <c:pt idx="1">
                  <c:v>1.4743236816374539</c:v>
                </c:pt>
                <c:pt idx="2">
                  <c:v>0.96441762667060793</c:v>
                </c:pt>
                <c:pt idx="3">
                  <c:v>0</c:v>
                </c:pt>
                <c:pt idx="4">
                  <c:v>3.5466189857807389</c:v>
                </c:pt>
                <c:pt idx="5">
                  <c:v>3.8595656671466161</c:v>
                </c:pt>
                <c:pt idx="6">
                  <c:v>9.3367766622595223</c:v>
                </c:pt>
                <c:pt idx="7">
                  <c:v>0</c:v>
                </c:pt>
                <c:pt idx="8">
                  <c:v>10.491080867009213</c:v>
                </c:pt>
                <c:pt idx="9">
                  <c:v>1.0407907407189452</c:v>
                </c:pt>
                <c:pt idx="10">
                  <c:v>3.282714349296274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94-4C2D-A5DE-C57C042888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06502636625464"/>
          <c:y val="4.8752937970050411E-2"/>
          <c:w val="0.31965539393933579"/>
          <c:h val="0.8963188467347106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ÁREA POR TIPO DE ESPACIO - USO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7705489938757653"/>
          <c:y val="0.10826391501025845"/>
          <c:w val="0.56072287839020118"/>
          <c:h val="0.820271203303728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 Dinámica'!$E$30</c:f>
              <c:strCache>
                <c:ptCount val="1"/>
                <c:pt idx="0">
                  <c:v>ÁREA POR TIPO DE ESPACIO - USO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Dinámica'!$D$31:$D$62</c:f>
              <c:strCache>
                <c:ptCount val="32"/>
                <c:pt idx="0">
                  <c:v>Accesos</c:v>
                </c:pt>
                <c:pt idx="1">
                  <c:v>Auditorios</c:v>
                </c:pt>
                <c:pt idx="2">
                  <c:v>Aulas</c:v>
                </c:pt>
                <c:pt idx="3">
                  <c:v>Biblioteca</c:v>
                </c:pt>
                <c:pt idx="4">
                  <c:v>Bodegas</c:v>
                </c:pt>
                <c:pt idx="5">
                  <c:v>Cafeterías privadas</c:v>
                </c:pt>
                <c:pt idx="6">
                  <c:v>Cafeterías públicas</c:v>
                </c:pt>
                <c:pt idx="7">
                  <c:v>Consultorio Jurídico</c:v>
                </c:pt>
                <c:pt idx="8">
                  <c:v>Consultorios Médicos</c:v>
                </c:pt>
                <c:pt idx="9">
                  <c:v>Consultoríos Médicos</c:v>
                </c:pt>
                <c:pt idx="10">
                  <c:v>Cuartos de servicio</c:v>
                </c:pt>
                <c:pt idx="11">
                  <c:v>Cuartos técnicos</c:v>
                </c:pt>
                <c:pt idx="12">
                  <c:v>Escaleras</c:v>
                </c:pt>
                <c:pt idx="13">
                  <c:v>Espacios de integración</c:v>
                </c:pt>
                <c:pt idx="14">
                  <c:v>Espacios deportivos</c:v>
                </c:pt>
                <c:pt idx="15">
                  <c:v>IPS Psicológica</c:v>
                </c:pt>
                <c:pt idx="16">
                  <c:v>Laboratorios Especializados</c:v>
                </c:pt>
                <c:pt idx="17">
                  <c:v>Malla de circulación</c:v>
                </c:pt>
                <c:pt idx="18">
                  <c:v>MEDIO SAN DAMIAN</c:v>
                </c:pt>
                <c:pt idx="19">
                  <c:v>Módulos</c:v>
                </c:pt>
                <c:pt idx="20">
                  <c:v>Oficinas</c:v>
                </c:pt>
                <c:pt idx="21">
                  <c:v>Parqueaderos</c:v>
                </c:pt>
                <c:pt idx="22">
                  <c:v>Rampas y conectores</c:v>
                </c:pt>
                <c:pt idx="23">
                  <c:v>Sala de espera</c:v>
                </c:pt>
                <c:pt idx="24">
                  <c:v>Salas Cómputo</c:v>
                </c:pt>
                <c:pt idx="25">
                  <c:v>Salas de investigadores</c:v>
                </c:pt>
                <c:pt idx="26">
                  <c:v>Salas de reunión</c:v>
                </c:pt>
                <c:pt idx="27">
                  <c:v>Salas de Tutores (salas de profesores)</c:v>
                </c:pt>
                <c:pt idx="28">
                  <c:v>Salas especializadas y de práctica</c:v>
                </c:pt>
                <c:pt idx="29">
                  <c:v>Servicios sanitarios privados</c:v>
                </c:pt>
                <c:pt idx="30">
                  <c:v>Servicios sanitarios públicos</c:v>
                </c:pt>
                <c:pt idx="31">
                  <c:v>Zonas verdes</c:v>
                </c:pt>
              </c:strCache>
            </c:strRef>
          </c:cat>
          <c:val>
            <c:numRef>
              <c:f>'Tabla Dinámica'!$E$31:$E$62</c:f>
              <c:numCache>
                <c:formatCode>General</c:formatCode>
                <c:ptCount val="32"/>
                <c:pt idx="0">
                  <c:v>292.61</c:v>
                </c:pt>
                <c:pt idx="1">
                  <c:v>2062.89</c:v>
                </c:pt>
                <c:pt idx="2">
                  <c:v>5304.2799999999988</c:v>
                </c:pt>
                <c:pt idx="3">
                  <c:v>791.45999999999992</c:v>
                </c:pt>
                <c:pt idx="4">
                  <c:v>529.17999999999995</c:v>
                </c:pt>
                <c:pt idx="5">
                  <c:v>111.03</c:v>
                </c:pt>
                <c:pt idx="6">
                  <c:v>357.56999999999994</c:v>
                </c:pt>
                <c:pt idx="7">
                  <c:v>492.58000000000004</c:v>
                </c:pt>
                <c:pt idx="8">
                  <c:v>35.520000000000003</c:v>
                </c:pt>
                <c:pt idx="9">
                  <c:v>20.700000000000003</c:v>
                </c:pt>
                <c:pt idx="10">
                  <c:v>37.299999999999997</c:v>
                </c:pt>
                <c:pt idx="11">
                  <c:v>317.17</c:v>
                </c:pt>
                <c:pt idx="12">
                  <c:v>290.68999999999988</c:v>
                </c:pt>
                <c:pt idx="13">
                  <c:v>1060.26</c:v>
                </c:pt>
                <c:pt idx="14">
                  <c:v>11370.810000000001</c:v>
                </c:pt>
                <c:pt idx="15">
                  <c:v>75.069999999999993</c:v>
                </c:pt>
                <c:pt idx="16">
                  <c:v>500.15999999999997</c:v>
                </c:pt>
                <c:pt idx="17">
                  <c:v>6391.6399999999985</c:v>
                </c:pt>
                <c:pt idx="18">
                  <c:v>34955.599999999999</c:v>
                </c:pt>
                <c:pt idx="19">
                  <c:v>164.89</c:v>
                </c:pt>
                <c:pt idx="20">
                  <c:v>2190.8899999999994</c:v>
                </c:pt>
                <c:pt idx="21">
                  <c:v>3228.48</c:v>
                </c:pt>
                <c:pt idx="22">
                  <c:v>33.76</c:v>
                </c:pt>
                <c:pt idx="23">
                  <c:v>49.559999999999995</c:v>
                </c:pt>
                <c:pt idx="24">
                  <c:v>867.40000000000009</c:v>
                </c:pt>
                <c:pt idx="25">
                  <c:v>131.6</c:v>
                </c:pt>
                <c:pt idx="26">
                  <c:v>185.83</c:v>
                </c:pt>
                <c:pt idx="27">
                  <c:v>527.5200000000001</c:v>
                </c:pt>
                <c:pt idx="28">
                  <c:v>155.78</c:v>
                </c:pt>
                <c:pt idx="29">
                  <c:v>67.588000000000022</c:v>
                </c:pt>
                <c:pt idx="30">
                  <c:v>453.37</c:v>
                </c:pt>
                <c:pt idx="31">
                  <c:v>168.59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4-4BC9-81A5-0D59D49E23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87877216"/>
        <c:axId val="-187869056"/>
      </c:barChart>
      <c:catAx>
        <c:axId val="-18787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69056"/>
        <c:crosses val="autoZero"/>
        <c:auto val="1"/>
        <c:lblAlgn val="ctr"/>
        <c:lblOffset val="100"/>
        <c:noMultiLvlLbl val="0"/>
      </c:catAx>
      <c:valAx>
        <c:axId val="-1878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878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1.jpe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image" Target="../media/image1.jpeg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image" Target="../media/image1.jpeg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476064</xdr:colOff>
      <xdr:row>3</xdr:row>
      <xdr:rowOff>140505</xdr:rowOff>
    </xdr:from>
    <xdr:to>
      <xdr:col>4</xdr:col>
      <xdr:colOff>257365</xdr:colOff>
      <xdr:row>19</xdr:row>
      <xdr:rowOff>39503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1840476</xdr:colOff>
      <xdr:row>3</xdr:row>
      <xdr:rowOff>86691</xdr:rowOff>
    </xdr:from>
    <xdr:to>
      <xdr:col>12</xdr:col>
      <xdr:colOff>462152</xdr:colOff>
      <xdr:row>19</xdr:row>
      <xdr:rowOff>19308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455378</xdr:colOff>
      <xdr:row>3</xdr:row>
      <xdr:rowOff>95682</xdr:rowOff>
    </xdr:from>
    <xdr:to>
      <xdr:col>7</xdr:col>
      <xdr:colOff>1720902</xdr:colOff>
      <xdr:row>19</xdr:row>
      <xdr:rowOff>39503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1982704</xdr:colOff>
      <xdr:row>3</xdr:row>
      <xdr:rowOff>74747</xdr:rowOff>
    </xdr:from>
    <xdr:to>
      <xdr:col>9</xdr:col>
      <xdr:colOff>1562421</xdr:colOff>
      <xdr:row>19</xdr:row>
      <xdr:rowOff>20810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586153</xdr:colOff>
      <xdr:row>0</xdr:row>
      <xdr:rowOff>73269</xdr:rowOff>
    </xdr:from>
    <xdr:to>
      <xdr:col>2</xdr:col>
      <xdr:colOff>424063</xdr:colOff>
      <xdr:row>3</xdr:row>
      <xdr:rowOff>143866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753" y="73269"/>
          <a:ext cx="952335" cy="8706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476064</xdr:colOff>
      <xdr:row>3</xdr:row>
      <xdr:rowOff>140505</xdr:rowOff>
    </xdr:from>
    <xdr:to>
      <xdr:col>4</xdr:col>
      <xdr:colOff>257365</xdr:colOff>
      <xdr:row>19</xdr:row>
      <xdr:rowOff>39503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1840476</xdr:colOff>
      <xdr:row>3</xdr:row>
      <xdr:rowOff>86691</xdr:rowOff>
    </xdr:from>
    <xdr:to>
      <xdr:col>12</xdr:col>
      <xdr:colOff>462152</xdr:colOff>
      <xdr:row>19</xdr:row>
      <xdr:rowOff>19308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455378</xdr:colOff>
      <xdr:row>3</xdr:row>
      <xdr:rowOff>95682</xdr:rowOff>
    </xdr:from>
    <xdr:to>
      <xdr:col>7</xdr:col>
      <xdr:colOff>1720902</xdr:colOff>
      <xdr:row>19</xdr:row>
      <xdr:rowOff>39503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1982704</xdr:colOff>
      <xdr:row>3</xdr:row>
      <xdr:rowOff>74747</xdr:rowOff>
    </xdr:from>
    <xdr:to>
      <xdr:col>9</xdr:col>
      <xdr:colOff>1562421</xdr:colOff>
      <xdr:row>19</xdr:row>
      <xdr:rowOff>20810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586153</xdr:colOff>
      <xdr:row>0</xdr:row>
      <xdr:rowOff>73269</xdr:rowOff>
    </xdr:from>
    <xdr:to>
      <xdr:col>1</xdr:col>
      <xdr:colOff>1541952</xdr:colOff>
      <xdr:row>2</xdr:row>
      <xdr:rowOff>315316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753" y="73269"/>
          <a:ext cx="955799" cy="8706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476064</xdr:colOff>
      <xdr:row>3</xdr:row>
      <xdr:rowOff>140505</xdr:rowOff>
    </xdr:from>
    <xdr:to>
      <xdr:col>4</xdr:col>
      <xdr:colOff>257365</xdr:colOff>
      <xdr:row>19</xdr:row>
      <xdr:rowOff>39503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1840476</xdr:colOff>
      <xdr:row>3</xdr:row>
      <xdr:rowOff>86691</xdr:rowOff>
    </xdr:from>
    <xdr:to>
      <xdr:col>12</xdr:col>
      <xdr:colOff>462152</xdr:colOff>
      <xdr:row>19</xdr:row>
      <xdr:rowOff>19308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455378</xdr:colOff>
      <xdr:row>3</xdr:row>
      <xdr:rowOff>95682</xdr:rowOff>
    </xdr:from>
    <xdr:to>
      <xdr:col>7</xdr:col>
      <xdr:colOff>1720902</xdr:colOff>
      <xdr:row>19</xdr:row>
      <xdr:rowOff>39503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1982704</xdr:colOff>
      <xdr:row>3</xdr:row>
      <xdr:rowOff>74747</xdr:rowOff>
    </xdr:from>
    <xdr:to>
      <xdr:col>9</xdr:col>
      <xdr:colOff>1562421</xdr:colOff>
      <xdr:row>19</xdr:row>
      <xdr:rowOff>20810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586153</xdr:colOff>
      <xdr:row>0</xdr:row>
      <xdr:rowOff>73269</xdr:rowOff>
    </xdr:from>
    <xdr:to>
      <xdr:col>1</xdr:col>
      <xdr:colOff>1541952</xdr:colOff>
      <xdr:row>2</xdr:row>
      <xdr:rowOff>315316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753" y="73269"/>
          <a:ext cx="955799" cy="8706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476064</xdr:colOff>
      <xdr:row>3</xdr:row>
      <xdr:rowOff>140505</xdr:rowOff>
    </xdr:from>
    <xdr:to>
      <xdr:col>4</xdr:col>
      <xdr:colOff>257365</xdr:colOff>
      <xdr:row>19</xdr:row>
      <xdr:rowOff>39503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1840476</xdr:colOff>
      <xdr:row>3</xdr:row>
      <xdr:rowOff>86691</xdr:rowOff>
    </xdr:from>
    <xdr:to>
      <xdr:col>12</xdr:col>
      <xdr:colOff>462152</xdr:colOff>
      <xdr:row>19</xdr:row>
      <xdr:rowOff>19308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455378</xdr:colOff>
      <xdr:row>3</xdr:row>
      <xdr:rowOff>95682</xdr:rowOff>
    </xdr:from>
    <xdr:to>
      <xdr:col>7</xdr:col>
      <xdr:colOff>1720902</xdr:colOff>
      <xdr:row>19</xdr:row>
      <xdr:rowOff>39503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1982704</xdr:colOff>
      <xdr:row>3</xdr:row>
      <xdr:rowOff>74747</xdr:rowOff>
    </xdr:from>
    <xdr:to>
      <xdr:col>9</xdr:col>
      <xdr:colOff>1562421</xdr:colOff>
      <xdr:row>19</xdr:row>
      <xdr:rowOff>20810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586153</xdr:colOff>
      <xdr:row>0</xdr:row>
      <xdr:rowOff>73269</xdr:rowOff>
    </xdr:from>
    <xdr:to>
      <xdr:col>1</xdr:col>
      <xdr:colOff>1541952</xdr:colOff>
      <xdr:row>2</xdr:row>
      <xdr:rowOff>315316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753" y="73269"/>
          <a:ext cx="955799" cy="8706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Planeacion%20y%20Calidad%20e%20Informes/Tabla%20Estadistica%20deI%20nfraestructuraFisica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ec%20Planeacion\Downloads\Tabla%20Estadistica%20Infraestructura%202022%20ok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_ Infra_ Física"/>
      <sheetName val="Tabla Dinámica"/>
      <sheetName val="AnexoCondIniciales"/>
      <sheetName val="Hoja2"/>
    </sheetNames>
    <sheetDataSet>
      <sheetData sheetId="0"/>
      <sheetData sheetId="1"/>
      <sheetData sheetId="2"/>
      <sheetData sheetId="3">
        <row r="4">
          <cell r="P4" t="str">
            <v>Si</v>
          </cell>
        </row>
        <row r="5">
          <cell r="P5" t="str">
            <v>No</v>
          </cell>
        </row>
        <row r="6">
          <cell r="P6" t="str">
            <v>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3"/>
      <sheetName val="Tabla_ Infra_ Física"/>
      <sheetName val="SEDE CENTRAL"/>
      <sheetName val="SEDE SANTIAGO"/>
      <sheetName val="S.computo"/>
      <sheetName val="Aula clase"/>
      <sheetName val="Hoja9"/>
      <sheetName val="MUSD"/>
      <sheetName val="Hoja10"/>
      <sheetName val="Tabla Dinámica"/>
      <sheetName val="AnexoCondIniciales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D3" t="str">
            <v xml:space="preserve">TENENCIA </v>
          </cell>
        </row>
        <row r="4">
          <cell r="C4" t="str">
            <v>Arriendo</v>
          </cell>
          <cell r="D4">
            <v>20.893190543508918</v>
          </cell>
        </row>
        <row r="5">
          <cell r="C5" t="str">
            <v>Propiedad</v>
          </cell>
          <cell r="D5">
            <v>79.032394711249026</v>
          </cell>
        </row>
        <row r="15">
          <cell r="D15" t="str">
            <v>UBICACIÓN</v>
          </cell>
        </row>
        <row r="16">
          <cell r="C16" t="str">
            <v>Bloque Administrativo</v>
          </cell>
          <cell r="D16">
            <v>4.4242788037145591</v>
          </cell>
        </row>
        <row r="17">
          <cell r="C17" t="str">
            <v>Bloque B</v>
          </cell>
          <cell r="D17">
            <v>1.4743236816374539</v>
          </cell>
        </row>
        <row r="18">
          <cell r="C18" t="str">
            <v>Bloque C</v>
          </cell>
          <cell r="D18">
            <v>0.96441762667060793</v>
          </cell>
        </row>
        <row r="19">
          <cell r="C19" t="str">
            <v>Centro De Conciliación y Consultorios Jurídicos</v>
          </cell>
          <cell r="D19" t="e">
            <v>#REF!</v>
          </cell>
        </row>
        <row r="20">
          <cell r="C20" t="str">
            <v>Edificio Holanda</v>
          </cell>
          <cell r="D20">
            <v>3.5466189857807389</v>
          </cell>
        </row>
        <row r="21">
          <cell r="C21" t="str">
            <v xml:space="preserve">Edificio Italia </v>
          </cell>
          <cell r="D21">
            <v>3.8595656671466161</v>
          </cell>
        </row>
        <row r="22">
          <cell r="C22" t="str">
            <v>Edificio San Francisco</v>
          </cell>
          <cell r="D22">
            <v>9.3367766622595223</v>
          </cell>
        </row>
        <row r="23">
          <cell r="C23" t="str">
            <v>Medio San Damián</v>
          </cell>
          <cell r="D23" t="e">
            <v>#REF!</v>
          </cell>
        </row>
        <row r="24">
          <cell r="C24" t="str">
            <v>Otra</v>
          </cell>
          <cell r="D24">
            <v>10.491080867009213</v>
          </cell>
        </row>
        <row r="25">
          <cell r="C25" t="str">
            <v>Sede Santiago</v>
          </cell>
          <cell r="D25">
            <v>1.0407907407189452</v>
          </cell>
        </row>
        <row r="26">
          <cell r="C26" t="str">
            <v xml:space="preserve">Zonas comunes </v>
          </cell>
          <cell r="D26">
            <v>3.282714349296274</v>
          </cell>
        </row>
        <row r="30">
          <cell r="E30" t="str">
            <v>ÁREA POR TIPO DE ESPACIO - USO</v>
          </cell>
        </row>
        <row r="31">
          <cell r="D31" t="str">
            <v>Accesos</v>
          </cell>
          <cell r="E31">
            <v>292.61</v>
          </cell>
        </row>
        <row r="32">
          <cell r="D32" t="str">
            <v>Auditorios</v>
          </cell>
          <cell r="E32">
            <v>2062.89</v>
          </cell>
        </row>
        <row r="33">
          <cell r="D33" t="str">
            <v>Aulas</v>
          </cell>
          <cell r="E33">
            <v>5304.2799999999988</v>
          </cell>
        </row>
        <row r="34">
          <cell r="D34" t="str">
            <v>Biblioteca</v>
          </cell>
          <cell r="E34">
            <v>791.45999999999992</v>
          </cell>
        </row>
        <row r="35">
          <cell r="D35" t="str">
            <v>Bodegas</v>
          </cell>
          <cell r="E35">
            <v>529.17999999999995</v>
          </cell>
        </row>
        <row r="36">
          <cell r="D36" t="str">
            <v>Cafeterías privadas</v>
          </cell>
          <cell r="E36">
            <v>111.03</v>
          </cell>
        </row>
        <row r="37">
          <cell r="D37" t="str">
            <v>Cafeterías públicas</v>
          </cell>
          <cell r="E37">
            <v>357.56999999999994</v>
          </cell>
        </row>
        <row r="38">
          <cell r="D38" t="str">
            <v>Consultorio Jurídico</v>
          </cell>
          <cell r="E38">
            <v>492.58000000000004</v>
          </cell>
        </row>
        <row r="39">
          <cell r="D39" t="str">
            <v>Consultorios Médicos</v>
          </cell>
          <cell r="E39">
            <v>35.520000000000003</v>
          </cell>
        </row>
        <row r="40">
          <cell r="D40" t="str">
            <v>Consultoríos Médicos</v>
          </cell>
          <cell r="E40">
            <v>20.700000000000003</v>
          </cell>
        </row>
        <row r="41">
          <cell r="D41" t="str">
            <v>Cuartos de servicio</v>
          </cell>
          <cell r="E41">
            <v>37.299999999999997</v>
          </cell>
        </row>
        <row r="42">
          <cell r="D42" t="str">
            <v>Cuartos técnicos</v>
          </cell>
          <cell r="E42">
            <v>317.17</v>
          </cell>
        </row>
        <row r="43">
          <cell r="D43" t="str">
            <v>Escaleras</v>
          </cell>
          <cell r="E43">
            <v>290.68999999999988</v>
          </cell>
        </row>
        <row r="44">
          <cell r="D44" t="str">
            <v>Espacios de integración</v>
          </cell>
          <cell r="E44">
            <v>1060.26</v>
          </cell>
        </row>
        <row r="45">
          <cell r="D45" t="str">
            <v>Espacios deportivos</v>
          </cell>
          <cell r="E45">
            <v>11370.810000000001</v>
          </cell>
        </row>
        <row r="46">
          <cell r="D46" t="str">
            <v>IPS Psicológica</v>
          </cell>
          <cell r="E46">
            <v>75.069999999999993</v>
          </cell>
        </row>
        <row r="47">
          <cell r="D47" t="str">
            <v>Laboratorios Especializados</v>
          </cell>
          <cell r="E47">
            <v>500.15999999999997</v>
          </cell>
        </row>
        <row r="48">
          <cell r="D48" t="str">
            <v>Malla de circulación</v>
          </cell>
          <cell r="E48">
            <v>6391.6399999999985</v>
          </cell>
        </row>
        <row r="49">
          <cell r="D49" t="str">
            <v>MEDIO SAN DAMIAN</v>
          </cell>
          <cell r="E49">
            <v>34955.599999999999</v>
          </cell>
        </row>
        <row r="50">
          <cell r="D50" t="str">
            <v>Módulos</v>
          </cell>
          <cell r="E50">
            <v>164.89</v>
          </cell>
        </row>
        <row r="51">
          <cell r="D51" t="str">
            <v>Oficinas</v>
          </cell>
          <cell r="E51">
            <v>2190.8899999999994</v>
          </cell>
        </row>
        <row r="52">
          <cell r="D52" t="str">
            <v>Parqueaderos</v>
          </cell>
          <cell r="E52">
            <v>3228.48</v>
          </cell>
        </row>
        <row r="53">
          <cell r="D53" t="str">
            <v>Rampas y conectores</v>
          </cell>
          <cell r="E53">
            <v>33.76</v>
          </cell>
        </row>
        <row r="54">
          <cell r="D54" t="str">
            <v>Sala de espera</v>
          </cell>
          <cell r="E54">
            <v>49.559999999999995</v>
          </cell>
        </row>
        <row r="55">
          <cell r="D55" t="str">
            <v>Salas Cómputo</v>
          </cell>
          <cell r="E55">
            <v>867.40000000000009</v>
          </cell>
        </row>
        <row r="56">
          <cell r="D56" t="str">
            <v>Salas de investigadores</v>
          </cell>
          <cell r="E56">
            <v>131.6</v>
          </cell>
        </row>
        <row r="57">
          <cell r="D57" t="str">
            <v>Salas de reunión</v>
          </cell>
          <cell r="E57">
            <v>185.83</v>
          </cell>
        </row>
        <row r="58">
          <cell r="D58" t="str">
            <v>Salas de Tutores (salas de profesores)</v>
          </cell>
          <cell r="E58">
            <v>527.5200000000001</v>
          </cell>
        </row>
        <row r="59">
          <cell r="D59" t="str">
            <v>Salas especializadas y de práctica</v>
          </cell>
          <cell r="E59">
            <v>155.78</v>
          </cell>
        </row>
        <row r="60">
          <cell r="D60" t="str">
            <v>Servicios sanitarios privados</v>
          </cell>
          <cell r="E60">
            <v>67.588000000000022</v>
          </cell>
        </row>
        <row r="61">
          <cell r="D61" t="str">
            <v>Servicios sanitarios públicos</v>
          </cell>
          <cell r="E61">
            <v>453.37</v>
          </cell>
        </row>
        <row r="62">
          <cell r="D62" t="str">
            <v>Zonas verdes</v>
          </cell>
          <cell r="E62">
            <v>168.59</v>
          </cell>
        </row>
        <row r="66">
          <cell r="E66" t="str">
            <v xml:space="preserve">ÁREA POR FUNCIÓN ESPECIFICA </v>
          </cell>
        </row>
        <row r="67">
          <cell r="D67" t="str">
            <v>DOCENCIA</v>
          </cell>
          <cell r="E67">
            <v>16.03942195317266</v>
          </cell>
        </row>
        <row r="68">
          <cell r="D68" t="str">
            <v>Integral</v>
          </cell>
          <cell r="E68">
            <v>0.97817089007371827</v>
          </cell>
        </row>
        <row r="69">
          <cell r="D69" t="str">
            <v>INVESTIGACIÓN</v>
          </cell>
          <cell r="E69">
            <v>0.27288567005855707</v>
          </cell>
        </row>
        <row r="70">
          <cell r="D70" t="str">
            <v>Procesos de apoyo</v>
          </cell>
          <cell r="E70">
            <v>20.550917371003763</v>
          </cell>
        </row>
        <row r="71">
          <cell r="D71" t="str">
            <v>PROYECCIÓN</v>
          </cell>
          <cell r="E71" t="e">
            <v>#REF!</v>
          </cell>
        </row>
        <row r="72">
          <cell r="D72" t="str">
            <v>N/A</v>
          </cell>
          <cell r="E72">
            <v>62.084189370449266</v>
          </cell>
        </row>
      </sheetData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nta Fisica" refreshedDate="44820.668842708335" createdVersion="5" refreshedVersion="6" minRefreshableVersion="3" recordCount="770" xr:uid="{00000000-000A-0000-FFFF-FFFF00000000}">
  <cacheSource type="worksheet">
    <worksheetSource name="Tabla2"/>
  </cacheSource>
  <cacheFields count="14">
    <cacheField name="COMPONENTE" numFmtId="0">
      <sharedItems containsBlank="1"/>
    </cacheField>
    <cacheField name="TIPO DE ÁREA" numFmtId="0">
      <sharedItems containsBlank="1" count="3">
        <s v="CONSTRUIDA"/>
        <m/>
        <s v="NO CONSTRUIDA" u="1"/>
      </sharedItems>
    </cacheField>
    <cacheField name="TENENCIA" numFmtId="0">
      <sharedItems containsBlank="1" count="3">
        <s v="Arriendo"/>
        <m/>
        <s v="Propiedad"/>
      </sharedItems>
    </cacheField>
    <cacheField name="UBICACIÓN" numFmtId="0">
      <sharedItems containsBlank="1" count="13">
        <s v="Bloque Administrativo"/>
        <m/>
        <s v="Bloque B"/>
        <s v="Bloque C"/>
        <s v="Edificio Holanda"/>
        <s v="Edificio Italia "/>
        <s v="Edificio San Francisco"/>
        <s v="Otra"/>
        <s v="Zonas comunes "/>
        <s v="Sede Santiago"/>
        <s v="Medio San Damian "/>
        <s v="Centro De Conciliación y Consultorios Jurídicos" u="1"/>
        <s v="Medio San Damián" u="1"/>
      </sharedItems>
    </cacheField>
    <cacheField name="Nomenclatura" numFmtId="0">
      <sharedItems containsBlank="1" containsMixedTypes="1" containsNumber="1" containsInteger="1" minValue="100" maxValue="616"/>
    </cacheField>
    <cacheField name="PISO No." numFmtId="0">
      <sharedItems containsBlank="1" containsMixedTypes="1" containsNumber="1" containsInteger="1" minValue="1" maxValue="6"/>
    </cacheField>
    <cacheField name="TIPO DE ESPACIO" numFmtId="0">
      <sharedItems containsBlank="1" count="34">
        <s v="Oficinas"/>
        <s v="Salas de reunión"/>
        <s v="Servicios sanitarios privados"/>
        <s v="Cafeterías privadas"/>
        <s v="Cuartos técnicos"/>
        <s v="Módulos"/>
        <s v="Malla de circulación"/>
        <s v="Accesos"/>
        <s v="Consultorios Médicos"/>
        <s v="Sala de espera"/>
        <s v="Servicios sanitarios públicos"/>
        <s v="Cuartos de servicio"/>
        <s v="Bodegas"/>
        <s v="Parqueaderos"/>
        <s v="Aulas"/>
        <m/>
        <s v="Salas de Tutores (salas de profesores)"/>
        <s v="Salas Cómputo"/>
        <s v="Espacios de integración"/>
        <s v="Laboratorios Especializados"/>
        <s v="Auditorios"/>
        <s v="Escaleras"/>
        <s v="IPS Psicológica"/>
        <s v="Cafeterías públicas"/>
        <s v="Biblioteca"/>
        <s v="Salas de investigadores"/>
        <s v="Consultorios"/>
        <s v="Salas especializadas y de práctica"/>
        <s v="Rampas y conectores"/>
        <s v="Espacios deportivos"/>
        <s v="Zonas verdes"/>
        <s v="Consultoríos Médicos" u="1"/>
        <s v="Consultorio Jurídico" u="1"/>
        <s v="MEDIO SAN DAMIAN" u="1"/>
      </sharedItems>
    </cacheField>
    <cacheField name="ASIGNACIÓN" numFmtId="0">
      <sharedItems containsBlank="1"/>
    </cacheField>
    <cacheField name="DESCRIPCION" numFmtId="0">
      <sharedItems containsBlank="1" containsMixedTypes="1" containsNumber="1" containsInteger="1" minValue="9" maxValue="9"/>
    </cacheField>
    <cacheField name="Función Específica" numFmtId="0">
      <sharedItems containsBlank="1" count="7">
        <s v="Procesos de apoyo"/>
        <s v="Integral"/>
        <s v="N/A"/>
        <s v="INVESTIGACIÓN"/>
        <s v="DOCENCIA"/>
        <m/>
        <s v="PROYECCIÓN" u="1"/>
      </sharedItems>
    </cacheField>
    <cacheField name="CAPACIDAD FÍSICA" numFmtId="1">
      <sharedItems containsString="0" containsBlank="1" containsNumber="1" containsInteger="1" minValue="0" maxValue="1500"/>
    </cacheField>
    <cacheField name="ÁREA (Metros2)" numFmtId="0">
      <sharedItems containsString="0" containsBlank="1" containsNumber="1" minValue="1.06" maxValue="15321.29"/>
    </cacheField>
    <cacheField name="Fecha Actualización" numFmtId="0">
      <sharedItems containsDate="1" containsBlank="1" containsMixedTypes="1" minDate="2021-07-14T00:00:00" maxDate="2022-06-08T00:00:00"/>
    </cacheField>
    <cacheField name="Acceso Autónomo" numFmtId="0">
      <sharedItems containsBlank="1" count="3">
        <s v="Si"/>
        <m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nta Fisica" refreshedDate="44832.830251967593" createdVersion="6" refreshedVersion="6" minRefreshableVersion="3" recordCount="772" xr:uid="{00000000-000A-0000-FFFF-FFFF01000000}">
  <cacheSource type="worksheet">
    <worksheetSource name="Tabla2[[TIPO DE ÁREA]:[Acceso Autónomo]]"/>
  </cacheSource>
  <cacheFields count="13">
    <cacheField name="TIPO DE ÁREA" numFmtId="0">
      <sharedItems containsBlank="1"/>
    </cacheField>
    <cacheField name="TENENCIA" numFmtId="0">
      <sharedItems containsBlank="1"/>
    </cacheField>
    <cacheField name="UBICACIÓN" numFmtId="0">
      <sharedItems containsBlank="1" count="12">
        <s v="Bloque Administrativo"/>
        <m/>
        <s v="Bloque B"/>
        <s v="Bloque C"/>
        <s v="Edificio Holanda"/>
        <s v="Edificio Italia "/>
        <s v="Edificio San Francisco"/>
        <s v="Otra"/>
        <s v="Zonas comunes "/>
        <s v="Sede Santiago"/>
        <s v="Medio San Damian "/>
        <s v="Centro De Conciliación y Consultorios Jurídicos" u="1"/>
      </sharedItems>
    </cacheField>
    <cacheField name="Nomenclatura" numFmtId="0">
      <sharedItems containsBlank="1" containsMixedTypes="1" containsNumber="1" containsInteger="1" minValue="100" maxValue="616"/>
    </cacheField>
    <cacheField name="PISO No." numFmtId="0">
      <sharedItems containsBlank="1" containsMixedTypes="1" containsNumber="1" containsInteger="1" minValue="1" maxValue="6"/>
    </cacheField>
    <cacheField name="TIPO DE ESPACIO" numFmtId="0">
      <sharedItems containsBlank="1" count="32">
        <s v="Oficinas"/>
        <s v="Salas de reunión"/>
        <s v="Servicios sanitarios privados"/>
        <s v="Cafeterías privadas"/>
        <s v="Cuartos técnicos"/>
        <s v="Módulos"/>
        <s v="Malla de circulación"/>
        <s v="Accesos"/>
        <s v="Consultorios Médicos"/>
        <s v="Sala de espera"/>
        <s v="Servicios sanitarios públicos"/>
        <s v="Cuartos de servicio"/>
        <s v="Bodegas"/>
        <s v="Parqueaderos"/>
        <s v="Aulas"/>
        <s v="Salas Cómputo"/>
        <s v="Espacios de integración"/>
        <s v="Laboratorios Especializados"/>
        <s v="Biblioteca"/>
        <s v="Auditorios"/>
        <s v="Escaleras"/>
        <s v="IPS Psicológica"/>
        <s v="Cafeterías públicas"/>
        <s v="Salas de Tutores (salas de profesores)"/>
        <s v="Salas de investigadores"/>
        <s v="Consultorios"/>
        <s v="Salas especializadas y de práctica"/>
        <m/>
        <s v="Rampas y conectores"/>
        <s v="Espacios deportivos"/>
        <s v="Zonas verdes"/>
        <s v="Consultorio Jurídico" u="1"/>
      </sharedItems>
    </cacheField>
    <cacheField name="ASIGNACIÓN" numFmtId="0">
      <sharedItems containsBlank="1" count="51">
        <s v="Secretaría General "/>
        <s v="Rectoría"/>
        <s v="Contabilidad"/>
        <s v="Vicerrectoría de Investigaciones"/>
        <s v="Vicerrectoría Administrativa Financiera "/>
        <s v="Dirección de Planeación"/>
        <s v="Coordinación de Redes y Comunicaciones "/>
        <s v="Tesorería Pagaduría"/>
        <s v="Jefatura de Gestión Humana"/>
        <s v="AEMG"/>
        <s v="Jefatura de Compras y Suministros "/>
        <s v="Jefatura de sistemas e Internet"/>
        <s v="Centro de Recursos Educativos "/>
        <s v="Consultorios_x000a_ Jurídicos y Centro_x000a_ de Conciliación_x000a_"/>
        <s v="Coordinación de Planta Física y Mantenimiento "/>
        <s v="Vicerrectoría de Bienestar Universitario "/>
        <s v="Jefatura de Desarrollo de Software"/>
        <s v="Unidad de Servicios Psicológicos "/>
        <s v="Biblioteca"/>
        <s v="Decanatura Ciencias Adminstrativas y Contables"/>
        <s v="Programa de Contaduría Pública"/>
        <s v="Programa de Administración de Empresas"/>
        <s v="Coordinación Internacionalización "/>
        <s v="Coordinación Egresados "/>
        <s v="Dirección de Posgrados "/>
        <s v="Departamento de Ciencias Básicas"/>
        <s v="Recreación y Deporte "/>
        <s v="Jefatura de Espiritualidad Franciscana "/>
        <s v="Decanatura de Arquitectura y Bellas Artes"/>
        <s v="Programa de Arquitectura"/>
        <s v="Programa de Ingeniería de Sistemas"/>
        <m/>
        <s v="Jefatura Administriva de Proyectos "/>
        <s v="Jefatura de Comunicaciones Publicidad y Mercadeo "/>
        <s v="Programa de Psicología"/>
        <s v="Programa de Derecho"/>
        <s v="Decanatura Ciencias Humanas y Sociales"/>
        <s v="Programa de Ingeniería Electrónica"/>
        <s v="Jefatura de Seguridad y Salud en Trabajo "/>
        <s v="Vicerrectoría Académica"/>
        <s v="Coordinación de Proyección Social"/>
        <s v="Centro de Estimulación Infantil"/>
        <s v="N/A"/>
        <s v="Jefatura de crédito y Cartera"/>
        <s v="Unidad de Acompañamiento Integral al Estudiante "/>
        <s v="Inclusión y diversidad "/>
        <s v="Programa de Diseño Gráfico"/>
        <s v="Decanatura Facultad de Ingenierías" u="1"/>
        <s v="Programa de Educación Física" u="1"/>
        <s v="Decanatura Facultad de Educación" u="1"/>
        <s v="Programa de Educación Infantil" u="1"/>
      </sharedItems>
    </cacheField>
    <cacheField name="DESCRIPCION" numFmtId="0">
      <sharedItems containsMixedTypes="1" containsNumber="1" containsInteger="1" minValue="9" maxValue="9" count="557">
        <s v="OficinaPrincipal Secretaría General, Coordinador, auxiliares "/>
        <s v="Oficinaprincipal Rectoría y secretaría"/>
        <s v="Sala de Juntas Anselmo Caradona"/>
        <s v="Baño privado"/>
        <s v="OficinaPrincipal, secretaría, técnicos y prácticantes "/>
        <s v="OficinaPrincipal, secretaría, coordinador"/>
        <s v="OficinaPrincipal, secretario, coordinador"/>
        <s v="OficinaPrincipal Sistema Aseguramiento de la calidad"/>
        <n v="9"/>
        <s v="Cuarto técnico (UPS - Bodega)"/>
        <s v="Cafetería Funcionarios"/>
        <s v="OficinaDirector, secretaría, técnicos y auxiliar"/>
        <s v="Cuarto técnico Servidor "/>
        <s v="Módulo de Caja"/>
        <s v="Sala de Juntas San Damián (AEMG)"/>
        <s v="Baños Funcionarios Damas"/>
        <s v="Baños Funcionarios Caballeros"/>
        <s v="Pasillos"/>
        <s v="Hall Acceso"/>
        <s v="Recepción"/>
        <s v="Consultorío Médico"/>
        <s v="Archivo Unidad de Salud "/>
        <s v="Procedimientos minimos "/>
        <s v="Sala de espera"/>
        <s v="Baño mujeres"/>
        <s v="Baño hombres"/>
        <s v="Baño personas con movilidad reducida"/>
        <s v="Baño hombres personal admimistrativo"/>
        <s v="Baño mujeres personal admimistrativo"/>
        <s v="Cuarto de aseo"/>
        <s v="Consultorío Odontológico"/>
        <s v="Bodega en archivo central "/>
        <s v="Archivo Central"/>
        <s v="Enferemería"/>
        <s v="Bodega Almacén "/>
        <s v="Parqueadero y rampa ingreso principal "/>
        <s v="Oficina Departamento Jurídico "/>
        <s v="Monitoría"/>
        <s v="Aula de Clases"/>
        <s v="Centro de concilación"/>
        <s v="Sala virtual"/>
        <s v="sala de audencias"/>
        <s v="Oficina DIAN"/>
        <s v="Asistencia a usuarios"/>
        <s v="Cuarto Técnico de redes y comunicacion "/>
        <s v="OficinaDirector y secretario consultorios "/>
        <s v="Baño PMR y mixtado"/>
        <s v="Secretaria Administriva (Sala de espera)"/>
        <s v="Archivo"/>
        <s v="Coordinación de practica"/>
        <s v="Sala de Sistemas No.4"/>
        <s v="derecho laboral"/>
        <s v="derecho civil"/>
        <s v="Oratorio"/>
        <s v="Gradas acceso 1"/>
        <s v="Laboratorio de Mantenimiento vacío "/>
        <s v="Laboratorio de Redes "/>
        <s v="Laboratorio de Circuítos"/>
        <s v="Baños Públicos Caballeros"/>
        <s v="Baños Públicos Damas"/>
        <s v="Baños personal Administrativo Mixto"/>
        <s v="Cuarto técnico"/>
        <s v="Derecho publico"/>
        <s v="Derecho penal"/>
        <s v="Biblioteca"/>
        <s v="Derecho de familia"/>
        <s v="Cord deporte universitario"/>
        <s v="Sala de musica"/>
        <s v="Sala de Sistemas No.8"/>
        <s v="OficinaMantenimiento y Planta física"/>
        <s v="OficinaJefatura, técnico y auxiliar"/>
        <s v="OficinaJefatura, secretaría, auxiliar"/>
        <s v="Salón de Música"/>
        <s v="UPS"/>
        <s v="Instrumento músical"/>
        <s v="Sala de Teatro y música "/>
        <s v="Auditorio Santa Clara"/>
        <s v="Archivo secretaría General "/>
        <s v="Baños Mixto"/>
        <s v="Baños Damas teatro y música  "/>
        <s v="Baños Hombres teatro  y música"/>
        <s v="Gradas acceso"/>
        <s v="Baños públicos hombre Auditorio Santa Clara "/>
        <s v="Baños públicos mujeres Auditorio Santa Clara"/>
        <s v="Hall Acceso Auditorio Santa Clara "/>
        <s v="Residuos Biológicos "/>
        <s v="Bodega Auditorio Santa Clara"/>
        <s v="Archivo - unidad de archivo y correspondencia "/>
        <s v="Archivo Cental - Oficina técnicos y auxiliar "/>
        <s v="Proceso de archivo"/>
        <s v="Unidad de servicios psicologicos coordinación y secretaría "/>
        <s v="Consultorío 1 USP"/>
        <s v="Consultorío 2 USP"/>
        <s v="Consultorío 3 USP"/>
        <s v="Consultorío 4 USP"/>
        <s v="Consultorío 5 USP"/>
        <s v="Consultorío 6 USP"/>
        <s v="Cuarto tecnico"/>
        <s v="Deposito de residuos"/>
        <s v="hall de circulacion"/>
        <s v="Cuarto técnico "/>
        <s v="Cafetería Pública"/>
        <s v="Biblioteca - Casilleros "/>
        <s v="Prestamo y devolucion "/>
        <s v="Estanteria"/>
        <s v="Fotocopiadora Pública"/>
        <s v="Depositos"/>
        <s v="Direccion"/>
        <s v="Sistemas"/>
        <s v="Procesos tecnicos"/>
        <s v="Secretaria vicerrector"/>
        <s v="Vicerrectoria evangelizacion de las culturas"/>
        <s v="Sala general"/>
        <s v="Biblioteca - Pasillos "/>
        <s v="Sala de reserva"/>
        <s v="Consulta informatica"/>
        <s v="Area documentos tesis"/>
        <s v="Hemeroteca"/>
        <s v="Escaleras - Acceso segundo piso"/>
        <s v="Lectura Libre - Area de muebles"/>
        <s v="BañoS OficinaHombres 1ER PISO"/>
        <s v="Baño OficinaMujeres 1ER PISO"/>
        <s v="Baño hombres 1ER PISO"/>
        <s v="Baño mujeres 1ER PISO "/>
        <s v="Baño para movilidad reducida x2"/>
        <s v="Pasillos exterior primer piso "/>
        <s v="Pasillos interior primer piso "/>
        <s v="Gradas acceso primer piso"/>
        <s v="Aula de clases video beam instalado"/>
        <s v="Sala de docentes  TC Administración y Contaduría "/>
        <s v="Sala de semilleros de investigacion y editorial "/>
        <s v="Sala de Creditos"/>
        <s v="Oficina Secretaría de programa "/>
        <s v="Oficina Dirección de programa "/>
        <s v="Oficina Dirección e programa "/>
        <s v="Sala de Juntas (Bellina)"/>
        <s v="Sala de espera 2 do piso"/>
        <s v="Multicopias CREE"/>
        <s v="Oficina Secretaría CRE"/>
        <s v="Oficina Direccion CRE"/>
        <s v="Bodega Direccion CRE"/>
        <s v="Oficina Auxiliares CRE"/>
        <s v="Deposito material  audivisual"/>
        <s v="Centro de idiomas"/>
        <s v="Sala de docentes idiomas"/>
        <s v="Direccion departamento de Idiomas"/>
        <s v="Oficina Relaciones interuniversitarias "/>
        <s v="Coordinacion e internacionalizacion y proyeccion universitaria"/>
        <s v="Coordinacion de Egresados"/>
        <s v="Coordinacion de posgrados y maestrias"/>
        <s v="Baños administrativos damas "/>
        <s v="Baños administrativos caballeros"/>
        <s v="Baños Administrativos Damas Decanatura ciencias Admon y contables "/>
        <s v="Baños administrativos hombres Decanatura ciencias Admon y contables  "/>
        <s v="Escaleras piso a piso"/>
        <s v="Pasillos general segundo piso "/>
        <s v="Hall estudio - descanso (mesas)"/>
        <s v="Deposito de compras"/>
        <s v="Biblioteca - Balcon "/>
        <s v="Biblioteca - Planoteca"/>
        <s v="BibliotecaSala Fray Ansermo Caradona fondos especiales y autores Nariñenses "/>
        <s v="Biblioteca - Sala de sistemas"/>
        <s v="Modulo auxiliar - Sala de sistemas"/>
        <s v="Escaleras aceeso 2do piso biblioteca"/>
        <s v="Auditoria Interna y Oficinas de Presupuesto"/>
        <s v="Oficina Secretaría ciencias básicas"/>
        <s v="Oficina Dirección ciencias básicas"/>
        <s v="Sala de docentes TC ciencias básicas "/>
        <s v="Baño hombres privado"/>
        <s v="Baño mujeres privado"/>
        <s v="Aula de Clase  con mesas de dibujo"/>
        <s v="Bodega Recreacion y deporte "/>
        <s v="Deposito - Cuarto de aseo"/>
        <s v="Deposito - Bodega almacén "/>
        <s v="Bateria de baños hombres "/>
        <s v="Bateria de baños mujeres"/>
        <s v="Punto fijo central"/>
        <s v="Area de mesas"/>
        <s v="Oficina de practica Universitaria"/>
        <s v="Oficinade Escuela Franciscana de  Espiritualidad Franciscana y de escuela de paz y fraternidad Coordinación"/>
        <s v="Sala de docentes Escuelas Franciscanas"/>
        <s v="Oficinade Espiritualidad Franciscana Capellania "/>
        <s v="Secretaria area de evangelizacion"/>
        <s v="Area de Humanidades Dirección "/>
        <s v="Sala de espera Escuela de Espiritualidad "/>
        <s v="Baños damas Esp. Franciscana tercer piso"/>
        <s v="Baños caballeros Esp. Franciscana tercer piso"/>
        <s v="Pasillos Ed. Italia/ Ed. Holanda"/>
        <s v="Aula de clases (Mesas de dibujo)"/>
        <s v="Bodega de compras"/>
        <s v="ClÍnica Jurídica - Sala de docentes de derecho"/>
        <s v="Oficina supergiros"/>
        <s v="Area de mesas arquitectura"/>
        <s v="Oficina Decano de programa "/>
        <s v="Grupo de Investigacion alarife"/>
        <s v="Sala de reuniones / Consultorio Urbano"/>
        <s v="Sala de Docentes TC Y MT Programa de arquitectura "/>
        <s v="DECANATURA DE INGENIERÍA "/>
        <s v="SECRETARIAS DE LA FACULTAD"/>
        <s v="DIRECCION DE SISTEMAS O IN. F D"/>
        <s v="SALA DE REUNIONES  "/>
        <s v="FACULTAD DE INGENIERÍA  Y SALA DE DOCENTES "/>
        <s v="DECANATURA DE INGENIERÍA SALA DE ESPERA"/>
        <s v="Pasillos cuarto piso"/>
        <s v="Coordinación técnico y auxiliar  de redes y comunicaciones "/>
        <s v="Secretaria y oficina de proyectos"/>
        <s v="Acceso radio y television / cabina de radio / edicion"/>
        <s v="Laboratorio de Neurologia"/>
        <s v="sala de pruebas/psicologicas"/>
        <s v="Laboratorio de pruebas"/>
        <s v="Consultorio Psicologia"/>
        <s v="CAMARA DE GESSEL"/>
        <s v="Oficina secretaría dirección y preparatorios "/>
        <s v="Sala de docentes TC programa de derecho"/>
        <s v="Sala de Docentes TC Y MT programa de Psicología "/>
        <s v="Oficina coordinación académica"/>
        <s v="Oficina coordinación de práctica "/>
        <s v="Coordinador académico y coordinador Preparatorios "/>
        <s v="Oficina Decano Facultad "/>
        <s v="Oficina Secretaría Facultad"/>
        <s v="OficinaDirección programa de derecho"/>
        <s v="Bodega"/>
        <s v="Bodega de auxiliares "/>
        <s v="Coordinación centro de Investigación SocioJurídica CIS"/>
        <s v="Pasillos quinto piso  "/>
        <s v="Oficina Laboratorista del CRE"/>
        <s v="Laboratorio de física  "/>
        <s v="Oficina grupo de investigacion "/>
        <s v="prototipado grupo rampa"/>
        <s v="Bodega "/>
        <s v="Cuarto Técnico - electrico"/>
        <s v="Pasillos sexto piso "/>
        <s v="Cocina / cafeteria"/>
        <s v="Terraza Alvernia "/>
        <s v="Sotano"/>
        <s v="Parqueadero vias"/>
        <s v="Parqueadero"/>
        <s v="Translado de mobiliaria"/>
        <s v="Taller Carpintería"/>
        <s v="Taller mantenimiento (Diego) "/>
        <s v="Taller Artístico (Jorge)"/>
        <s v="Zona planta electrica"/>
        <s v="Cuarto tecnico -  hidraulico  - bombas"/>
        <s v="Cuarto eléctrico electrico"/>
        <s v="Cuarto tecnico redes"/>
        <s v="Cuarto técnico - tanques reserva"/>
        <s v="Portería con baño"/>
        <s v="Bodega 1"/>
        <s v="Bodega 2"/>
        <s v="Bodega 3"/>
        <s v="Bodega 4"/>
        <s v="Escaleras, acceso parqueaderos"/>
        <s v="Area para ascensores"/>
        <s v="Depósito - cuarto basuras "/>
        <s v="Cuarto electrico - Servidores "/>
        <s v="Sala de audiencias "/>
        <s v="Baños públicos hombres M1"/>
        <s v="Baño públicos mujeres   M1"/>
        <s v="Baño personas con mobilidad reducida M1"/>
        <s v="Hall de acceso centro de estimulación infantil "/>
        <s v="Salón vamos a explorar centro de estimulación infantil "/>
        <s v="Bodega Seguridad y salud al trabajo"/>
        <s v="Convenios "/>
        <s v="Coordinacion de seguridad y salud al trabajo"/>
        <s v="Asociacion de egresados"/>
        <s v="Baño centro de estimulación"/>
        <s v="Área de Investigadores"/>
        <s v="Sala de investigadores "/>
        <s v="Oficina de investigadores "/>
        <s v="Archivo Investigaciones"/>
        <s v="Area de servidores - electrico"/>
        <s v="Cuarto electrico "/>
        <s v="Camaras de vigilancia"/>
        <s v="Cuarto técnico servidores ups"/>
        <s v="Pasillos o corredores "/>
        <s v="Bodega mantenimiento "/>
        <s v="Área de Monitores - Cuarto de crisis"/>
        <s v="Hall acceso piso 1 - SECTOR AV AMERICAS"/>
        <s v="Ofina Jefe, secretaría, técnico y auxiliares "/>
        <s v="Lobby auditorio-Hall credito y cartera - publicidad y mercadeo"/>
        <s v="Baños hombres y aseo primer piso"/>
        <s v="Baños mujeres primer piso"/>
        <s v="Baño personas con mobilidad reducida primer piso"/>
        <s v="Shut de Basura - cuarto escoba mágica"/>
        <s v="Hall ascensores y escaleras primer piso"/>
        <s v="Terraza posterior primer piso se incluye area cubierta"/>
        <s v="Públicidad y Mercadeo primer piso"/>
        <s v="PLAZOLETA PRINCIPAL primer piso"/>
        <s v="Escaleras acceso a parqueaderos"/>
        <s v="Escaleras internas de aceeso primer piso"/>
        <s v="Escaleras acceso primer piso  - entrada "/>
        <s v="Rampas primer piso pendiente 12%"/>
        <s v="Area para instalacion de estractores de aire- ventilacion parqueaderos - 2"/>
        <s v="Terraza acceso San Francisco primer piso"/>
        <s v="AUDITORIO SAN FRANCISCO 1"/>
        <s v="AUDITORIO SAN FRANCISCO 2"/>
        <s v="OFICINA DECANO DE PROMGRAMA DE LICENCITUAR EN QUIMICA"/>
        <s v=" SALA DE JUNTAS"/>
        <s v="Sala de docentes intinerante"/>
        <s v="Baño personal hombres "/>
        <s v="Baño personal mujeres "/>
        <s v="OFICINAS DE ASESOR DESARROLLO ACADEMICO"/>
        <s v="Coordinacion Academica"/>
        <s v="OFICINA VICERECTOR ACADÉMICO"/>
        <s v="Secretaria vicerrectoría academica"/>
        <s v="Coordinadora Academica"/>
        <s v="SALA DE DOCENTES INTENIRANT"/>
        <s v="Escaleras de distribucion central"/>
        <s v="Hall direcciones M2"/>
        <s v="Pasillos M2"/>
        <s v="Hall de exposiciones"/>
        <s v="Oficina de acompañamiento"/>
        <s v="Profesional Trabajo Social "/>
        <s v="Profesional Inclusión y Diversidad "/>
        <s v="Aula de Acompañamiento Unidad de acompañamiento Integral al Estudiente"/>
        <s v="Secretaría Unidad de acompañamiento Integral al Estudiente "/>
        <s v="Sala Unidad de acompañamiento Integral al Estudiente"/>
        <s v="Área mesas incluida circulacion "/>
        <s v="Cocina cafetería Pública"/>
        <s v="Baño público hombres + cuarto de aseo"/>
        <s v="Baño público mujeres + cuarto de aseo"/>
        <s v="Cuarto de Aseo "/>
        <s v="Shut basura - cuarto escoba mágica"/>
        <s v="Aula de clases de Rectoría "/>
        <s v="Sala de Sistemas -Mac"/>
        <s v="Aula virtual - Sala de Sistemas"/>
        <s v="Sala de Sistemas No. 5"/>
        <s v="Sala de sistemas No. 6"/>
        <s v="Sala de sistemas No. 7"/>
        <s v="Aula de Sistemas Operativo"/>
        <s v="Bodega y Cuarto técnico"/>
        <s v="Cuarto técnico A302 interno"/>
        <s v="Sala de Sistemas No. 3"/>
        <s v="Oficina Principal Jefe, secretaría y webmaster"/>
        <s v="Monitoría "/>
        <s v="Pasillos tercer piso "/>
        <s v="Baños públicos hombres "/>
        <s v="Baños públicos mujeres "/>
        <s v="Baño personas con movilidad reducida "/>
        <s v="Shut de Cables "/>
        <s v="Escaleras acceso a parqueaderos - primer piso"/>
        <s v="Escaleras internas - punto de distribucion"/>
        <s v="Shut de Basuras - cuarto escoba mágica"/>
        <s v="Cuarto técnico servidores  "/>
        <s v="Sala de sistemas No. 1"/>
        <s v="Sala de sistemas No. 2"/>
        <s v="Baño hombres cuarto piso"/>
        <s v="Baño mujeres cuarto piso"/>
        <s v="Baño personas con mobilidad reducida cuarto piso"/>
        <s v="Cuarto de Aseo y lavatrapero"/>
        <s v="Cuarto técnico servidores cuarto piso"/>
        <s v="Baño hombres quinto piso"/>
        <s v="Baño mujeres quinto piso"/>
        <s v="Baño personas con mobilidad reducida quinto piso"/>
        <s v="Cuarto de Aseo - Lavatraperos"/>
        <s v="Shut de Basuras "/>
        <s v="Cuarto técnico servidores quinto piso"/>
        <s v="Baño hombres sexto piso"/>
        <s v="Baño mujeres sexto piso"/>
        <s v="Baño personas con mobilidad reducida sexto piso"/>
        <s v="Cuarto de aseo - Lavatraperos "/>
        <s v="Cuarto técnico servidores sexto piso"/>
        <s v="Sala de Gimansia - Colchonetas"/>
        <s v="Sala de Gimansia -  Maquinas"/>
        <s v="Gradas acceso a Maquinas"/>
        <s v="Salón de Danzas"/>
        <s v="Sala de música"/>
        <s v="Sala de vestuario"/>
        <s v="Coliseo Guillermo de Castellana"/>
        <s v="Bodega de danzas "/>
        <s v="Cancha No. 1"/>
        <s v="Cancha No. 2"/>
        <s v="Cancha No. 3"/>
        <s v="Cancha de Tenis "/>
        <s v="Gradas acceso a música"/>
        <s v="Zona verde Cancha No. 2"/>
        <s v="Bodega tenis de mesa "/>
        <s v="PISCINA (Zona Cardio)"/>
        <s v="CANCHA DE FUTBOL (Hospital San Rafael )"/>
        <s v="Oficina Secretaría Programa  "/>
        <s v="Oficina Director Programa"/>
        <s v="Biblioteca y CRE"/>
        <s v="Laboratorio digital o sala de prototipos"/>
        <s v="Laboratorio de fotografía "/>
        <s v="Baños Hombres "/>
        <s v="Baños Mujeres "/>
        <s v="Cafeteria Pública"/>
        <s v="Zona de ocio terraza en cafeteria"/>
        <s v="Sala docentes "/>
        <s v="Depósito de Basura "/>
        <s v="Cuarto técnico y cuarto de aseo con lavatrapero"/>
        <s v="Portería"/>
        <s v="Zonas comunes"/>
        <s v="AUDITORIO  NIVEL 0"/>
        <s v="DEPOSITO 1  NIVEL 0"/>
        <s v="DEPOSITO 2  NIVEL 0"/>
        <s v="CIRCULACION CUARTO TECNICO   NIVEL 0"/>
        <s v="CUARTO TECNICO  NIVEL 0"/>
        <s v="HALL  NIVEL 0"/>
        <s v="CUARTO ELECTRICO  NIVEL 0"/>
        <s v="AREA DE LOKERS  NIVEL 0"/>
        <s v="ASEO NIVEL 0"/>
        <s v="BAÑOS Y DUCHAS SEXADOS  NIVEL 0"/>
        <s v="CIRCULACIONES  NIVEL 0"/>
        <s v="CUARTO COMUNICACIONES VOZ Y DATOS NIVEL 3.5"/>
        <s v="BAÑOS PROFESORES NIVEL 3.5"/>
        <s v="BAÑOS PMR PROFESORES NIVEL 3.5"/>
        <s v="BAÑOS ESTUDIANTES  NIVEL 3.5"/>
        <s v="BAÑOS PMR ESTUDIANTES  NIVEL 3.5"/>
        <s v="CUARTO ELECTRICO  NIVEL 3.5"/>
        <s v="DEPOSITO Y ASEO  NIVEL 3.5"/>
        <s v="CUARTO COMUNICACIONES VOZ Y DATOS 2 NIVEL 3.5"/>
        <s v="AULA T40 CAP 41 PERSONAS NIVEL 3.5"/>
        <s v="AULA T 50 CAP 51 PERSONAS  NIVEL 3.5"/>
        <s v="Laboratorio Morfofisiología"/>
        <s v="OFICINA DOCENTES 1 NIVEL 3.5"/>
        <s v="OFICINA DOCENTES 2 NIVEL 3.5"/>
        <s v="OFICINA DOCENTES 3 NIVEL 3.5"/>
        <s v="OFICINA DOCENTES 4 NIVEL 3.5"/>
        <s v="OFICINA DOCENTES 5 NIVEL 3.5"/>
        <s v="OFICINA DOCENTES 6 NIVEL 3.5"/>
        <s v="OFICINA DOCENTES 7  NIVEL 3.5"/>
        <s v="OFICINA DOCENTES 8 NIVEL 3.5"/>
        <s v="OFICINA DOCENTES 9 NIVEL 3.5"/>
        <s v="OFICINA DOCENTES 10 NIVEL 3.5"/>
        <s v="OFICINA DOCENTES 11 NIVEL 3.5"/>
        <s v="OFICINA DOCENTES 12 NIVEL 3.5"/>
        <s v="SALA DOCENTES NIVEL 3.5"/>
        <s v="CIRCULACIONES  NIVEL 3.5"/>
        <s v="CUARTO COMUNICACIONES VOZ Y DATOS  NIVEL 7"/>
        <s v="BAÑOS PROFESORES  NIVEL 7"/>
        <s v="BAÑOS PMR PROFESORES NIVEL 7"/>
        <s v="BAÑOS ESTUDIANTES  NIVEL 7"/>
        <s v="BAÑOS PMR ESTUDIANTES  NIVEL 7"/>
        <s v="CUARTO ELECTRICO  NIVEL 7"/>
        <s v="DEPOSITO Y ASEO  NIVEL 7"/>
        <s v="DEPOSITO Y ASEO 2 NIVEL 7"/>
        <s v="CUARTO COMUNICACIONES VOZ Y DATOS 2 NIVEL 7"/>
        <s v="AULA T40 CAP 41 PERSONAS NIVEL 7"/>
        <s v="AULA T 50 CAP 51 PERSONAS  NIVEL 7"/>
        <s v="AULA T 50 CAP 51 PERSONAS NIVEL 7"/>
        <s v="AULA T 30 CAP 31 PERSONAS NIVEL 7"/>
        <s v="CRE"/>
        <s v="DISPONIBLE NIVEL 7"/>
        <s v="SALA DE ESTUDIO TIPO 1 NIVEL 7"/>
        <s v="CIRCULACIONES  NIVEL 7"/>
        <s v="CUARTO COMUNICACIONES VOZ Y DATOS "/>
        <s v="BAÑOS PROFESORES "/>
        <s v="BAÑOS PMR PROFESORES PMR"/>
        <s v="BAÑOS ESTUDIANTES "/>
        <s v="BAÑOS PMR ESTUDIANTES PMR"/>
        <s v="DEPOSITO Y ASEO "/>
        <s v="DEPOSITO Y ASEO 2"/>
        <s v="CUARTO COMUNICACIONES VOZ Y DATOS 2"/>
        <s v="AULA T40 CAP 41 PERSONAS"/>
        <s v="AULA T 50 CAP 51 PERSONAS "/>
        <s v="AULA T 30 CAP 31 PERSONAS"/>
        <s v="MONITORIA DE SISTEMAS "/>
        <s v="CIRCULACIONES "/>
        <s v="BAÑOS PMR PROFESORES"/>
        <s v="BAÑOS PMR ESTUDIANTES "/>
        <s v="SALA DE COMPUTO # 1"/>
        <s v="SALA DE COMPUTO # 2"/>
        <s v="ASEO "/>
        <s v="KIOSCO"/>
        <s v="DEPOSITO KIOSCO "/>
        <s v="CUARTO INSPECCION A LA CUBIERTA TIPO 1"/>
        <s v="TERRAZA"/>
        <s v="CUARTO INSPECCION A LA CUBIERTA TIPO 2"/>
        <s v="CUARTO INSPECCION A LA CUBIERTA TIPO 3"/>
        <s v="CUARTO INSPECCION ZONAS VERDES TIPO 1"/>
        <s v="PORTERIA "/>
        <s v="BAÑO PORTERIA "/>
        <s v="CUARTO TECNICO VOZ Y DATOS "/>
        <s v="ARCHIVOS RODANTES"/>
        <s v="CUARTO ELECTRICO"/>
        <s v="DEPOSITO DE ASEO OFICINAS "/>
        <s v="CUARTO TECNICO DE COMUNICACIONES "/>
        <s v="CAFETIN "/>
        <s v="BAÑO CUARTO TECNICO DE SEGURIDAD Y CONTROL "/>
        <s v="CUARTO TECNICO DE SEGURIDAD Y CONTROL "/>
        <s v="OFICINAS AUXILIARES CAP 22 PERSONAS "/>
        <s v="CAJA "/>
        <s v="SALON REUNIONES "/>
        <s v="RECEPCION Y SALA DE ESPERA CAP 10 PERSONAS "/>
        <s v="OFICINA COORDINADOR "/>
        <s v="COCINETA"/>
        <s v="SALA DE JUNTAS CAP 13 PERSONAS "/>
        <s v="SECRETARIA CAP 3 PERSONAS"/>
        <s v="OFICINA RECTOR "/>
        <s v="GUARDAROPA RECTOR "/>
        <s v="BAÑO OFICINA RECTOR "/>
        <s v="OFICINA ADMINISTRADOR "/>
        <s v="BAÑO OFICINA ADMINISTRADOR "/>
        <s v="CIRCULACION ADMINISTRATIVA "/>
        <s v="BAÑOS HOMBRES TIPO 1"/>
        <s v="BAÑOS MUJERES TIPO 1"/>
        <s v="BAÑO PMR TIPO 1"/>
        <s v="ASEO"/>
        <s v="RESTAURANTE CAP 228 PERSONAS"/>
        <s v="BAÑOS TIPO 2"/>
        <s v="BAÑO PMR TIPO 2"/>
        <s v="CAURTO DE CONTROL SALA DE CONFERENCIAS"/>
        <s v="CONTROL SALA DE CONFERENCIAS "/>
        <s v="BAÑOS MUJERES TIPO 3 "/>
        <s v="BAÑOS HOMBRES TIPO 3"/>
        <s v="BAÑO PMR TIPO 3"/>
        <s v="CAFERETIA CAP 254 PERSONAS "/>
        <s v="PISCINA "/>
        <s v="DEPOSITO IMPLEMENTOS DEPORTIVOS "/>
        <s v="BATERIA SANITARIA NIÑOS- NIÑAS"/>
        <s v="BATERIA SANITARIA HOMBRES- MUJERES"/>
        <s v="BAÑO DE INSTRUCTUTORES"/>
        <s v="BAÑO PMR"/>
        <s v="HALL, SALA DE ESPERA Y RECEPCION "/>
        <s v="PRIMEROS AUXILIOS"/>
        <s v="OFICINA ADMINISTRACION "/>
        <s v="CONSULTORIO "/>
        <s v="CALEFACCION CALENTADORES INDUSTRIALES A GAS"/>
        <s v="ESPACIO DISPONIBLE "/>
        <s v="CIRCULACIONES"/>
        <s v="CUARTO TECNICO "/>
        <s v="BAÑOS HOMBRES Y MUJERES "/>
        <s v="CAURTO TECNICO REDES"/>
        <s v="AREA DE GRADERIA "/>
        <s v="CUARTO TECNICO MANTENIMIENTO CANCHAS "/>
        <s v="DEPOSITO Y ASEO"/>
        <s v="CUARTO TECNICO GAS"/>
        <s v="VESTUARIO LOCKERS Y DUCHAS "/>
        <s v="BAÑOS ALBITROS"/>
        <s v="DUCHAS Y LOCKERS ARBITROS"/>
        <s v="AREA DE CANCHA"/>
        <s v="BAÑOS MIXTOS DEPORTISTAS POLIDEPORTIVO "/>
        <s v="BAÑOS DEPOTISTAS CANCHAS EXT"/>
        <s v="ASEO TIPO 1"/>
        <s v="ASEO TIPO 2"/>
        <s v="VESTIER JUECES"/>
        <s v="DEPOSITO DE IMPLEMENTOS DEPORTIVOS TIPO 1"/>
        <s v="DEPOSITO DE IMPLEMENTOS DEPORTIVOS TIPO 2"/>
        <s v="CUARTO TECNICO ELECTRICO"/>
        <s v="CUARTO TECNICO HIDRAULICO"/>
        <s v="HALL Y CONCENTRACION EQUIPOS "/>
        <s v="TAQUILLA"/>
        <s v="BATERIA SANITARIA PUBLICA"/>
        <s v="SUBESTACION 3"/>
        <s v="PLANTA DE TRATAMIENTO AGUA RESIDUAL"/>
        <s v="PLANTA DE TRATAMIENTO AGUA POTABLE"/>
        <s v="POZO EYECTOR"/>
        <s v="TANQUE DE REUSO FIBRA DE VIDRIO"/>
        <s v="CASETAS DE EXTRACCIÓN"/>
        <s v="LABORATORIO AGUAS"/>
        <s v="CUARTO DE BASURAS, SUBESTACIÓN"/>
        <s v="PARQUEADEROS EXTERIORES"/>
        <s v="AREAS VIAS  EXTERNAS"/>
        <s v="AREAS CIRCULACIONES EXTERNAS"/>
        <s v="CANCHA DE FUTBOL Y PISTA ATLETICA"/>
        <s v="CANCHAS MULTIFUNCIONALES"/>
      </sharedItems>
    </cacheField>
    <cacheField name="Función Específica" numFmtId="0">
      <sharedItems containsBlank="1"/>
    </cacheField>
    <cacheField name="CAPACIDAD FÍSICA" numFmtId="1">
      <sharedItems containsString="0" containsBlank="1" containsNumber="1" containsInteger="1" minValue="0" maxValue="1500"/>
    </cacheField>
    <cacheField name="ÁREA (Metros2)" numFmtId="0">
      <sharedItems containsString="0" containsBlank="1" containsNumber="1" minValue="1.06" maxValue="15321.29"/>
    </cacheField>
    <cacheField name="Fecha Actualización" numFmtId="0">
      <sharedItems containsDate="1" containsBlank="1" containsMixedTypes="1" minDate="2021-07-14T00:00:00" maxDate="2022-06-08T00:00:00"/>
    </cacheField>
    <cacheField name="Acceso Autónomo" numFmtId="0">
      <sharedItems containsBlank="1"/>
    </cacheField>
  </cacheFields>
  <extLst>
    <ext xmlns:x14="http://schemas.microsoft.com/office/spreadsheetml/2009/9/main" uri="{725AE2AE-9491-48be-B2B4-4EB974FC3084}">
      <x14:pivotCacheDefinition pivotCacheId="105476039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 Snies" refreshedDate="45324.621632638889" createdVersion="6" refreshedVersion="6" minRefreshableVersion="3" recordCount="785" xr:uid="{00000000-000A-0000-FFFF-FFFF07000000}">
  <cacheSource type="worksheet">
    <worksheetSource name="Tabla25"/>
  </cacheSource>
  <cacheFields count="14">
    <cacheField name="COMPONENTE" numFmtId="0">
      <sharedItems containsBlank="1" count="8">
        <s v="Áreas_administración"/>
        <s v="Áreas_bienestar"/>
        <s v="Áreas_Movilidad_Espacios_libres"/>
        <s v="Áreas_docencia"/>
        <s v="Áreas_Servicios_a_Comunidad"/>
        <s v="CONSTRUIDA"/>
        <m/>
        <s v="Áreas_investigación"/>
      </sharedItems>
    </cacheField>
    <cacheField name="TIPO DE ÁREA" numFmtId="0">
      <sharedItems containsBlank="1"/>
    </cacheField>
    <cacheField name="TENENCIA" numFmtId="0">
      <sharedItems containsBlank="1"/>
    </cacheField>
    <cacheField name="UBICACIÓN" numFmtId="0">
      <sharedItems count="8">
        <s v="Bloque Administrativo"/>
        <s v="Bloque B"/>
        <s v="Bloque C"/>
        <s v="Edificio Holanda"/>
        <s v="Edificio Italia "/>
        <s v="Edificio San Francisco"/>
        <s v="Sede Santiago"/>
        <s v="Medio San Damian "/>
      </sharedItems>
    </cacheField>
    <cacheField name="Nomenclatura" numFmtId="0">
      <sharedItems containsBlank="1" containsMixedTypes="1" containsNumber="1" containsInteger="1" minValue="100" maxValue="616"/>
    </cacheField>
    <cacheField name="PISO No." numFmtId="0">
      <sharedItems containsBlank="1" containsMixedTypes="1" containsNumber="1" containsInteger="1" minValue="1" maxValue="6"/>
    </cacheField>
    <cacheField name="TIPO DE ESPACIO" numFmtId="0">
      <sharedItems/>
    </cacheField>
    <cacheField name="ASIGNACIÓN" numFmtId="0">
      <sharedItems containsBlank="1"/>
    </cacheField>
    <cacheField name="DESCRIPCION" numFmtId="0">
      <sharedItems containsMixedTypes="1" containsNumber="1" containsInteger="1" minValue="9" maxValue="9"/>
    </cacheField>
    <cacheField name="Función Específica" numFmtId="0">
      <sharedItems containsBlank="1"/>
    </cacheField>
    <cacheField name="CAPACIDAD FÍSICA" numFmtId="1">
      <sharedItems containsString="0" containsBlank="1" containsNumber="1" containsInteger="1" minValue="0" maxValue="1500"/>
    </cacheField>
    <cacheField name="ÁREA (Metros2)" numFmtId="0">
      <sharedItems containsString="0" containsBlank="1" containsNumber="1" minValue="1.06" maxValue="15321.29"/>
    </cacheField>
    <cacheField name="Fecha Actualización" numFmtId="0">
      <sharedItems containsNonDate="0" containsDate="1" containsString="0" containsBlank="1" minDate="2021-07-14T00:00:00" maxDate="2022-06-08T00:00:00"/>
    </cacheField>
    <cacheField name="Acceso Autónom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s v="Áreas_administración"/>
    <x v="0"/>
    <x v="0"/>
    <x v="0"/>
    <n v="202"/>
    <n v="1"/>
    <x v="0"/>
    <s v="Secretaría General "/>
    <s v="OficinaPrincipal Secretaría General, Coordinador, auxiliares "/>
    <x v="0"/>
    <n v="5"/>
    <n v="42.93"/>
    <d v="2022-05-10T00:00:00"/>
    <x v="0"/>
  </r>
  <r>
    <s v="Áreas_administración"/>
    <x v="0"/>
    <x v="0"/>
    <x v="0"/>
    <s v="205A"/>
    <n v="1"/>
    <x v="0"/>
    <s v="Rectoría"/>
    <s v="Oficinaprincipal Rectoría y secretaría"/>
    <x v="1"/>
    <n v="2"/>
    <n v="44.36"/>
    <d v="2022-05-10T00:00:00"/>
    <x v="0"/>
  </r>
  <r>
    <s v="Áreas_administración"/>
    <x v="0"/>
    <x v="0"/>
    <x v="0"/>
    <n v="204"/>
    <n v="1"/>
    <x v="1"/>
    <s v="Rectoría"/>
    <s v="Sala de Juntas Anselmo Caradona"/>
    <x v="0"/>
    <n v="20"/>
    <n v="40.799999999999997"/>
    <d v="2022-05-10T00:00:00"/>
    <x v="0"/>
  </r>
  <r>
    <s v="Áreas_administración"/>
    <x v="0"/>
    <x v="0"/>
    <x v="0"/>
    <s v="205A"/>
    <n v="1"/>
    <x v="2"/>
    <s v="Rectoría"/>
    <s v="Baño privado"/>
    <x v="2"/>
    <n v="1"/>
    <n v="3.57"/>
    <d v="2022-05-10T00:00:00"/>
    <x v="0"/>
  </r>
  <r>
    <s v="Áreas_administración"/>
    <x v="0"/>
    <x v="0"/>
    <x v="0"/>
    <s v="201B"/>
    <n v="1"/>
    <x v="0"/>
    <s v="Contabilidad"/>
    <s v="OficinaPrincipal, secretaría, técnicos y prácticantes "/>
    <x v="0"/>
    <n v="7"/>
    <n v="32.880000000000003"/>
    <d v="2022-05-10T00:00:00"/>
    <x v="0"/>
  </r>
  <r>
    <s v="Áreas_administración"/>
    <x v="0"/>
    <x v="0"/>
    <x v="0"/>
    <n v="206"/>
    <n v="1"/>
    <x v="0"/>
    <s v="Vicerrectoría de Investigaciones"/>
    <s v="OficinaPrincipal, secretaría, coordinador"/>
    <x v="3"/>
    <n v="3"/>
    <n v="28.76"/>
    <d v="2022-05-10T00:00:00"/>
    <x v="0"/>
  </r>
  <r>
    <s v="Áreas_administración"/>
    <x v="0"/>
    <x v="0"/>
    <x v="0"/>
    <n v="207"/>
    <n v="1"/>
    <x v="0"/>
    <s v="Vicerrectoría Administrativa Financiera "/>
    <s v="OficinaPrincipal, secretario, coordinador"/>
    <x v="0"/>
    <n v="4"/>
    <n v="28.03"/>
    <d v="2022-05-10T00:00:00"/>
    <x v="0"/>
  </r>
  <r>
    <s v="Áreas_administración"/>
    <x v="0"/>
    <x v="0"/>
    <x v="0"/>
    <n v="208"/>
    <n v="1"/>
    <x v="0"/>
    <s v="Dirección de Planeación"/>
    <s v="OficinaPrincipal Sistema Aseguramiento de la calidad"/>
    <x v="1"/>
    <n v="2"/>
    <n v="16.18"/>
    <d v="2022-05-10T00:00:00"/>
    <x v="0"/>
  </r>
  <r>
    <s v="Áreas_administración"/>
    <x v="0"/>
    <x v="0"/>
    <x v="0"/>
    <n v="210"/>
    <n v="1"/>
    <x v="0"/>
    <s v="Vicerrectoría Administrativa Financiera "/>
    <n v="9"/>
    <x v="0"/>
    <n v="2"/>
    <n v="15.81"/>
    <d v="2022-05-10T00:00:00"/>
    <x v="0"/>
  </r>
  <r>
    <s v="Áreas_administración"/>
    <x v="0"/>
    <x v="0"/>
    <x v="0"/>
    <n v="209"/>
    <n v="1"/>
    <x v="0"/>
    <s v="Coordinación de Redes y Comunicaciones "/>
    <s v="Cuarto técnico (UPS - Bodega)"/>
    <x v="0"/>
    <n v="0"/>
    <n v="13.02"/>
    <d v="2022-05-10T00:00:00"/>
    <x v="0"/>
  </r>
  <r>
    <s v="Áreas_bienestar"/>
    <x v="0"/>
    <x v="0"/>
    <x v="0"/>
    <n v="214"/>
    <n v="1"/>
    <x v="3"/>
    <s v="Vicerrectoría Administrativa Financiera "/>
    <s v="Cafetería Funcionarios"/>
    <x v="0"/>
    <n v="30"/>
    <n v="56.3"/>
    <d v="2022-05-10T00:00:00"/>
    <x v="0"/>
  </r>
  <r>
    <s v="Áreas_administración"/>
    <x v="0"/>
    <x v="0"/>
    <x v="0"/>
    <n v="218"/>
    <n v="1"/>
    <x v="0"/>
    <s v="Dirección de Planeación"/>
    <s v="OficinaDirector, secretaría, técnicos y auxiliar"/>
    <x v="1"/>
    <n v="6"/>
    <n v="49.95"/>
    <d v="2022-05-10T00:00:00"/>
    <x v="0"/>
  </r>
  <r>
    <s v="Áreas_administración"/>
    <x v="0"/>
    <x v="0"/>
    <x v="0"/>
    <n v="219"/>
    <n v="1"/>
    <x v="4"/>
    <s v="Coordinación de Redes y Comunicaciones "/>
    <s v="Cuarto técnico Servidor "/>
    <x v="2"/>
    <n v="0"/>
    <n v="4.51"/>
    <d v="2022-05-10T00:00:00"/>
    <x v="0"/>
  </r>
  <r>
    <s v="Áreas_administración"/>
    <x v="0"/>
    <x v="0"/>
    <x v="0"/>
    <s v="201A"/>
    <n v="1"/>
    <x v="0"/>
    <s v="Tesorería Pagaduría"/>
    <s v="OficinaPrincipal, secretaría, técnicos y prácticantes "/>
    <x v="0"/>
    <n v="6"/>
    <n v="34.43"/>
    <d v="2022-05-10T00:00:00"/>
    <x v="0"/>
  </r>
  <r>
    <s v="Áreas_administración"/>
    <x v="0"/>
    <x v="0"/>
    <x v="0"/>
    <s v="201C"/>
    <n v="1"/>
    <x v="5"/>
    <s v="Tesorería Pagaduría"/>
    <s v="Módulo de Caja"/>
    <x v="0"/>
    <n v="2"/>
    <n v="6.24"/>
    <d v="2022-05-10T00:00:00"/>
    <x v="0"/>
  </r>
  <r>
    <s v="Áreas_administración"/>
    <x v="0"/>
    <x v="0"/>
    <x v="0"/>
    <s v="212A"/>
    <n v="1"/>
    <x v="0"/>
    <s v="Jefatura de Gestión Humana"/>
    <s v="OficinaPrincipal, secretaría, técnicos y prácticantes "/>
    <x v="0"/>
    <n v="8"/>
    <n v="65.23"/>
    <d v="2022-05-10T00:00:00"/>
    <x v="0"/>
  </r>
  <r>
    <s v="Áreas_administración"/>
    <x v="0"/>
    <x v="0"/>
    <x v="0"/>
    <n v="210"/>
    <n v="1"/>
    <x v="1"/>
    <s v="AEMG"/>
    <s v="Sala de Juntas San Damián (AEMG)"/>
    <x v="0"/>
    <n v="30"/>
    <n v="56.63"/>
    <d v="2022-05-10T00:00:00"/>
    <x v="0"/>
  </r>
  <r>
    <s v="Áreas_administración"/>
    <x v="0"/>
    <x v="0"/>
    <x v="0"/>
    <m/>
    <n v="1"/>
    <x v="2"/>
    <s v="Vicerrectoría Administrativa Financiera "/>
    <s v="Baños Funcionarios Damas"/>
    <x v="2"/>
    <n v="4"/>
    <n v="10.64"/>
    <d v="2022-05-10T00:00:00"/>
    <x v="0"/>
  </r>
  <r>
    <s v="Áreas_administración"/>
    <x v="0"/>
    <x v="0"/>
    <x v="0"/>
    <m/>
    <n v="1"/>
    <x v="2"/>
    <s v="Vicerrectoría Administrativa Financiera "/>
    <s v="Baños Funcionarios Caballeros"/>
    <x v="2"/>
    <n v="4"/>
    <n v="9.3800000000000008"/>
    <d v="2022-05-10T00:00:00"/>
    <x v="0"/>
  </r>
  <r>
    <s v="Áreas_Movilidad_Espacios_libres"/>
    <x v="0"/>
    <x v="0"/>
    <x v="0"/>
    <m/>
    <n v="1"/>
    <x v="6"/>
    <s v="Vicerrectoría Administrativa Financiera "/>
    <s v="Pasillos"/>
    <x v="2"/>
    <n v="0"/>
    <n v="115.23"/>
    <d v="2022-05-10T00:00:00"/>
    <x v="0"/>
  </r>
  <r>
    <s v="Áreas_Movilidad_Espacios_libres"/>
    <x v="0"/>
    <x v="0"/>
    <x v="0"/>
    <m/>
    <n v="1"/>
    <x v="7"/>
    <s v="Vicerrectoría Administrativa Financiera "/>
    <s v="Hall Acceso"/>
    <x v="2"/>
    <n v="0"/>
    <n v="65.81"/>
    <d v="2022-05-10T00:00:00"/>
    <x v="0"/>
  </r>
  <r>
    <s v="Áreas_administración"/>
    <x v="0"/>
    <x v="0"/>
    <x v="1"/>
    <m/>
    <n v="1"/>
    <x v="5"/>
    <s v="AEMG"/>
    <s v="Recepción"/>
    <x v="0"/>
    <n v="1"/>
    <n v="5.47"/>
    <d v="2022-05-10T00:00:00"/>
    <x v="0"/>
  </r>
  <r>
    <s v="Áreas_bienestar"/>
    <x v="0"/>
    <x v="0"/>
    <x v="0"/>
    <m/>
    <n v="1"/>
    <x v="8"/>
    <s v="AEMG"/>
    <s v="Consultorío Médico"/>
    <x v="0"/>
    <n v="2"/>
    <n v="11.88"/>
    <d v="2022-05-10T00:00:00"/>
    <x v="0"/>
  </r>
  <r>
    <s v="Áreas_bienestar"/>
    <x v="0"/>
    <x v="0"/>
    <x v="0"/>
    <m/>
    <n v="1"/>
    <x v="8"/>
    <s v="AEMG"/>
    <s v="Archivo Unidad de Salud "/>
    <x v="0"/>
    <n v="1"/>
    <n v="12.07"/>
    <d v="2022-05-10T00:00:00"/>
    <x v="0"/>
  </r>
  <r>
    <s v="Áreas_bienestar"/>
    <x v="0"/>
    <x v="0"/>
    <x v="0"/>
    <m/>
    <n v="1"/>
    <x v="8"/>
    <s v="AEMG"/>
    <s v="Procedimientos minimos "/>
    <x v="0"/>
    <n v="2"/>
    <n v="11.57"/>
    <d v="2022-05-10T00:00:00"/>
    <x v="0"/>
  </r>
  <r>
    <s v="Áreas_bienestar"/>
    <x v="0"/>
    <x v="0"/>
    <x v="0"/>
    <m/>
    <n v="1"/>
    <x v="9"/>
    <s v="AEMG"/>
    <s v="Sala de espera"/>
    <x v="0"/>
    <n v="6"/>
    <n v="10.26"/>
    <d v="2022-05-10T00:00:00"/>
    <x v="0"/>
  </r>
  <r>
    <s v="Áreas_bienestar"/>
    <x v="0"/>
    <x v="0"/>
    <x v="0"/>
    <m/>
    <n v="1"/>
    <x v="10"/>
    <s v="AEMG"/>
    <s v="Baño mujeres"/>
    <x v="2"/>
    <n v="1"/>
    <n v="2.77"/>
    <d v="2022-05-10T00:00:00"/>
    <x v="0"/>
  </r>
  <r>
    <s v="Áreas_bienestar"/>
    <x v="0"/>
    <x v="0"/>
    <x v="0"/>
    <m/>
    <n v="1"/>
    <x v="10"/>
    <s v="AEMG"/>
    <s v="Baño hombres"/>
    <x v="2"/>
    <n v="1"/>
    <n v="1.3"/>
    <d v="2022-05-10T00:00:00"/>
    <x v="0"/>
  </r>
  <r>
    <s v="Áreas_bienestar"/>
    <x v="0"/>
    <x v="0"/>
    <x v="0"/>
    <m/>
    <n v="1"/>
    <x v="10"/>
    <s v="AEMG"/>
    <s v="Baño personas con movilidad reducida"/>
    <x v="2"/>
    <n v="1"/>
    <n v="1.51"/>
    <d v="2022-05-10T00:00:00"/>
    <x v="0"/>
  </r>
  <r>
    <s v="Áreas_administración"/>
    <x v="0"/>
    <x v="0"/>
    <x v="0"/>
    <m/>
    <n v="1"/>
    <x v="2"/>
    <s v="AEMG"/>
    <s v="Baño hombres personal admimistrativo"/>
    <x v="2"/>
    <n v="1"/>
    <n v="4.46"/>
    <d v="2022-05-10T00:00:00"/>
    <x v="0"/>
  </r>
  <r>
    <s v="Áreas_administración"/>
    <x v="0"/>
    <x v="0"/>
    <x v="0"/>
    <m/>
    <n v="1"/>
    <x v="2"/>
    <s v="AEMG"/>
    <s v="Baño mujeres personal admimistrativo"/>
    <x v="2"/>
    <n v="1"/>
    <n v="4.67"/>
    <d v="2022-05-10T00:00:00"/>
    <x v="0"/>
  </r>
  <r>
    <s v="Áreas_administración"/>
    <x v="0"/>
    <x v="0"/>
    <x v="0"/>
    <m/>
    <n v="1"/>
    <x v="11"/>
    <s v="AEMG"/>
    <s v="Cuarto de aseo"/>
    <x v="2"/>
    <n v="0"/>
    <n v="1.06"/>
    <d v="2022-05-10T00:00:00"/>
    <x v="0"/>
  </r>
  <r>
    <s v="Áreas_bienestar"/>
    <x v="0"/>
    <x v="0"/>
    <x v="0"/>
    <m/>
    <n v="1"/>
    <x v="8"/>
    <s v="AEMG"/>
    <s v="Consultorío Odontológico"/>
    <x v="0"/>
    <n v="1"/>
    <n v="12.3"/>
    <d v="2022-05-10T00:00:00"/>
    <x v="0"/>
  </r>
  <r>
    <s v="Áreas_administración"/>
    <x v="0"/>
    <x v="0"/>
    <x v="0"/>
    <m/>
    <n v="1"/>
    <x v="12"/>
    <s v="AEMG"/>
    <s v="Bodega en archivo central "/>
    <x v="2"/>
    <n v="0"/>
    <n v="2.68"/>
    <d v="2022-05-10T00:00:00"/>
    <x v="0"/>
  </r>
  <r>
    <s v="Áreas_administración"/>
    <x v="0"/>
    <x v="0"/>
    <x v="0"/>
    <m/>
    <n v="1"/>
    <x v="12"/>
    <s v="AEMG"/>
    <s v="Archivo Central"/>
    <x v="2"/>
    <n v="0"/>
    <n v="9"/>
    <d v="2022-05-10T00:00:00"/>
    <x v="0"/>
  </r>
  <r>
    <s v="Áreas_bienestar"/>
    <x v="0"/>
    <x v="0"/>
    <x v="0"/>
    <m/>
    <n v="1"/>
    <x v="8"/>
    <s v="AEMG"/>
    <s v="Enferemería"/>
    <x v="0"/>
    <n v="2"/>
    <n v="8.4"/>
    <d v="2022-05-10T00:00:00"/>
    <x v="0"/>
  </r>
  <r>
    <s v="Áreas_administración"/>
    <x v="0"/>
    <x v="0"/>
    <x v="0"/>
    <m/>
    <n v="1"/>
    <x v="12"/>
    <s v="Jefatura de Compras y Suministros "/>
    <s v="Bodega Almacén "/>
    <x v="2"/>
    <n v="1"/>
    <n v="58"/>
    <d v="2022-05-10T00:00:00"/>
    <x v="0"/>
  </r>
  <r>
    <s v="Áreas_Movilidad_Espacios_libres"/>
    <x v="0"/>
    <x v="0"/>
    <x v="0"/>
    <m/>
    <n v="1"/>
    <x v="7"/>
    <s v="Vicerrectoría Administrativa Financiera "/>
    <s v="Hall Acceso"/>
    <x v="2"/>
    <n v="0"/>
    <n v="28.41"/>
    <d v="2022-05-10T00:00:00"/>
    <x v="0"/>
  </r>
  <r>
    <s v="Áreas_Movilidad_Espacios_libres"/>
    <x v="0"/>
    <x v="0"/>
    <x v="0"/>
    <m/>
    <n v="1"/>
    <x v="13"/>
    <s v="Vicerrectoría Administrativa Financiera "/>
    <s v="Parqueadero y rampa ingreso principal "/>
    <x v="0"/>
    <n v="50"/>
    <n v="3138.69"/>
    <d v="2022-05-10T00:00:00"/>
    <x v="0"/>
  </r>
  <r>
    <s v="Áreas_administración"/>
    <x v="0"/>
    <x v="0"/>
    <x v="2"/>
    <s v="B301"/>
    <n v="2"/>
    <x v="0"/>
    <s v="Rectoría"/>
    <s v="OficinaDepartamento Jurídico "/>
    <x v="0"/>
    <n v="5"/>
    <n v="42.98"/>
    <d v="2022-05-13T00:00:00"/>
    <x v="0"/>
  </r>
  <r>
    <s v="Áreas_administración"/>
    <x v="0"/>
    <x v="0"/>
    <x v="2"/>
    <s v="B310"/>
    <n v="2"/>
    <x v="0"/>
    <s v="Jefatura de sistemas e Internet"/>
    <s v="Monitoría"/>
    <x v="0"/>
    <n v="2"/>
    <n v="23.84"/>
    <d v="2022-05-13T00:00:00"/>
    <x v="0"/>
  </r>
  <r>
    <s v="Áreas_docencia"/>
    <x v="0"/>
    <x v="0"/>
    <x v="2"/>
    <s v="B311"/>
    <n v="2"/>
    <x v="14"/>
    <s v="Centro de Recursos Educativos "/>
    <s v="Aula de Clases"/>
    <x v="4"/>
    <n v="28"/>
    <n v="32.74"/>
    <d v="2022-05-13T00:00:00"/>
    <x v="0"/>
  </r>
  <r>
    <s v="Áreas_docencia"/>
    <x v="0"/>
    <x v="0"/>
    <x v="2"/>
    <s v="B312"/>
    <n v="2"/>
    <x v="14"/>
    <s v="Centro de Recursos Educativos "/>
    <s v="Aula de Clases"/>
    <x v="4"/>
    <n v="43"/>
    <n v="55.89"/>
    <d v="2022-05-13T00:00:00"/>
    <x v="0"/>
  </r>
  <r>
    <s v="Áreas_docencia"/>
    <x v="0"/>
    <x v="0"/>
    <x v="2"/>
    <s v="B313"/>
    <n v="2"/>
    <x v="14"/>
    <s v="Centro de Recursos Educativos "/>
    <s v="Aula de Clases"/>
    <x v="4"/>
    <n v="35"/>
    <n v="37.630000000000003"/>
    <d v="2022-05-13T00:00:00"/>
    <x v="0"/>
  </r>
  <r>
    <s v="Áreas_docencia"/>
    <x v="0"/>
    <x v="0"/>
    <x v="2"/>
    <s v="B314"/>
    <n v="2"/>
    <x v="14"/>
    <s v="Centro de Recursos Educativos "/>
    <s v="Aula de Clases"/>
    <x v="4"/>
    <n v="55"/>
    <n v="57.91"/>
    <d v="2022-05-13T00:00:00"/>
    <x v="0"/>
  </r>
  <r>
    <s v="Áreas_docencia"/>
    <x v="0"/>
    <x v="0"/>
    <x v="2"/>
    <s v="B315"/>
    <n v="2"/>
    <x v="14"/>
    <s v="Centro de Recursos Educativos "/>
    <s v="Aula de Clases"/>
    <x v="4"/>
    <n v="55"/>
    <n v="62.62"/>
    <d v="2022-05-13T00:00:00"/>
    <x v="0"/>
  </r>
  <r>
    <s v="Áreas_docencia"/>
    <x v="0"/>
    <x v="0"/>
    <x v="2"/>
    <s v="B316"/>
    <n v="2"/>
    <x v="0"/>
    <s v="Consultorios_x000a_ Jurídicos y Centro_x000a_ de Conciliación_x000a_"/>
    <s v="centro de concilacion "/>
    <x v="4"/>
    <n v="40"/>
    <n v="44.16"/>
    <d v="2022-05-13T00:00:00"/>
    <x v="0"/>
  </r>
  <r>
    <s v="Áreas_docencia"/>
    <x v="0"/>
    <x v="0"/>
    <x v="2"/>
    <s v="B317"/>
    <n v="2"/>
    <x v="14"/>
    <s v="Consultorios_x000a_ Jurídicos y Centro_x000a_ de Conciliación_x000a_"/>
    <s v="centro de concilacion "/>
    <x v="4"/>
    <n v="40"/>
    <n v="43.24"/>
    <d v="2022-05-13T00:00:00"/>
    <x v="0"/>
  </r>
  <r>
    <s v="Áreas_docencia"/>
    <x v="0"/>
    <x v="0"/>
    <x v="2"/>
    <s v="B318"/>
    <n v="2"/>
    <x v="14"/>
    <s v="Consultorios_x000a_ Jurídicos y Centro_x000a_ de Conciliación_x000a_"/>
    <s v="sala virtual"/>
    <x v="4"/>
    <n v="40"/>
    <n v="43.77"/>
    <d v="2022-05-13T00:00:00"/>
    <x v="0"/>
  </r>
  <r>
    <s v="Áreas_docencia"/>
    <x v="0"/>
    <x v="0"/>
    <x v="2"/>
    <s v="B319"/>
    <n v="2"/>
    <x v="14"/>
    <s v="Consultorios_x000a_ Jurídicos y Centro_x000a_ de Conciliación_x000a_"/>
    <s v="sala virtual"/>
    <x v="4"/>
    <n v="46"/>
    <n v="49.25"/>
    <d v="2022-05-13T00:00:00"/>
    <x v="0"/>
  </r>
  <r>
    <s v="Áreas_docencia"/>
    <x v="0"/>
    <x v="0"/>
    <x v="2"/>
    <s v="B320"/>
    <n v="2"/>
    <x v="14"/>
    <s v="Consultorios_x000a_ Jurídicos y Centro_x000a_ de Conciliación_x000a_"/>
    <s v="sala de audencias"/>
    <x v="4"/>
    <n v="38"/>
    <n v="37.090000000000003"/>
    <d v="2022-05-13T00:00:00"/>
    <x v="0"/>
  </r>
  <r>
    <s v="Áreas_administración"/>
    <x v="0"/>
    <x v="0"/>
    <x v="2"/>
    <s v="B321"/>
    <n v="2"/>
    <x v="0"/>
    <s v="Consultorios_x000a_ Jurídicos y Centro_x000a_ de Conciliación_x000a_"/>
    <s v="Oficina DIAN"/>
    <x v="4"/>
    <n v="2"/>
    <n v="14.64"/>
    <d v="2022-05-13T00:00:00"/>
    <x v="0"/>
  </r>
  <r>
    <m/>
    <x v="1"/>
    <x v="1"/>
    <x v="1"/>
    <m/>
    <m/>
    <x v="15"/>
    <s v="Consultorios_x000a_ Jurídicos y Centro_x000a_ de Conciliación_x000a_"/>
    <m/>
    <x v="5"/>
    <m/>
    <n v="16.933"/>
    <m/>
    <x v="1"/>
  </r>
  <r>
    <s v="Áreas_administración"/>
    <x v="0"/>
    <x v="0"/>
    <x v="2"/>
    <s v="B322A"/>
    <n v="2"/>
    <x v="4"/>
    <s v="Consultorios_x000a_ Jurídicos y Centro_x000a_ de Conciliación_x000a_"/>
    <s v="Cuarto Técnico de redes y comunicacion "/>
    <x v="4"/>
    <n v="1"/>
    <n v="8.42"/>
    <d v="2022-05-13T00:00:00"/>
    <x v="0"/>
  </r>
  <r>
    <s v="Áreas_administración"/>
    <x v="0"/>
    <x v="0"/>
    <x v="2"/>
    <s v="B324"/>
    <n v="2"/>
    <x v="0"/>
    <s v="Consultorios_x000a_ Jurídicos y Centro_x000a_ de Conciliación_x000a_"/>
    <s v="OficinaDirector y secretario consultorios "/>
    <x v="4"/>
    <n v="2"/>
    <n v="25.56"/>
    <d v="2022-05-13T00:00:00"/>
    <x v="0"/>
  </r>
  <r>
    <s v="Áreas_administración"/>
    <x v="0"/>
    <x v="0"/>
    <x v="2"/>
    <s v="B322b"/>
    <n v="2"/>
    <x v="4"/>
    <s v="Consultorios_x000a_ Jurídicos y Centro_x000a_ de Conciliación_x000a_"/>
    <s v="Baño PMR"/>
    <x v="2"/>
    <n v="0"/>
    <n v="8.7799999999999994"/>
    <d v="2022-05-13T00:00:00"/>
    <x v="0"/>
  </r>
  <r>
    <s v="Áreas_docencia"/>
    <x v="0"/>
    <x v="0"/>
    <x v="2"/>
    <s v="B323"/>
    <n v="2"/>
    <x v="0"/>
    <s v="Consultorios_x000a_ Jurídicos y Centro_x000a_ de Conciliación_x000a_"/>
    <s v="Secretaria Administriva (Sala de espera)"/>
    <x v="4"/>
    <n v="10"/>
    <n v="32.049999999999997"/>
    <d v="2022-05-13T00:00:00"/>
    <x v="0"/>
  </r>
  <r>
    <m/>
    <x v="1"/>
    <x v="1"/>
    <x v="1"/>
    <m/>
    <m/>
    <x v="15"/>
    <s v="Consultorios_x000a_ Jurídicos y Centro_x000a_ de Conciliación_x000a_"/>
    <s v="Archivo"/>
    <x v="5"/>
    <m/>
    <n v="9.85"/>
    <m/>
    <x v="1"/>
  </r>
  <r>
    <m/>
    <x v="1"/>
    <x v="1"/>
    <x v="1"/>
    <m/>
    <m/>
    <x v="0"/>
    <s v="Consultorios_x000a_ Jurídicos y Centro_x000a_ de Conciliación_x000a_"/>
    <s v="Coordinación de practica"/>
    <x v="5"/>
    <n v="417"/>
    <n v="17.72"/>
    <m/>
    <x v="1"/>
  </r>
  <r>
    <s v="Áreas_docencia"/>
    <x v="0"/>
    <x v="0"/>
    <x v="2"/>
    <s v="B325A"/>
    <n v="2"/>
    <x v="16"/>
    <s v="Decanatura Facultad de Ingenierías"/>
    <s v="Sala Docentes Tc y Mt. Ingenierías "/>
    <x v="4"/>
    <n v="14"/>
    <n v="41.85"/>
    <d v="2022-05-13T00:00:00"/>
    <x v="0"/>
  </r>
  <r>
    <s v="Áreas_docencia"/>
    <x v="0"/>
    <x v="0"/>
    <x v="2"/>
    <s v="B326"/>
    <n v="2"/>
    <x v="17"/>
    <s v="Jefatura de sistemas e Internet"/>
    <s v="Sala de Sistemas No.4"/>
    <x v="4"/>
    <n v="30"/>
    <n v="56.99"/>
    <d v="2022-05-13T00:00:00"/>
    <x v="0"/>
  </r>
  <r>
    <s v="Áreas_docencia"/>
    <x v="0"/>
    <x v="0"/>
    <x v="2"/>
    <s v="B327"/>
    <n v="2"/>
    <x v="0"/>
    <s v="Consultorios_x000a_ Jurídicos y Centro_x000a_ de Conciliación_x000a_"/>
    <s v="derecho laboral"/>
    <x v="4"/>
    <n v="40"/>
    <n v="23.55"/>
    <d v="2022-05-13T00:00:00"/>
    <x v="0"/>
  </r>
  <r>
    <m/>
    <x v="1"/>
    <x v="1"/>
    <x v="1"/>
    <m/>
    <m/>
    <x v="0"/>
    <s v="Consultorios_x000a_ Jurídicos y Centro_x000a_ de Conciliación_x000a_"/>
    <s v="derecho civil"/>
    <x v="5"/>
    <m/>
    <n v="23.78"/>
    <m/>
    <x v="1"/>
  </r>
  <r>
    <s v="Áreas_docencia"/>
    <x v="0"/>
    <x v="0"/>
    <x v="2"/>
    <s v="B328"/>
    <n v="2"/>
    <x v="14"/>
    <s v="Centro de Recursos Educativos "/>
    <s v="Aula de Clases"/>
    <x v="4"/>
    <n v="40"/>
    <n v="57.33"/>
    <d v="2022-05-13T00:00:00"/>
    <x v="0"/>
  </r>
  <r>
    <s v="Áreas_docencia"/>
    <x v="0"/>
    <x v="0"/>
    <x v="2"/>
    <s v="B329"/>
    <n v="2"/>
    <x v="14"/>
    <s v="Centro de Recursos Educativos "/>
    <s v="Aula de Clases"/>
    <x v="4"/>
    <n v="54"/>
    <n v="60.03"/>
    <d v="2022-05-13T00:00:00"/>
    <x v="0"/>
  </r>
  <r>
    <s v="Áreas_bienestar"/>
    <x v="0"/>
    <x v="0"/>
    <x v="2"/>
    <m/>
    <n v="2"/>
    <x v="18"/>
    <s v="Vicerrectoría Administrativa Financiera "/>
    <s v="Oratorio"/>
    <x v="0"/>
    <n v="20"/>
    <n v="30.38"/>
    <d v="2022-05-13T00:00:00"/>
    <x v="0"/>
  </r>
  <r>
    <s v="Áreas_Movilidad_Espacios_libres"/>
    <x v="0"/>
    <x v="0"/>
    <x v="2"/>
    <m/>
    <n v="2"/>
    <x v="7"/>
    <s v="Vicerrectoría Administrativa Financiera "/>
    <s v="Hall Acceso"/>
    <x v="2"/>
    <n v="0"/>
    <n v="19.21"/>
    <d v="2022-05-13T00:00:00"/>
    <x v="0"/>
  </r>
  <r>
    <s v="Áreas_Movilidad_Espacios_libres"/>
    <x v="0"/>
    <x v="0"/>
    <x v="2"/>
    <m/>
    <n v="2"/>
    <x v="6"/>
    <s v="Vicerrectoría Administrativa Financiera "/>
    <s v="Pasillos"/>
    <x v="2"/>
    <n v="0"/>
    <n v="210.05"/>
    <d v="2022-05-13T00:00:00"/>
    <x v="0"/>
  </r>
  <r>
    <s v="Áreas_Movilidad_Espacios_libres"/>
    <x v="0"/>
    <x v="0"/>
    <x v="2"/>
    <m/>
    <n v="2"/>
    <x v="6"/>
    <s v="Vicerrectoría Administrativa Financiera "/>
    <s v="Gradas acceso 1"/>
    <x v="2"/>
    <n v="0"/>
    <n v="5.65"/>
    <d v="2022-05-13T00:00:00"/>
    <x v="0"/>
  </r>
  <r>
    <s v="Áreas_docencia"/>
    <x v="0"/>
    <x v="0"/>
    <x v="2"/>
    <m/>
    <n v="2"/>
    <x v="19"/>
    <s v="Centro de Recursos Educativos "/>
    <s v="Laboratorio de Mantenimiento vacío "/>
    <x v="4"/>
    <n v="24"/>
    <n v="34.270000000000003"/>
    <d v="2022-05-13T00:00:00"/>
    <x v="0"/>
  </r>
  <r>
    <s v="Áreas_docencia"/>
    <x v="0"/>
    <x v="0"/>
    <x v="2"/>
    <m/>
    <n v="2"/>
    <x v="19"/>
    <s v="Centro de Recursos Educativos "/>
    <s v="Laboratorio de Redes "/>
    <x v="4"/>
    <n v="30"/>
    <n v="47.13"/>
    <d v="2022-05-13T00:00:00"/>
    <x v="0"/>
  </r>
  <r>
    <s v="Áreas_docencia"/>
    <x v="0"/>
    <x v="0"/>
    <x v="2"/>
    <m/>
    <n v="2"/>
    <x v="19"/>
    <s v="Centro de Recursos Educativos "/>
    <s v="Laboratorio de Circuítos"/>
    <x v="4"/>
    <n v="24"/>
    <n v="31.63"/>
    <d v="2022-05-13T00:00:00"/>
    <x v="0"/>
  </r>
  <r>
    <s v="Áreas_bienestar"/>
    <x v="0"/>
    <x v="0"/>
    <x v="2"/>
    <m/>
    <n v="2"/>
    <x v="10"/>
    <s v="Vicerrectoría Administrativa Financiera "/>
    <s v="Baños Públicos Caballeros"/>
    <x v="2"/>
    <n v="4"/>
    <n v="11.12"/>
    <d v="2022-05-13T00:00:00"/>
    <x v="0"/>
  </r>
  <r>
    <s v="Áreas_bienestar"/>
    <x v="0"/>
    <x v="0"/>
    <x v="2"/>
    <m/>
    <n v="2"/>
    <x v="10"/>
    <s v="Vicerrectoría Administrativa Financiera "/>
    <s v="Baños Públicos Damas"/>
    <x v="2"/>
    <n v="4"/>
    <n v="10.69"/>
    <d v="2022-05-13T00:00:00"/>
    <x v="0"/>
  </r>
  <r>
    <s v="Áreas_administración"/>
    <x v="0"/>
    <x v="0"/>
    <x v="2"/>
    <m/>
    <n v="2"/>
    <x v="2"/>
    <s v="Vicerrectoría Administrativa Financiera "/>
    <s v="Baños personal Administrativo Mixto"/>
    <x v="2"/>
    <n v="1"/>
    <n v="2.3199999999999998"/>
    <d v="2022-05-13T00:00:00"/>
    <x v="0"/>
  </r>
  <r>
    <s v="Áreas_administración"/>
    <x v="0"/>
    <x v="0"/>
    <x v="2"/>
    <m/>
    <n v="2"/>
    <x v="4"/>
    <s v="Vicerrectoría Administrativa Financiera "/>
    <s v="Cuarto técnico"/>
    <x v="2"/>
    <n v="0"/>
    <n v="10.73"/>
    <d v="2022-05-13T00:00:00"/>
    <x v="0"/>
  </r>
  <r>
    <s v="Áreas_administración"/>
    <x v="0"/>
    <x v="0"/>
    <x v="2"/>
    <m/>
    <n v="2"/>
    <x v="0"/>
    <s v="Consultorios_x000a_ Jurídicos y Centro_x000a_ de Conciliación_x000a_"/>
    <s v="Derecho publico"/>
    <x v="0"/>
    <n v="2"/>
    <n v="21.12"/>
    <d v="2022-05-13T00:00:00"/>
    <x v="0"/>
  </r>
  <r>
    <s v="Áreas_administración"/>
    <x v="0"/>
    <x v="0"/>
    <x v="2"/>
    <m/>
    <n v="2"/>
    <x v="0"/>
    <s v="Consultorios_x000a_ Jurídicos y Centro_x000a_ de Conciliación_x000a_"/>
    <s v="Derecho penal"/>
    <x v="4"/>
    <n v="2"/>
    <n v="22.01"/>
    <d v="2022-05-13T00:00:00"/>
    <x v="0"/>
  </r>
  <r>
    <s v="Áreas_administración"/>
    <x v="0"/>
    <x v="0"/>
    <x v="2"/>
    <m/>
    <n v="2"/>
    <x v="0"/>
    <s v="Consultorios_x000a_ Jurídicos y Centro_x000a_ de Conciliación_x000a_"/>
    <s v="Biblioteca"/>
    <x v="2"/>
    <n v="0"/>
    <n v="13.2"/>
    <d v="2022-05-13T00:00:00"/>
    <x v="0"/>
  </r>
  <r>
    <s v="Áreas_administración"/>
    <x v="0"/>
    <x v="0"/>
    <x v="2"/>
    <m/>
    <n v="2"/>
    <x v="1"/>
    <s v="Consultorios_x000a_ Jurídicos y Centro_x000a_ de Conciliación_x000a_"/>
    <s v="Derecho de familia"/>
    <x v="0"/>
    <n v="15"/>
    <n v="23.01"/>
    <d v="2022-05-13T00:00:00"/>
    <x v="0"/>
  </r>
  <r>
    <s v="Áreas_docencia"/>
    <x v="0"/>
    <x v="0"/>
    <x v="3"/>
    <m/>
    <n v="2"/>
    <x v="0"/>
    <s v="Vicerrectoría de Bienestar Universitario "/>
    <s v="Cord deporte universitario"/>
    <x v="4"/>
    <n v="41"/>
    <n v="35.479999999999997"/>
    <d v="2022-05-17T00:00:00"/>
    <x v="0"/>
  </r>
  <r>
    <s v="Áreas_docencia"/>
    <x v="0"/>
    <x v="0"/>
    <x v="3"/>
    <m/>
    <n v="2"/>
    <x v="18"/>
    <s v="Vicerrectoría de Bienestar Universitario "/>
    <s v="Sala de musica"/>
    <x v="4"/>
    <n v="37"/>
    <n v="35.44"/>
    <d v="2022-05-17T00:00:00"/>
    <x v="0"/>
  </r>
  <r>
    <s v="Áreas_docencia"/>
    <x v="0"/>
    <x v="0"/>
    <x v="3"/>
    <m/>
    <n v="2"/>
    <x v="0"/>
    <s v="Secretaría General "/>
    <s v="Archivo"/>
    <x v="4"/>
    <n v="36"/>
    <n v="37.26"/>
    <d v="2022-05-17T00:00:00"/>
    <x v="0"/>
  </r>
  <r>
    <s v="Áreas_docencia"/>
    <x v="0"/>
    <x v="0"/>
    <x v="3"/>
    <m/>
    <n v="2"/>
    <x v="17"/>
    <s v="Jefatura de sistemas e Internet"/>
    <s v="Sala de Sistemas No.8"/>
    <x v="4"/>
    <n v="50"/>
    <n v="86.05"/>
    <d v="2022-05-17T00:00:00"/>
    <x v="0"/>
  </r>
  <r>
    <s v="Áreas_administración"/>
    <x v="0"/>
    <x v="0"/>
    <x v="3"/>
    <m/>
    <n v="2"/>
    <x v="0"/>
    <s v="Coordinación de Planta Física y Mantenimiento "/>
    <s v="OficinaMantenimiento y Planta física"/>
    <x v="0"/>
    <n v="2"/>
    <n v="22.96"/>
    <d v="2022-05-17T00:00:00"/>
    <x v="0"/>
  </r>
  <r>
    <s v="Áreas_administración"/>
    <x v="0"/>
    <x v="0"/>
    <x v="3"/>
    <m/>
    <n v="3"/>
    <x v="0"/>
    <s v="Jefatura de Desarrollo de Software"/>
    <s v="OficinaJefatura, técnico y auxiliar"/>
    <x v="0"/>
    <n v="9"/>
    <n v="83.43"/>
    <d v="2022-05-17T00:00:00"/>
    <x v="0"/>
  </r>
  <r>
    <s v="Áreas_administración"/>
    <x v="0"/>
    <x v="0"/>
    <x v="3"/>
    <m/>
    <n v="3"/>
    <x v="0"/>
    <s v="Jefatura de Compras y Suministros "/>
    <s v="OficinaJefatura, secretaría, auxiliar"/>
    <x v="0"/>
    <n v="5"/>
    <n v="27.16"/>
    <d v="2022-05-17T00:00:00"/>
    <x v="0"/>
  </r>
  <r>
    <s v="Áreas_bienestar"/>
    <x v="0"/>
    <x v="0"/>
    <x v="3"/>
    <s v=" 204 B"/>
    <n v="2"/>
    <x v="18"/>
    <s v="Vicerrectoría de Bienestar Universitario "/>
    <s v="Salón de Música"/>
    <x v="0"/>
    <n v="10"/>
    <n v="11.5"/>
    <d v="2022-05-17T00:00:00"/>
    <x v="0"/>
  </r>
  <r>
    <s v="Áreas_administración"/>
    <x v="0"/>
    <x v="0"/>
    <x v="3"/>
    <s v="204 A"/>
    <n v="2"/>
    <x v="4"/>
    <s v="Coordinación de Redes y Comunicaciones "/>
    <s v="UPS"/>
    <x v="2"/>
    <n v="0"/>
    <n v="5.98"/>
    <d v="2022-05-17T00:00:00"/>
    <x v="0"/>
  </r>
  <r>
    <s v="Áreas_bienestar"/>
    <x v="0"/>
    <x v="0"/>
    <x v="3"/>
    <s v="204 C"/>
    <n v="2"/>
    <x v="18"/>
    <s v="Vicerrectoría de Bienestar Universitario "/>
    <s v="Instrumento músical"/>
    <x v="0"/>
    <n v="0"/>
    <n v="11.3"/>
    <d v="2022-05-17T00:00:00"/>
    <x v="0"/>
  </r>
  <r>
    <s v="Áreas_bienestar"/>
    <x v="0"/>
    <x v="0"/>
    <x v="3"/>
    <s v="204 D"/>
    <n v="2"/>
    <x v="18"/>
    <s v="Vicerrectoría de Bienestar Universitario "/>
    <s v="Sala de Teatro y música "/>
    <x v="0"/>
    <n v="15"/>
    <n v="70.56"/>
    <d v="2022-05-17T00:00:00"/>
    <x v="0"/>
  </r>
  <r>
    <s v="Áreas_Servicios_a_Comunidad"/>
    <x v="0"/>
    <x v="0"/>
    <x v="3"/>
    <m/>
    <n v="2"/>
    <x v="20"/>
    <s v="Centro de Recursos Educativos "/>
    <s v="Auditorio Santa Clara"/>
    <x v="0"/>
    <n v="80"/>
    <n v="110"/>
    <d v="2022-05-17T00:00:00"/>
    <x v="0"/>
  </r>
  <r>
    <s v="Áreas_administración"/>
    <x v="0"/>
    <x v="0"/>
    <x v="3"/>
    <m/>
    <s v="Sotano"/>
    <x v="12"/>
    <s v="Secretaría General "/>
    <s v="Archivo secretaría General "/>
    <x v="2"/>
    <n v="0"/>
    <n v="44.73"/>
    <d v="2022-05-17T00:00:00"/>
    <x v="0"/>
  </r>
  <r>
    <s v="Áreas_administración"/>
    <x v="0"/>
    <x v="0"/>
    <x v="3"/>
    <m/>
    <s v="Sotano"/>
    <x v="11"/>
    <s v="Vicerrectoría Administrativa Financiera "/>
    <s v="Cuarto de aseo"/>
    <x v="2"/>
    <n v="0"/>
    <n v="2.7"/>
    <d v="2022-05-17T00:00:00"/>
    <x v="0"/>
  </r>
  <r>
    <s v="Áreas_bienestar"/>
    <x v="0"/>
    <x v="0"/>
    <x v="3"/>
    <m/>
    <s v="Sotano"/>
    <x v="10"/>
    <s v="Vicerrectoría Administrativa Financiera "/>
    <s v="Baños Mixto"/>
    <x v="2"/>
    <n v="2"/>
    <n v="9.25"/>
    <d v="2022-05-17T00:00:00"/>
    <x v="0"/>
  </r>
  <r>
    <s v="Áreas_bienestar"/>
    <x v="0"/>
    <x v="0"/>
    <x v="3"/>
    <m/>
    <n v="2"/>
    <x v="10"/>
    <s v="Vicerrectoría Administrativa Financiera "/>
    <s v="Baños Damas teatro y música  "/>
    <x v="2"/>
    <n v="1"/>
    <n v="3.35"/>
    <d v="2022-05-17T00:00:00"/>
    <x v="0"/>
  </r>
  <r>
    <s v="Áreas_bienestar"/>
    <x v="0"/>
    <x v="0"/>
    <x v="3"/>
    <m/>
    <n v="2"/>
    <x v="10"/>
    <s v="Vicerrectoría Administrativa Financiera "/>
    <s v="Baños Hombres teatro  y música"/>
    <x v="2"/>
    <n v="1"/>
    <n v="3.35"/>
    <d v="2022-05-17T00:00:00"/>
    <x v="0"/>
  </r>
  <r>
    <s v="Áreas_Movilidad_Espacios_libres"/>
    <x v="0"/>
    <x v="0"/>
    <x v="3"/>
    <m/>
    <n v="2"/>
    <x v="6"/>
    <s v="Vicerrectoría Administrativa Financiera "/>
    <s v="Pasillos"/>
    <x v="2"/>
    <n v="0"/>
    <n v="196"/>
    <d v="2022-05-17T00:00:00"/>
    <x v="0"/>
  </r>
  <r>
    <s v="Áreas_Movilidad_Espacios_libres"/>
    <x v="0"/>
    <x v="0"/>
    <x v="3"/>
    <m/>
    <n v="2"/>
    <x v="7"/>
    <s v="Vicerrectoría Administrativa Financiera "/>
    <s v="Hall Acceso"/>
    <x v="2"/>
    <n v="0"/>
    <n v="20.55"/>
    <d v="2022-05-17T00:00:00"/>
    <x v="0"/>
  </r>
  <r>
    <s v="Áreas_Movilidad_Espacios_libres"/>
    <x v="0"/>
    <x v="0"/>
    <x v="3"/>
    <m/>
    <n v="2"/>
    <x v="21"/>
    <s v="Vicerrectoría Administrativa Financiera "/>
    <s v="Gradas acceso"/>
    <x v="0"/>
    <n v="0"/>
    <n v="23.77"/>
    <d v="2022-05-17T00:00:00"/>
    <x v="0"/>
  </r>
  <r>
    <s v="Áreas_bienestar"/>
    <x v="0"/>
    <x v="0"/>
    <x v="3"/>
    <m/>
    <n v="3"/>
    <x v="10"/>
    <s v="Vicerrectoría Administrativa Financiera "/>
    <s v="Baños públicos hombre Auditorio Santa Clara "/>
    <x v="2"/>
    <n v="1"/>
    <n v="2.94"/>
    <d v="2022-05-17T00:00:00"/>
    <x v="0"/>
  </r>
  <r>
    <s v="Áreas_bienestar"/>
    <x v="0"/>
    <x v="0"/>
    <x v="3"/>
    <m/>
    <n v="3"/>
    <x v="10"/>
    <s v="Vicerrectoría Administrativa Financiera "/>
    <s v="Baños públicos mujeres Auditorio Santa Clara"/>
    <x v="2"/>
    <n v="1"/>
    <n v="2.19"/>
    <d v="2022-05-17T00:00:00"/>
    <x v="0"/>
  </r>
  <r>
    <s v="Áreas_Movilidad_Espacios_libres"/>
    <x v="0"/>
    <x v="0"/>
    <x v="3"/>
    <m/>
    <n v="3"/>
    <x v="7"/>
    <s v="Vicerrectoría Administrativa Financiera "/>
    <s v="Hall Acceso Auditorio Santa Clara "/>
    <x v="2"/>
    <n v="0"/>
    <n v="31.5"/>
    <d v="2022-05-17T00:00:00"/>
    <x v="0"/>
  </r>
  <r>
    <s v="Áreas_administración"/>
    <x v="0"/>
    <x v="0"/>
    <x v="3"/>
    <m/>
    <n v="2"/>
    <x v="12"/>
    <s v="AEMG"/>
    <s v="Residuos Biológicos "/>
    <x v="2"/>
    <n v="0"/>
    <n v="2.7"/>
    <d v="2022-05-17T00:00:00"/>
    <x v="0"/>
  </r>
  <r>
    <s v="Áreas_administración"/>
    <x v="0"/>
    <x v="0"/>
    <x v="3"/>
    <m/>
    <n v="3"/>
    <x v="12"/>
    <s v="Centro de Recursos Educativos "/>
    <s v="Bodega Auditorio Santa Clara"/>
    <x v="2"/>
    <n v="0"/>
    <n v="4.8"/>
    <d v="2022-05-17T00:00:00"/>
    <x v="0"/>
  </r>
  <r>
    <s v="Áreas_bienestar"/>
    <x v="0"/>
    <x v="2"/>
    <x v="4"/>
    <n v="102"/>
    <n v="1"/>
    <x v="3"/>
    <s v="Vicerrectoría Administrativa Financiera "/>
    <s v="Cafetería Funcionarios"/>
    <x v="0"/>
    <n v="25"/>
    <n v="37.090000000000003"/>
    <d v="2022-05-23T00:00:00"/>
    <x v="0"/>
  </r>
  <r>
    <s v="Áreas_administración"/>
    <x v="0"/>
    <x v="2"/>
    <x v="4"/>
    <s v="101A"/>
    <n v="1"/>
    <x v="0"/>
    <s v="Secretaría General "/>
    <s v="Archivo - unidad de archivo y correspondencia "/>
    <x v="0"/>
    <n v="2"/>
    <n v="10.06"/>
    <d v="2022-05-23T00:00:00"/>
    <x v="0"/>
  </r>
  <r>
    <s v="Áreas_administración"/>
    <x v="0"/>
    <x v="2"/>
    <x v="4"/>
    <s v="101A"/>
    <n v="1"/>
    <x v="0"/>
    <s v="Secretaría General "/>
    <s v="Archivo Cental - Oficina técnicos y auxiliar "/>
    <x v="0"/>
    <n v="3"/>
    <n v="54.95"/>
    <d v="2022-05-23T00:00:00"/>
    <x v="0"/>
  </r>
  <r>
    <s v="Áreas_administración"/>
    <x v="0"/>
    <x v="2"/>
    <x v="4"/>
    <s v="101C"/>
    <n v="1"/>
    <x v="0"/>
    <s v="Secretaría General "/>
    <s v="Proceso de archivo"/>
    <x v="0"/>
    <n v="0"/>
    <n v="23.61"/>
    <d v="2022-05-23T00:00:00"/>
    <x v="0"/>
  </r>
  <r>
    <s v="Áreas_Servicios_a_Comunidad"/>
    <x v="0"/>
    <x v="2"/>
    <x v="4"/>
    <n v="104"/>
    <n v="1"/>
    <x v="22"/>
    <s v="Unidad de Servicios Psicológicos "/>
    <s v="Unidad de servicios psicologicos coordinación y secretaría "/>
    <x v="4"/>
    <n v="2"/>
    <n v="14.69"/>
    <d v="2022-05-23T00:00:00"/>
    <x v="0"/>
  </r>
  <r>
    <s v="Áreas_Servicios_a_Comunidad"/>
    <x v="0"/>
    <x v="2"/>
    <x v="4"/>
    <m/>
    <n v="1"/>
    <x v="22"/>
    <s v="Unidad de Servicios Psicológicos "/>
    <s v="Consultorío 1 USP"/>
    <x v="4"/>
    <n v="2"/>
    <n v="5.65"/>
    <d v="2022-05-23T00:00:00"/>
    <x v="2"/>
  </r>
  <r>
    <s v="Áreas_Servicios_a_Comunidad"/>
    <x v="0"/>
    <x v="2"/>
    <x v="4"/>
    <m/>
    <n v="1"/>
    <x v="22"/>
    <s v="Unidad de Servicios Psicológicos "/>
    <s v="Consultorío 2 USP"/>
    <x v="4"/>
    <n v="2"/>
    <n v="5.65"/>
    <d v="2022-05-23T00:00:00"/>
    <x v="2"/>
  </r>
  <r>
    <s v="Áreas_Servicios_a_Comunidad"/>
    <x v="0"/>
    <x v="2"/>
    <x v="4"/>
    <m/>
    <n v="1"/>
    <x v="22"/>
    <s v="Unidad de Servicios Psicológicos "/>
    <s v="Consultorío 3 USP"/>
    <x v="4"/>
    <n v="2"/>
    <n v="5.65"/>
    <d v="2022-05-23T00:00:00"/>
    <x v="2"/>
  </r>
  <r>
    <s v="Áreas_Servicios_a_Comunidad"/>
    <x v="0"/>
    <x v="2"/>
    <x v="4"/>
    <m/>
    <n v="1"/>
    <x v="22"/>
    <s v="Unidad de Servicios Psicológicos "/>
    <s v="Consultorío 4 USP"/>
    <x v="4"/>
    <n v="2"/>
    <n v="5.65"/>
    <d v="2022-05-23T00:00:00"/>
    <x v="2"/>
  </r>
  <r>
    <s v="Áreas_Servicios_a_Comunidad"/>
    <x v="0"/>
    <x v="2"/>
    <x v="4"/>
    <m/>
    <n v="1"/>
    <x v="22"/>
    <s v="Unidad de Servicios Psicológicos "/>
    <s v="Consultorío 5 USP"/>
    <x v="4"/>
    <n v="2"/>
    <n v="5.65"/>
    <d v="2022-05-23T00:00:00"/>
    <x v="2"/>
  </r>
  <r>
    <s v="Áreas_Servicios_a_Comunidad"/>
    <x v="0"/>
    <x v="2"/>
    <x v="4"/>
    <m/>
    <n v="1"/>
    <x v="22"/>
    <s v="Unidad de Servicios Psicológicos "/>
    <s v="Consultorío 6 USP"/>
    <x v="4"/>
    <n v="2"/>
    <n v="6.42"/>
    <d v="2022-05-23T00:00:00"/>
    <x v="2"/>
  </r>
  <r>
    <s v="Áreas_administración"/>
    <x v="0"/>
    <x v="2"/>
    <x v="4"/>
    <m/>
    <n v="1"/>
    <x v="4"/>
    <s v="Coordinación de Planta Física y Mantenimiento "/>
    <s v="Cuarto tecnico"/>
    <x v="1"/>
    <n v="1"/>
    <n v="6.73"/>
    <d v="2022-05-23T00:00:00"/>
    <x v="2"/>
  </r>
  <r>
    <s v="Áreas_administración"/>
    <x v="0"/>
    <x v="2"/>
    <x v="4"/>
    <m/>
    <n v="1"/>
    <x v="22"/>
    <s v="Unidad de Servicios Psicológicos "/>
    <s v="Deposito de residuos"/>
    <x v="4"/>
    <n v="1"/>
    <n v="1.34"/>
    <d v="2022-05-23T00:00:00"/>
    <x v="2"/>
  </r>
  <r>
    <s v="Áreas_administración"/>
    <x v="0"/>
    <x v="2"/>
    <x v="4"/>
    <m/>
    <n v="1"/>
    <x v="22"/>
    <s v="Unidad de Servicios Psicológicos "/>
    <s v="hall de circulacion"/>
    <x v="0"/>
    <n v="10"/>
    <n v="19.75"/>
    <d v="2022-05-23T00:00:00"/>
    <x v="0"/>
  </r>
  <r>
    <s v="Áreas_administración"/>
    <x v="0"/>
    <x v="2"/>
    <x v="4"/>
    <m/>
    <n v="1"/>
    <x v="22"/>
    <s v="Unidad de Servicios Psicológicos "/>
    <s v="sala de espera"/>
    <x v="0"/>
    <n v="15"/>
    <n v="11.3"/>
    <d v="2022-05-23T00:00:00"/>
    <x v="0"/>
  </r>
  <r>
    <s v="Áreas_Servicios_a_Comunidad"/>
    <x v="0"/>
    <x v="2"/>
    <x v="4"/>
    <n v="105"/>
    <n v="1"/>
    <x v="22"/>
    <s v="Unidad de Servicios Psicológicos "/>
    <s v="Archivo"/>
    <x v="4"/>
    <n v="1"/>
    <n v="3.17"/>
    <d v="2022-05-23T00:00:00"/>
    <x v="0"/>
  </r>
  <r>
    <s v="Áreas_administración"/>
    <x v="0"/>
    <x v="2"/>
    <x v="4"/>
    <n v="106"/>
    <n v="1"/>
    <x v="4"/>
    <s v="Coordinación de Redes y Comunicaciones "/>
    <s v="Cuarto técnico "/>
    <x v="2"/>
    <n v="1"/>
    <n v="6.73"/>
    <d v="2022-05-23T00:00:00"/>
    <x v="0"/>
  </r>
  <r>
    <s v="Áreas_administración"/>
    <x v="0"/>
    <x v="2"/>
    <x v="4"/>
    <m/>
    <n v="1"/>
    <x v="5"/>
    <s v="Vicerrectoría Administrativa Financiera "/>
    <s v="cuarto de aseo"/>
    <x v="0"/>
    <n v="1"/>
    <n v="3.8"/>
    <d v="2022-05-23T00:00:00"/>
    <x v="0"/>
  </r>
  <r>
    <s v="Áreas_administración"/>
    <x v="0"/>
    <x v="2"/>
    <x v="5"/>
    <m/>
    <n v="1"/>
    <x v="23"/>
    <s v="Vicerrectoría Administrativa Financiera "/>
    <s v="Cafetería Pública"/>
    <x v="0"/>
    <n v="93"/>
    <n v="234.1"/>
    <d v="2022-05-23T00:00:00"/>
    <x v="0"/>
  </r>
  <r>
    <s v="Áreas_administración"/>
    <x v="0"/>
    <x v="2"/>
    <x v="5"/>
    <m/>
    <n v="1"/>
    <x v="24"/>
    <s v="Biblioteca"/>
    <s v="Biblioteca - Casilleros "/>
    <x v="1"/>
    <n v="110"/>
    <n v="12.08"/>
    <d v="2022-05-23T00:00:00"/>
    <x v="0"/>
  </r>
  <r>
    <s v="Áreas_administración"/>
    <x v="0"/>
    <x v="2"/>
    <x v="5"/>
    <m/>
    <n v="1"/>
    <x v="24"/>
    <s v="Biblioteca"/>
    <s v="Prestamo y devolucion "/>
    <x v="1"/>
    <n v="2"/>
    <n v="10.61"/>
    <d v="2022-05-23T00:00:00"/>
    <x v="0"/>
  </r>
  <r>
    <s v="Áreas_administración"/>
    <x v="0"/>
    <x v="2"/>
    <x v="5"/>
    <m/>
    <n v="1"/>
    <x v="24"/>
    <s v="Biblioteca"/>
    <s v="Fotocopiadora Pública"/>
    <x v="1"/>
    <n v="1"/>
    <n v="5.41"/>
    <d v="2022-05-23T00:00:00"/>
    <x v="0"/>
  </r>
  <r>
    <s v="Áreas_administración"/>
    <x v="0"/>
    <x v="2"/>
    <x v="5"/>
    <m/>
    <n v="1"/>
    <x v="24"/>
    <s v="Biblioteca"/>
    <s v="Depositos"/>
    <x v="1"/>
    <n v="1"/>
    <n v="2.71"/>
    <d v="2022-05-23T00:00:00"/>
    <x v="2"/>
  </r>
  <r>
    <s v="Áreas_administración"/>
    <x v="0"/>
    <x v="2"/>
    <x v="5"/>
    <m/>
    <n v="1"/>
    <x v="24"/>
    <s v="Biblioteca"/>
    <s v="Prestamo y devolucion "/>
    <x v="1"/>
    <n v="1"/>
    <n v="8.91"/>
    <d v="2022-05-23T00:00:00"/>
    <x v="0"/>
  </r>
  <r>
    <s v="Áreas_administración"/>
    <x v="0"/>
    <x v="2"/>
    <x v="5"/>
    <m/>
    <n v="1"/>
    <x v="0"/>
    <s v="Biblioteca"/>
    <s v="Direccion"/>
    <x v="1"/>
    <n v="1"/>
    <n v="10.6"/>
    <d v="2022-05-23T00:00:00"/>
    <x v="2"/>
  </r>
  <r>
    <s v="Áreas_administración"/>
    <x v="0"/>
    <x v="2"/>
    <x v="5"/>
    <m/>
    <n v="1"/>
    <x v="0"/>
    <s v="Biblioteca"/>
    <s v="Sistemas"/>
    <x v="1"/>
    <n v="1"/>
    <n v="10.57"/>
    <d v="2022-05-23T00:00:00"/>
    <x v="0"/>
  </r>
  <r>
    <s v="Áreas_administración"/>
    <x v="0"/>
    <x v="2"/>
    <x v="5"/>
    <m/>
    <n v="1"/>
    <x v="0"/>
    <s v="Biblioteca"/>
    <s v="Procesos tecnicos"/>
    <x v="1"/>
    <n v="2"/>
    <n v="28.55"/>
    <d v="2022-05-23T00:00:00"/>
    <x v="2"/>
  </r>
  <r>
    <s v="Áreas_docencia"/>
    <x v="0"/>
    <x v="2"/>
    <x v="5"/>
    <m/>
    <n v="1"/>
    <x v="0"/>
    <s v="Rectoría"/>
    <s v="Secretaria vicerrector"/>
    <x v="1"/>
    <n v="3"/>
    <n v="16.420000000000002"/>
    <d v="2022-05-23T00:00:00"/>
    <x v="0"/>
  </r>
  <r>
    <s v="Áreas_administración"/>
    <x v="0"/>
    <x v="2"/>
    <x v="5"/>
    <m/>
    <n v="1"/>
    <x v="0"/>
    <s v="Biblioteca"/>
    <s v="vicerrectoria evangelizacion de las culturas"/>
    <x v="1"/>
    <n v="1"/>
    <n v="20.28"/>
    <d v="2022-05-23T00:00:00"/>
    <x v="0"/>
  </r>
  <r>
    <s v="Áreas_administración"/>
    <x v="0"/>
    <x v="2"/>
    <x v="5"/>
    <m/>
    <n v="1"/>
    <x v="24"/>
    <s v="Biblioteca"/>
    <s v="Sala general"/>
    <x v="1"/>
    <n v="51"/>
    <n v="96.12"/>
    <d v="2022-05-23T00:00:00"/>
    <x v="0"/>
  </r>
  <r>
    <s v="Áreas_Movilidad_Espacios_libres"/>
    <x v="0"/>
    <x v="2"/>
    <x v="5"/>
    <m/>
    <n v="1"/>
    <x v="6"/>
    <s v="Biblioteca"/>
    <s v="Biblioteca - Pasillos "/>
    <x v="2"/>
    <n v="0"/>
    <n v="97.81"/>
    <d v="2022-05-23T00:00:00"/>
    <x v="0"/>
  </r>
  <r>
    <s v="Áreas_administración"/>
    <x v="0"/>
    <x v="2"/>
    <x v="5"/>
    <m/>
    <n v="1"/>
    <x v="24"/>
    <s v="Biblioteca"/>
    <s v="Sala de reserva"/>
    <x v="1"/>
    <n v="2"/>
    <n v="143.11000000000001"/>
    <d v="2022-05-23T00:00:00"/>
    <x v="0"/>
  </r>
  <r>
    <s v="Áreas_administración"/>
    <x v="0"/>
    <x v="2"/>
    <x v="5"/>
    <m/>
    <n v="1"/>
    <x v="24"/>
    <s v="Biblioteca"/>
    <s v="consulta informatica"/>
    <x v="1"/>
    <n v="10"/>
    <n v="5.43"/>
    <d v="2022-05-23T00:00:00"/>
    <x v="0"/>
  </r>
  <r>
    <s v="Áreas_administración"/>
    <x v="0"/>
    <x v="2"/>
    <x v="5"/>
    <m/>
    <n v="1"/>
    <x v="24"/>
    <s v="Biblioteca"/>
    <s v="Area documentos tesis"/>
    <x v="1"/>
    <n v="34"/>
    <n v="85.47"/>
    <d v="2022-05-23T00:00:00"/>
    <x v="0"/>
  </r>
  <r>
    <s v="Áreas_administración"/>
    <x v="0"/>
    <x v="2"/>
    <x v="5"/>
    <m/>
    <n v="1"/>
    <x v="24"/>
    <s v="Biblioteca"/>
    <s v="Hemeroteca"/>
    <x v="1"/>
    <n v="30"/>
    <n v="74.09"/>
    <d v="2022-05-23T00:00:00"/>
    <x v="0"/>
  </r>
  <r>
    <s v="Áreas_administración"/>
    <x v="0"/>
    <x v="2"/>
    <x v="5"/>
    <m/>
    <n v="1"/>
    <x v="24"/>
    <s v="Biblioteca"/>
    <s v="Escaleras - Acceso segundo piso"/>
    <x v="1"/>
    <n v="0"/>
    <n v="10.35"/>
    <d v="2022-05-23T00:00:00"/>
    <x v="0"/>
  </r>
  <r>
    <s v="Áreas_administración"/>
    <x v="0"/>
    <x v="2"/>
    <x v="5"/>
    <m/>
    <n v="1"/>
    <x v="24"/>
    <s v="Biblioteca"/>
    <s v="Lectura Libre - Area de muebles"/>
    <x v="1"/>
    <n v="12"/>
    <n v="22.81"/>
    <d v="2022-05-23T00:00:00"/>
    <x v="0"/>
  </r>
  <r>
    <s v="Áreas_administración"/>
    <x v="0"/>
    <x v="2"/>
    <x v="5"/>
    <m/>
    <n v="1"/>
    <x v="2"/>
    <s v="Vicerrectoría Administrativa Financiera "/>
    <s v="BañoS OficinaHombres 1ER PISO"/>
    <x v="2"/>
    <n v="1"/>
    <n v="1.65"/>
    <d v="2022-05-23T00:00:00"/>
    <x v="0"/>
  </r>
  <r>
    <s v="Áreas_administración"/>
    <x v="0"/>
    <x v="2"/>
    <x v="4"/>
    <m/>
    <n v="1"/>
    <x v="2"/>
    <s v="Vicerrectoría Administrativa Financiera "/>
    <s v="Baño OficinaMujeres 1ER PISO"/>
    <x v="2"/>
    <n v="1"/>
    <n v="1.649"/>
    <d v="2022-05-23T00:00:00"/>
    <x v="0"/>
  </r>
  <r>
    <s v="Áreas_administración"/>
    <x v="0"/>
    <x v="2"/>
    <x v="5"/>
    <m/>
    <n v="1"/>
    <x v="2"/>
    <s v="Vicerrectoría Administrativa Financiera "/>
    <s v="Baño OficinaMujeres 1ER PISO"/>
    <x v="2"/>
    <n v="1"/>
    <n v="1.649"/>
    <d v="2022-05-23T00:00:00"/>
    <x v="0"/>
  </r>
  <r>
    <s v="Áreas_bienestar"/>
    <x v="0"/>
    <x v="2"/>
    <x v="4"/>
    <m/>
    <n v="1"/>
    <x v="10"/>
    <s v="Coordinación de Planta Física y Mantenimiento "/>
    <s v="Baño hombres 1ER PISO"/>
    <x v="2"/>
    <n v="1"/>
    <n v="4.7"/>
    <d v="2022-05-23T00:00:00"/>
    <x v="0"/>
  </r>
  <r>
    <s v="Áreas_bienestar"/>
    <x v="0"/>
    <x v="2"/>
    <x v="4"/>
    <m/>
    <n v="1"/>
    <x v="10"/>
    <s v="Coordinación de Planta Física y Mantenimiento "/>
    <s v="Baño mujeres 1ER PISO "/>
    <x v="2"/>
    <n v="2"/>
    <n v="4.7"/>
    <d v="2022-05-23T00:00:00"/>
    <x v="0"/>
  </r>
  <r>
    <s v="Áreas_bienestar"/>
    <x v="0"/>
    <x v="2"/>
    <x v="4"/>
    <m/>
    <n v="1"/>
    <x v="10"/>
    <s v="Coordinación de Planta Física y Mantenimiento "/>
    <s v="Baño para movilidad reducida x2"/>
    <x v="2"/>
    <n v="1"/>
    <n v="7.52"/>
    <d v="2022-05-23T00:00:00"/>
    <x v="0"/>
  </r>
  <r>
    <s v="Áreas_Movilidad_Espacios_libres"/>
    <x v="0"/>
    <x v="2"/>
    <x v="4"/>
    <m/>
    <n v="1"/>
    <x v="6"/>
    <s v="Vicerrectoría Administrativa Financiera "/>
    <s v="Pasillos exterior primer piso "/>
    <x v="2"/>
    <n v="0"/>
    <n v="115.86"/>
    <d v="2022-05-23T00:00:00"/>
    <x v="0"/>
  </r>
  <r>
    <s v="Áreas_Movilidad_Espacios_libres"/>
    <x v="0"/>
    <x v="2"/>
    <x v="4"/>
    <m/>
    <n v="1"/>
    <x v="6"/>
    <s v="Vicerrectoría Administrativa Financiera "/>
    <s v="Pasillos interior primer piso "/>
    <x v="2"/>
    <n v="0"/>
    <n v="127.15"/>
    <d v="2022-05-23T00:00:00"/>
    <x v="0"/>
  </r>
  <r>
    <s v="Áreas_Movilidad_Espacios_libres"/>
    <x v="0"/>
    <x v="2"/>
    <x v="4"/>
    <m/>
    <n v="1"/>
    <x v="21"/>
    <s v="Vicerrectoría Administrativa Financiera "/>
    <s v="Gradas acceso primer piso"/>
    <x v="0"/>
    <n v="0"/>
    <n v="16.2"/>
    <d v="2022-05-23T00:00:00"/>
    <x v="0"/>
  </r>
  <r>
    <s v="Áreas_docencia"/>
    <x v="0"/>
    <x v="2"/>
    <x v="4"/>
    <s v="H201"/>
    <n v="2"/>
    <x v="14"/>
    <s v="Centro de Recursos Educativos "/>
    <s v="Aula de clases video beam instalado"/>
    <x v="4"/>
    <n v="16"/>
    <n v="31.6"/>
    <d v="2022-05-25T00:00:00"/>
    <x v="2"/>
  </r>
  <r>
    <s v="Áreas_docencia"/>
    <x v="0"/>
    <x v="2"/>
    <x v="5"/>
    <n v="207"/>
    <n v="2"/>
    <x v="16"/>
    <s v="Decanatura Ciencias Adminstrativas y Contables"/>
    <s v="Sala de docentes  TC Administración y Contaduría "/>
    <x v="4"/>
    <n v="20"/>
    <n v="50.75"/>
    <d v="2022-05-25T00:00:00"/>
    <x v="2"/>
  </r>
  <r>
    <s v="Áreas_docencia"/>
    <x v="0"/>
    <x v="2"/>
    <x v="4"/>
    <s v="I208"/>
    <n v="2"/>
    <x v="14"/>
    <s v="Centro de Recursos Educativos "/>
    <s v="Aula de Clases"/>
    <x v="4"/>
    <n v="22"/>
    <n v="43.78"/>
    <d v="2022-05-25T00:00:00"/>
    <x v="2"/>
  </r>
  <r>
    <s v="Áreas_docencia"/>
    <x v="0"/>
    <x v="2"/>
    <x v="4"/>
    <s v="I209"/>
    <n v="2"/>
    <x v="14"/>
    <s v="Centro de Recursos Educativos "/>
    <s v="Aula de Clases"/>
    <x v="4"/>
    <n v="26"/>
    <n v="52.43"/>
    <d v="2022-05-25T00:00:00"/>
    <x v="2"/>
  </r>
  <r>
    <s v="Áreas_docencia"/>
    <x v="0"/>
    <x v="2"/>
    <x v="4"/>
    <s v="I212"/>
    <n v="2"/>
    <x v="14"/>
    <s v="Centro de Recursos Educativos "/>
    <s v="Aula de Clases"/>
    <x v="4"/>
    <n v="25"/>
    <n v="50.05"/>
    <d v="2022-05-25T00:00:00"/>
    <x v="2"/>
  </r>
  <r>
    <s v="Áreas_docencia"/>
    <x v="0"/>
    <x v="2"/>
    <x v="4"/>
    <s v="I213"/>
    <n v="2"/>
    <x v="14"/>
    <s v="Centro de Recursos Educativos "/>
    <s v="Aula de Clases"/>
    <x v="4"/>
    <n v="27"/>
    <n v="50"/>
    <d v="2022-05-25T00:00:00"/>
    <x v="2"/>
  </r>
  <r>
    <s v="Áreas_docencia"/>
    <x v="0"/>
    <x v="2"/>
    <x v="4"/>
    <m/>
    <n v="2"/>
    <x v="25"/>
    <s v="Vicerrectoría de Investigaciones"/>
    <s v="Sala de semilleros de investigacion y editorial "/>
    <x v="3"/>
    <n v="12"/>
    <n v="50.13"/>
    <d v="2022-05-25T00:00:00"/>
    <x v="2"/>
  </r>
  <r>
    <s v="Áreas_docencia"/>
    <x v="0"/>
    <x v="2"/>
    <x v="5"/>
    <s v="206 E y F"/>
    <n v="2"/>
    <x v="16"/>
    <s v="Decanatura Ciencias Adminstrativas y Contables"/>
    <s v="Sala de Creditos"/>
    <x v="4"/>
    <n v="14"/>
    <n v="33.119999999999997"/>
    <d v="2022-05-25T00:00:00"/>
    <x v="2"/>
  </r>
  <r>
    <s v="Áreas_administración"/>
    <x v="0"/>
    <x v="2"/>
    <x v="5"/>
    <s v="206A"/>
    <n v="2"/>
    <x v="0"/>
    <s v="Programa de Contaduría Pública"/>
    <s v="Oficina Secretaría de programa "/>
    <x v="4"/>
    <n v="2"/>
    <n v="21.91"/>
    <d v="2022-05-25T00:00:00"/>
    <x v="2"/>
  </r>
  <r>
    <s v="Áreas_administración"/>
    <x v="0"/>
    <x v="2"/>
    <x v="5"/>
    <s v="206B"/>
    <n v="2"/>
    <x v="0"/>
    <s v="Programa de Contaduría Pública"/>
    <s v="Oficina Dirección de programa "/>
    <x v="4"/>
    <n v="1"/>
    <n v="10.119999999999999"/>
    <d v="2022-05-25T00:00:00"/>
    <x v="2"/>
  </r>
  <r>
    <s v="Áreas_administración"/>
    <x v="0"/>
    <x v="2"/>
    <x v="5"/>
    <s v="206C"/>
    <n v="2"/>
    <x v="0"/>
    <s v="Programa de Administración de Empresas"/>
    <s v="Oficina Secretaría de programa "/>
    <x v="4"/>
    <n v="1"/>
    <n v="19.21"/>
    <d v="2022-05-25T00:00:00"/>
    <x v="2"/>
  </r>
  <r>
    <s v="Áreas_administración"/>
    <x v="0"/>
    <x v="2"/>
    <x v="5"/>
    <s v="206D"/>
    <n v="2"/>
    <x v="0"/>
    <s v="Programa de Administración de Empresas"/>
    <s v="Oficina Dirección e programa "/>
    <x v="4"/>
    <n v="1"/>
    <n v="16.440000000000001"/>
    <d v="2022-05-25T00:00:00"/>
    <x v="2"/>
  </r>
  <r>
    <s v="Áreas_administración"/>
    <x v="0"/>
    <x v="2"/>
    <x v="4"/>
    <m/>
    <n v="2"/>
    <x v="1"/>
    <s v="Centro de Recursos Educativos "/>
    <s v="Sala de Juntas (Bellina)"/>
    <x v="0"/>
    <n v="20"/>
    <n v="43.62"/>
    <d v="2022-05-25T00:00:00"/>
    <x v="2"/>
  </r>
  <r>
    <s v="Áreas_administración"/>
    <x v="0"/>
    <x v="2"/>
    <x v="4"/>
    <m/>
    <n v="2"/>
    <x v="9"/>
    <s v="Programa de Administración de Empresas"/>
    <s v="Sala de espera 2 do piso"/>
    <x v="0"/>
    <n v="12"/>
    <n v="17.48"/>
    <d v="2022-05-25T00:00:00"/>
    <x v="2"/>
  </r>
  <r>
    <s v="Áreas_administración"/>
    <x v="0"/>
    <x v="2"/>
    <x v="4"/>
    <m/>
    <n v="2"/>
    <x v="0"/>
    <s v="Centro de Recursos Educativos "/>
    <s v="Multicopias CREE"/>
    <x v="0"/>
    <n v="2"/>
    <n v="10.130000000000001"/>
    <d v="2022-05-25T00:00:00"/>
    <x v="2"/>
  </r>
  <r>
    <s v="Áreas_administración"/>
    <x v="0"/>
    <x v="2"/>
    <x v="4"/>
    <m/>
    <n v="2"/>
    <x v="0"/>
    <s v="Centro de Recursos Educativos "/>
    <s v="Oficina Secretaría CRE"/>
    <x v="0"/>
    <n v="1"/>
    <n v="10.11"/>
    <d v="2022-05-25T00:00:00"/>
    <x v="2"/>
  </r>
  <r>
    <s v="Áreas_administración"/>
    <x v="0"/>
    <x v="2"/>
    <x v="4"/>
    <m/>
    <n v="2"/>
    <x v="0"/>
    <s v="Centro de Recursos Educativos "/>
    <s v="Oficina Direccion CRE"/>
    <x v="0"/>
    <n v="1"/>
    <n v="16.66"/>
    <d v="2022-05-25T00:00:00"/>
    <x v="2"/>
  </r>
  <r>
    <s v="Áreas_administración"/>
    <x v="0"/>
    <x v="2"/>
    <x v="4"/>
    <m/>
    <n v="2"/>
    <x v="12"/>
    <s v="Centro de Recursos Educativos "/>
    <s v="Bodega Direccion CRE"/>
    <x v="2"/>
    <n v="0"/>
    <n v="7.21"/>
    <d v="2022-05-25T00:00:00"/>
    <x v="2"/>
  </r>
  <r>
    <s v="Áreas_administración"/>
    <x v="0"/>
    <x v="2"/>
    <x v="4"/>
    <m/>
    <n v="2"/>
    <x v="0"/>
    <s v="Centro de Recursos Educativos "/>
    <s v="Oficina Auxiliares CRE"/>
    <x v="0"/>
    <n v="7"/>
    <n v="19.559999999999999"/>
    <d v="2022-05-25T00:00:00"/>
    <x v="2"/>
  </r>
  <r>
    <s v="Áreas_administración"/>
    <x v="0"/>
    <x v="2"/>
    <x v="4"/>
    <m/>
    <n v="2"/>
    <x v="12"/>
    <s v="Centro de Recursos Educativos "/>
    <s v="Deposito material  audivisual"/>
    <x v="2"/>
    <n v="0"/>
    <n v="27.17"/>
    <d v="2022-05-25T00:00:00"/>
    <x v="2"/>
  </r>
  <r>
    <s v="Áreas_administración"/>
    <x v="0"/>
    <x v="2"/>
    <x v="4"/>
    <m/>
    <n v="2"/>
    <x v="0"/>
    <s v="Centro de Recursos Educativos "/>
    <s v="Centro de idiomas"/>
    <x v="0"/>
    <n v="3"/>
    <n v="11.1"/>
    <d v="2022-05-25T00:00:00"/>
    <x v="2"/>
  </r>
  <r>
    <s v="Áreas_administración"/>
    <x v="0"/>
    <x v="2"/>
    <x v="4"/>
    <m/>
    <n v="2"/>
    <x v="0"/>
    <s v="Centro de Recursos Educativos "/>
    <s v="Sala de docentes idiomas"/>
    <x v="4"/>
    <n v="10"/>
    <n v="22.67"/>
    <d v="2022-05-25T00:00:00"/>
    <x v="2"/>
  </r>
  <r>
    <s v="Áreas_administración"/>
    <x v="0"/>
    <x v="2"/>
    <x v="4"/>
    <m/>
    <n v="2"/>
    <x v="0"/>
    <s v="Centro de Recursos Educativos "/>
    <s v="Direccion departamento de Idiomas"/>
    <x v="4"/>
    <n v="3"/>
    <n v="11.2"/>
    <d v="2022-05-25T00:00:00"/>
    <x v="2"/>
  </r>
  <r>
    <s v="Áreas_administración"/>
    <x v="0"/>
    <x v="2"/>
    <x v="4"/>
    <m/>
    <n v="2"/>
    <x v="0"/>
    <s v="Rectoría"/>
    <s v="Oficina Relaciones interuniversitarias "/>
    <x v="0"/>
    <n v="2"/>
    <n v="21.29"/>
    <d v="2022-05-25T00:00:00"/>
    <x v="2"/>
  </r>
  <r>
    <s v="Áreas_administración"/>
    <x v="0"/>
    <x v="2"/>
    <x v="4"/>
    <m/>
    <n v="2"/>
    <x v="0"/>
    <s v="Coordinación Internacionalización "/>
    <s v="Coordinacion e internacionalizacion y proyeccion universitaria"/>
    <x v="4"/>
    <n v="17"/>
    <n v="42.18"/>
    <d v="2022-05-25T00:00:00"/>
    <x v="2"/>
  </r>
  <r>
    <s v="Áreas_administración"/>
    <x v="0"/>
    <x v="2"/>
    <x v="4"/>
    <m/>
    <n v="2"/>
    <x v="0"/>
    <s v="Coordinación Egresados "/>
    <s v="Coordinacion de Egresados"/>
    <x v="4"/>
    <n v="3"/>
    <n v="9.68"/>
    <d v="2022-05-25T00:00:00"/>
    <x v="2"/>
  </r>
  <r>
    <s v="Áreas_administración"/>
    <x v="0"/>
    <x v="2"/>
    <x v="4"/>
    <m/>
    <n v="2"/>
    <x v="0"/>
    <s v="Dirección de Posgrados "/>
    <s v="Coordinacion de posgrados y maestrias"/>
    <x v="4"/>
    <n v="38"/>
    <n v="74.27"/>
    <d v="2022-05-25T00:00:00"/>
    <x v="2"/>
  </r>
  <r>
    <s v="Áreas_administración"/>
    <x v="0"/>
    <x v="2"/>
    <x v="4"/>
    <m/>
    <n v="2"/>
    <x v="2"/>
    <s v="Vicerrectoría Administrativa Financiera "/>
    <s v="Baños administrativos damas "/>
    <x v="2"/>
    <n v="1"/>
    <n v="3.63"/>
    <d v="2022-05-25T00:00:00"/>
    <x v="2"/>
  </r>
  <r>
    <s v="Áreas_bienestar"/>
    <x v="0"/>
    <x v="2"/>
    <x v="4"/>
    <m/>
    <n v="2"/>
    <x v="2"/>
    <s v="Vicerrectoría Administrativa Financiera "/>
    <s v="Baños administrativos caballeros"/>
    <x v="2"/>
    <n v="1"/>
    <n v="3.63"/>
    <d v="2022-05-25T00:00:00"/>
    <x v="2"/>
  </r>
  <r>
    <s v="Áreas_administración"/>
    <x v="0"/>
    <x v="2"/>
    <x v="4"/>
    <m/>
    <n v="2"/>
    <x v="2"/>
    <s v="Vicerrectoría Administrativa Financiera "/>
    <s v="Baños Administrativos Damas Decanatura ciencias Admon y contables "/>
    <x v="2"/>
    <n v="1"/>
    <n v="1.6"/>
    <d v="2022-05-25T00:00:00"/>
    <x v="2"/>
  </r>
  <r>
    <s v="Áreas_administración"/>
    <x v="0"/>
    <x v="2"/>
    <x v="4"/>
    <m/>
    <n v="2"/>
    <x v="2"/>
    <s v="Vicerrectoría Administrativa Financiera "/>
    <s v="Baños administrativos hombres Decanatura ciencias Admon y contables  "/>
    <x v="2"/>
    <n v="1"/>
    <n v="1.6"/>
    <d v="2022-05-25T00:00:00"/>
    <x v="2"/>
  </r>
  <r>
    <s v="Áreas_bienestar"/>
    <x v="0"/>
    <x v="2"/>
    <x v="4"/>
    <m/>
    <n v="2"/>
    <x v="10"/>
    <s v="Vicerrectoría Administrativa Financiera "/>
    <s v="Baños públicos caballeros"/>
    <x v="2"/>
    <n v="1"/>
    <n v="8.26"/>
    <d v="2022-05-25T00:00:00"/>
    <x v="0"/>
  </r>
  <r>
    <s v="Áreas_Movilidad_Espacios_libres"/>
    <x v="0"/>
    <x v="2"/>
    <x v="4"/>
    <m/>
    <n v="2"/>
    <x v="21"/>
    <s v="Coordinación de Planta Física y Mantenimiento "/>
    <s v="Escaleras piso a piso"/>
    <x v="0"/>
    <n v="0"/>
    <n v="16.190000000000001"/>
    <d v="2022-05-25T00:00:00"/>
    <x v="0"/>
  </r>
  <r>
    <s v="Áreas_Movilidad_Espacios_libres"/>
    <x v="0"/>
    <x v="2"/>
    <x v="4"/>
    <m/>
    <n v="2"/>
    <x v="6"/>
    <s v="Vicerrectoría Administrativa Financiera "/>
    <s v="Pasillos general segundo piso "/>
    <x v="2"/>
    <n v="0"/>
    <n v="277.39999999999998"/>
    <d v="2022-05-25T00:00:00"/>
    <x v="0"/>
  </r>
  <r>
    <s v="Áreas_bienestar"/>
    <x v="0"/>
    <x v="2"/>
    <x v="4"/>
    <m/>
    <n v="2"/>
    <x v="18"/>
    <s v="Vicerrectoría Administrativa Financiera "/>
    <s v="Hall estudio - descanso (mesas)"/>
    <x v="0"/>
    <n v="0"/>
    <n v="28.09"/>
    <d v="2022-05-25T00:00:00"/>
    <x v="2"/>
  </r>
  <r>
    <s v="Áreas_administración"/>
    <x v="0"/>
    <x v="2"/>
    <x v="5"/>
    <m/>
    <n v="2"/>
    <x v="12"/>
    <s v="Jefatura de Compras y Suministros "/>
    <s v="Deposito de compras"/>
    <x v="2"/>
    <n v="0"/>
    <n v="6.7"/>
    <d v="2022-05-25T00:00:00"/>
    <x v="2"/>
  </r>
  <r>
    <s v="Áreas_administración"/>
    <x v="0"/>
    <x v="2"/>
    <x v="5"/>
    <m/>
    <n v="2"/>
    <x v="11"/>
    <s v="Vicerrectoría Administrativa Financiera "/>
    <s v="Cuarto de aseo"/>
    <x v="2"/>
    <n v="0"/>
    <n v="3.03"/>
    <d v="2022-05-25T00:00:00"/>
    <x v="2"/>
  </r>
  <r>
    <s v="Áreas_administración"/>
    <x v="0"/>
    <x v="2"/>
    <x v="5"/>
    <m/>
    <n v="2"/>
    <x v="4"/>
    <s v="Coordinación de Redes y Comunicaciones "/>
    <s v="Cuarto técnico "/>
    <x v="2"/>
    <n v="0"/>
    <n v="7.41"/>
    <d v="2022-05-25T00:00:00"/>
    <x v="2"/>
  </r>
  <r>
    <s v="Áreas_docencia"/>
    <x v="0"/>
    <x v="2"/>
    <x v="5"/>
    <m/>
    <n v="2"/>
    <x v="24"/>
    <s v="Biblioteca"/>
    <s v="Biblioteca - Balcon "/>
    <x v="1"/>
    <n v="25"/>
    <n v="29.44"/>
    <d v="2022-05-25T00:00:00"/>
    <x v="2"/>
  </r>
  <r>
    <s v="Áreas_docencia"/>
    <x v="0"/>
    <x v="2"/>
    <x v="5"/>
    <m/>
    <n v="2"/>
    <x v="24"/>
    <s v="Biblioteca"/>
    <s v="Biblioteca - Planoteca"/>
    <x v="1"/>
    <n v="35"/>
    <n v="64.39"/>
    <d v="2022-05-25T00:00:00"/>
    <x v="2"/>
  </r>
  <r>
    <s v="Áreas_docencia"/>
    <x v="0"/>
    <x v="2"/>
    <x v="5"/>
    <m/>
    <n v="2"/>
    <x v="24"/>
    <s v="Biblioteca"/>
    <s v="BibliotecaSala Fray Ansermo Caradona fondos especiales y autores Nariñenses "/>
    <x v="1"/>
    <n v="20"/>
    <n v="40.06"/>
    <d v="2022-05-25T00:00:00"/>
    <x v="2"/>
  </r>
  <r>
    <s v="Áreas_docencia"/>
    <x v="0"/>
    <x v="2"/>
    <x v="5"/>
    <m/>
    <n v="2"/>
    <x v="24"/>
    <s v="Biblioteca"/>
    <s v="Biblioteca - Sala de sistemas"/>
    <x v="1"/>
    <n v="16"/>
    <n v="59.41"/>
    <d v="2022-05-25T00:00:00"/>
    <x v="2"/>
  </r>
  <r>
    <s v="Áreas_docencia"/>
    <x v="0"/>
    <x v="2"/>
    <x v="5"/>
    <m/>
    <n v="2"/>
    <x v="24"/>
    <s v="Biblioteca"/>
    <s v="Modulo auxiliar - Sala de sistemas"/>
    <x v="0"/>
    <n v="1"/>
    <n v="3.5"/>
    <d v="2022-05-25T00:00:00"/>
    <x v="2"/>
  </r>
  <r>
    <s v="Áreas_Movilidad_Espacios_libres"/>
    <x v="0"/>
    <x v="2"/>
    <x v="5"/>
    <m/>
    <n v="2"/>
    <x v="24"/>
    <s v="Biblioteca"/>
    <s v="Escaleras aceeso 2do piso biblioteca"/>
    <x v="0"/>
    <n v="0"/>
    <n v="12.38"/>
    <d v="2022-05-25T00:00:00"/>
    <x v="0"/>
  </r>
  <r>
    <s v="Áreas_administración"/>
    <x v="0"/>
    <x v="2"/>
    <x v="4"/>
    <s v="301A"/>
    <n v="3"/>
    <x v="0"/>
    <s v="Vicerrectoría Administrativa Financiera "/>
    <s v="Auditoria Interna y Oficinas de Presupuesto"/>
    <x v="4"/>
    <n v="7"/>
    <n v="19.09"/>
    <d v="2022-05-30T00:00:00"/>
    <x v="2"/>
  </r>
  <r>
    <s v="Áreas_administración"/>
    <x v="0"/>
    <x v="2"/>
    <x v="4"/>
    <s v="301B"/>
    <n v="3"/>
    <x v="0"/>
    <s v="Departamento de Ciencias Básicas"/>
    <s v="Oficina Secretaría ciencias básicas"/>
    <x v="4"/>
    <n v="1"/>
    <n v="10.56"/>
    <d v="2022-05-30T00:00:00"/>
    <x v="2"/>
  </r>
  <r>
    <s v="Áreas_administración"/>
    <x v="0"/>
    <x v="2"/>
    <x v="4"/>
    <s v="301C"/>
    <n v="3"/>
    <x v="0"/>
    <s v="Departamento de Ciencias Básicas"/>
    <s v="Oficina Dirección ciencias básicas"/>
    <x v="4"/>
    <n v="1"/>
    <n v="12.9"/>
    <d v="2022-05-30T00:00:00"/>
    <x v="2"/>
  </r>
  <r>
    <s v="Áreas_docencia"/>
    <x v="0"/>
    <x v="2"/>
    <x v="4"/>
    <s v="301D"/>
    <n v="3"/>
    <x v="16"/>
    <s v="Departamento de Ciencias Básicas"/>
    <s v="Sala de docentes TC ciencias básicas "/>
    <x v="4"/>
    <n v="6"/>
    <n v="27.63"/>
    <d v="2022-05-30T00:00:00"/>
    <x v="2"/>
  </r>
  <r>
    <s v="Áreas_docencia"/>
    <x v="0"/>
    <x v="2"/>
    <x v="4"/>
    <m/>
    <n v="3"/>
    <x v="2"/>
    <s v="Departamento de Ciencias Básicas"/>
    <s v="Baño hombres privado"/>
    <x v="4"/>
    <n v="1"/>
    <n v="2.21"/>
    <d v="2022-05-30T00:00:00"/>
    <x v="2"/>
  </r>
  <r>
    <s v="Áreas_docencia"/>
    <x v="0"/>
    <x v="2"/>
    <x v="4"/>
    <m/>
    <n v="3"/>
    <x v="2"/>
    <s v="Departamento de Ciencias Básicas"/>
    <s v="Baño mujeres privado"/>
    <x v="4"/>
    <n v="1"/>
    <n v="4.1100000000000003"/>
    <d v="2022-05-30T00:00:00"/>
    <x v="2"/>
  </r>
  <r>
    <s v="Áreas_docencia"/>
    <x v="0"/>
    <x v="2"/>
    <x v="4"/>
    <s v="H302"/>
    <n v="3"/>
    <x v="14"/>
    <s v="Centro de Recursos Educativos "/>
    <s v="Aula de Clase  con mesas de dibujo"/>
    <x v="4"/>
    <n v="32"/>
    <n v="77.489999999999995"/>
    <d v="2022-05-30T00:00:00"/>
    <x v="2"/>
  </r>
  <r>
    <s v="Áreas_docencia"/>
    <x v="0"/>
    <x v="2"/>
    <x v="4"/>
    <s v="H305"/>
    <n v="3"/>
    <x v="14"/>
    <s v="Centro de Recursos Educativos "/>
    <s v="Aula de Clase  con mesas de dibujo"/>
    <x v="4"/>
    <n v="32"/>
    <n v="74.83"/>
    <d v="2022-05-30T00:00:00"/>
    <x v="2"/>
  </r>
  <r>
    <s v="Áreas_docencia"/>
    <x v="0"/>
    <x v="2"/>
    <x v="4"/>
    <s v="H306"/>
    <n v="3"/>
    <x v="14"/>
    <s v="Centro de Recursos Educativos "/>
    <s v="Aula de Clases"/>
    <x v="4"/>
    <n v="64"/>
    <n v="74.98"/>
    <d v="2022-05-30T00:00:00"/>
    <x v="2"/>
  </r>
  <r>
    <s v="Áreas_administración"/>
    <x v="0"/>
    <x v="2"/>
    <x v="4"/>
    <m/>
    <n v="3"/>
    <x v="12"/>
    <s v="Recreación y Deporte "/>
    <s v="Bodega Recreacion y deporte "/>
    <x v="2"/>
    <n v="0"/>
    <n v="5.89"/>
    <d v="2022-05-30T00:00:00"/>
    <x v="2"/>
  </r>
  <r>
    <s v="Áreas_administración"/>
    <x v="0"/>
    <x v="2"/>
    <x v="4"/>
    <m/>
    <n v="3"/>
    <x v="4"/>
    <s v="Coordinación de Redes y Comunicaciones "/>
    <s v="Cuarto técnico"/>
    <x v="2"/>
    <n v="0"/>
    <n v="5.74"/>
    <d v="2022-05-30T00:00:00"/>
    <x v="2"/>
  </r>
  <r>
    <s v="Áreas_administración"/>
    <x v="0"/>
    <x v="2"/>
    <x v="5"/>
    <m/>
    <n v="3"/>
    <x v="12"/>
    <s v="Vicerrectoría Administrativa Financiera "/>
    <s v="Deposito - Cuarto de aseo"/>
    <x v="2"/>
    <n v="0"/>
    <n v="3.37"/>
    <d v="2022-05-30T00:00:00"/>
    <x v="2"/>
  </r>
  <r>
    <s v="Áreas_administración"/>
    <x v="0"/>
    <x v="2"/>
    <x v="5"/>
    <m/>
    <n v="3"/>
    <x v="12"/>
    <s v="Jefatura de Compras y Suministros "/>
    <s v="Deposito - Bodega almacén "/>
    <x v="2"/>
    <n v="0"/>
    <n v="6.86"/>
    <d v="2022-05-30T00:00:00"/>
    <x v="2"/>
  </r>
  <r>
    <s v="Áreas_Servicios_a_Comunidad"/>
    <x v="0"/>
    <x v="2"/>
    <x v="4"/>
    <m/>
    <n v="3"/>
    <x v="5"/>
    <s v="Coordinación de Planta Física y Mantenimiento "/>
    <s v="Fotocopiadora Pública"/>
    <x v="0"/>
    <n v="0"/>
    <n v="6.6"/>
    <d v="2022-05-30T00:00:00"/>
    <x v="2"/>
  </r>
  <r>
    <s v="Áreas_administración"/>
    <x v="0"/>
    <x v="2"/>
    <x v="4"/>
    <m/>
    <n v="3"/>
    <x v="10"/>
    <s v="Vicerrectoría Administrativa Financiera "/>
    <s v="Bateria de baños hombres "/>
    <x v="2"/>
    <n v="2"/>
    <n v="8.6300000000000008"/>
    <d v="2022-05-30T00:00:00"/>
    <x v="0"/>
  </r>
  <r>
    <s v="Áreas_administración"/>
    <x v="0"/>
    <x v="2"/>
    <x v="4"/>
    <m/>
    <n v="3"/>
    <x v="10"/>
    <s v="Vicerrectoría Administrativa Financiera "/>
    <s v="Bateria de baños mujeres"/>
    <x v="2"/>
    <n v="2"/>
    <n v="7.71"/>
    <d v="2022-05-30T00:00:00"/>
    <x v="0"/>
  </r>
  <r>
    <s v="Áreas_Movilidad_Espacios_libres"/>
    <x v="0"/>
    <x v="2"/>
    <x v="4"/>
    <m/>
    <n v="3"/>
    <x v="21"/>
    <s v="Coordinación de Planta Física y Mantenimiento "/>
    <s v="Punto fijo central"/>
    <x v="0"/>
    <n v="0"/>
    <n v="16.89"/>
    <d v="2022-05-30T00:00:00"/>
    <x v="0"/>
  </r>
  <r>
    <s v="Áreas_Movilidad_Espacios_libres"/>
    <x v="0"/>
    <x v="2"/>
    <x v="4"/>
    <m/>
    <n v="3"/>
    <x v="18"/>
    <s v="Coordinación de Planta Física y Mantenimiento "/>
    <s v="Area de mesas"/>
    <x v="0"/>
    <n v="8"/>
    <n v="7.57"/>
    <d v="2022-05-30T00:00:00"/>
    <x v="0"/>
  </r>
  <r>
    <s v="Áreas_administración"/>
    <x v="0"/>
    <x v="2"/>
    <x v="5"/>
    <s v="I307"/>
    <n v="3"/>
    <x v="0"/>
    <s v="Vicerrectoría de Investigaciones"/>
    <s v="Oficina de practica Universitaria"/>
    <x v="3"/>
    <n v="3"/>
    <n v="21.78"/>
    <d v="2022-05-30T00:00:00"/>
    <x v="2"/>
  </r>
  <r>
    <s v="Áreas_docencia"/>
    <x v="0"/>
    <x v="2"/>
    <x v="5"/>
    <s v="I308"/>
    <n v="3"/>
    <x v="14"/>
    <s v="Centro de Recursos Educativos "/>
    <s v="Aula de Clases"/>
    <x v="4"/>
    <n v="28"/>
    <n v="40.33"/>
    <d v="2022-05-30T00:00:00"/>
    <x v="2"/>
  </r>
  <r>
    <s v="Áreas_docencia"/>
    <x v="0"/>
    <x v="2"/>
    <x v="5"/>
    <s v="I309"/>
    <n v="3"/>
    <x v="14"/>
    <s v="Centro de Recursos Educativos "/>
    <s v="Aula de Clases"/>
    <x v="4"/>
    <n v="42"/>
    <n v="63.57"/>
    <d v="2022-05-30T00:00:00"/>
    <x v="2"/>
  </r>
  <r>
    <s v="Áreas_docencia"/>
    <x v="0"/>
    <x v="2"/>
    <x v="5"/>
    <s v="I310"/>
    <n v="3"/>
    <x v="14"/>
    <s v="Centro de Recursos Educativos "/>
    <s v="Aula de Clases"/>
    <x v="4"/>
    <n v="30"/>
    <n v="38.020000000000003"/>
    <d v="2022-05-30T00:00:00"/>
    <x v="2"/>
  </r>
  <r>
    <s v="Áreas_docencia"/>
    <x v="0"/>
    <x v="2"/>
    <x v="5"/>
    <s v="I311"/>
    <n v="3"/>
    <x v="14"/>
    <s v="Centro de Recursos Educativos "/>
    <s v="Aula de Clases"/>
    <x v="4"/>
    <n v="36"/>
    <n v="34.590000000000003"/>
    <d v="2022-05-30T00:00:00"/>
    <x v="2"/>
  </r>
  <r>
    <s v="Áreas_docencia"/>
    <x v="0"/>
    <x v="2"/>
    <x v="5"/>
    <s v="I312"/>
    <n v="3"/>
    <x v="14"/>
    <s v="Centro de Recursos Educativos "/>
    <s v="Aula de Clases"/>
    <x v="4"/>
    <n v="48"/>
    <n v="55.03"/>
    <d v="2022-05-30T00:00:00"/>
    <x v="2"/>
  </r>
  <r>
    <s v="Áreas_docencia"/>
    <x v="0"/>
    <x v="2"/>
    <x v="5"/>
    <s v="I315"/>
    <n v="3"/>
    <x v="14"/>
    <s v="Centro de Recursos Educativos "/>
    <s v="Aula de Clases"/>
    <x v="4"/>
    <n v="48"/>
    <n v="49.99"/>
    <d v="2022-05-30T00:00:00"/>
    <x v="2"/>
  </r>
  <r>
    <s v="Áreas_docencia"/>
    <x v="0"/>
    <x v="2"/>
    <x v="5"/>
    <s v="I316"/>
    <n v="3"/>
    <x v="14"/>
    <s v="Centro de Recursos Educativos "/>
    <s v="Aula de Clases"/>
    <x v="4"/>
    <n v="48"/>
    <n v="49.5"/>
    <d v="2022-05-30T00:00:00"/>
    <x v="2"/>
  </r>
  <r>
    <s v="Áreas_docencia"/>
    <x v="0"/>
    <x v="2"/>
    <x v="5"/>
    <s v="I317"/>
    <n v="3"/>
    <x v="14"/>
    <s v="Centro de Recursos Educativos "/>
    <s v="Aula de Clases"/>
    <x v="4"/>
    <n v="45"/>
    <n v="50.13"/>
    <d v="2022-05-30T00:00:00"/>
    <x v="2"/>
  </r>
  <r>
    <s v="Áreas_administración"/>
    <x v="0"/>
    <x v="2"/>
    <x v="5"/>
    <s v="318B"/>
    <n v="3"/>
    <x v="0"/>
    <s v="Jefatura de Espiritualidad Franciscana "/>
    <s v="Oficinade Escuela Franciscana de  Espiritualidad Franciscana y de escuela de paz y fraternidad Coordinación"/>
    <x v="4"/>
    <n v="1"/>
    <n v="16.18"/>
    <d v="2022-05-30T00:00:00"/>
    <x v="2"/>
  </r>
  <r>
    <s v="Áreas_docencia"/>
    <x v="0"/>
    <x v="2"/>
    <x v="5"/>
    <s v="318C"/>
    <n v="3"/>
    <x v="16"/>
    <s v="Jefatura de Espiritualidad Franciscana "/>
    <s v="Sala de docentes Escuelas Franciscanas"/>
    <x v="4"/>
    <n v="12"/>
    <n v="39.51"/>
    <d v="2022-05-30T00:00:00"/>
    <x v="2"/>
  </r>
  <r>
    <s v="Áreas_administración"/>
    <x v="0"/>
    <x v="2"/>
    <x v="5"/>
    <s v="318D"/>
    <n v="3"/>
    <x v="0"/>
    <s v="Jefatura de Espiritualidad Franciscana "/>
    <s v="Oficinade Espiritualidad Franciscana Capellania "/>
    <x v="0"/>
    <n v="1"/>
    <n v="10.29"/>
    <d v="2022-05-30T00:00:00"/>
    <x v="2"/>
  </r>
  <r>
    <s v="Áreas_administración"/>
    <x v="0"/>
    <x v="2"/>
    <x v="5"/>
    <s v="318E"/>
    <n v="3"/>
    <x v="0"/>
    <s v="Jefatura de Espiritualidad Franciscana "/>
    <s v="Secretaria area de evangelizacion"/>
    <x v="4"/>
    <n v="1"/>
    <n v="10.27"/>
    <d v="2022-05-30T00:00:00"/>
    <x v="2"/>
  </r>
  <r>
    <s v="Áreas_administración"/>
    <x v="0"/>
    <x v="2"/>
    <x v="5"/>
    <s v="318F"/>
    <n v="3"/>
    <x v="0"/>
    <s v="Jefatura de Espiritualidad Franciscana "/>
    <s v="Area de Humanidades Dirección "/>
    <x v="4"/>
    <n v="1"/>
    <n v="15.92"/>
    <d v="2022-05-30T00:00:00"/>
    <x v="2"/>
  </r>
  <r>
    <s v="Áreas_administración"/>
    <x v="0"/>
    <x v="2"/>
    <x v="5"/>
    <s v="318F"/>
    <n v="3"/>
    <x v="9"/>
    <s v="Jefatura de Espiritualidad Franciscana "/>
    <s v="Sala de espera Escuela de Espiritualidad "/>
    <x v="0"/>
    <n v="6"/>
    <n v="9.94"/>
    <d v="2022-05-30T00:00:00"/>
    <x v="2"/>
  </r>
  <r>
    <s v="Áreas_administración"/>
    <x v="0"/>
    <x v="2"/>
    <x v="5"/>
    <m/>
    <n v="3"/>
    <x v="2"/>
    <s v="Vicerrectoría Administrativa Financiera "/>
    <s v="Baños damas Esp. Franciscana tercer piso"/>
    <x v="2"/>
    <n v="1"/>
    <n v="1.44"/>
    <d v="2022-05-30T00:00:00"/>
    <x v="2"/>
  </r>
  <r>
    <s v="Áreas_administración"/>
    <x v="0"/>
    <x v="2"/>
    <x v="5"/>
    <m/>
    <n v="3"/>
    <x v="2"/>
    <s v="Vicerrectoría Administrativa Financiera "/>
    <s v="Baños caballeros Esp. Franciscana tercer piso"/>
    <x v="2"/>
    <n v="1"/>
    <n v="1.44"/>
    <d v="2022-05-30T00:00:00"/>
    <x v="2"/>
  </r>
  <r>
    <s v="Áreas_Movilidad_Espacios_libres"/>
    <x v="0"/>
    <x v="2"/>
    <x v="5"/>
    <m/>
    <n v="3"/>
    <x v="6"/>
    <s v="Vicerrectoría Administrativa Financiera "/>
    <s v="Pasillos Ed. Italia/ Ed. Holanda"/>
    <x v="2"/>
    <n v="95"/>
    <n v="191.23"/>
    <d v="2022-05-30T00:00:00"/>
    <x v="2"/>
  </r>
  <r>
    <s v="Áreas_docencia"/>
    <x v="0"/>
    <x v="2"/>
    <x v="4"/>
    <s v="H401"/>
    <n v="4"/>
    <x v="14"/>
    <s v="Centro de Recursos Educativos "/>
    <s v="Aula de Clases"/>
    <x v="4"/>
    <n v="30"/>
    <n v="36.450000000000003"/>
    <d v="2022-06-02T00:00:00"/>
    <x v="2"/>
  </r>
  <r>
    <s v="Áreas_docencia"/>
    <x v="0"/>
    <x v="2"/>
    <x v="4"/>
    <s v="H402"/>
    <n v="4"/>
    <x v="14"/>
    <s v="Centro de Recursos Educativos "/>
    <s v="Aula de clases (Mesas de dibujo)"/>
    <x v="4"/>
    <n v="24"/>
    <n v="55.06"/>
    <d v="2022-06-02T00:00:00"/>
    <x v="2"/>
  </r>
  <r>
    <s v="Áreas_docencia"/>
    <x v="0"/>
    <x v="2"/>
    <x v="4"/>
    <s v="H403"/>
    <n v="4"/>
    <x v="14"/>
    <s v="Centro de Recursos Educativos "/>
    <s v="Aula de clases (Mesas de dibujo)"/>
    <x v="4"/>
    <n v="30"/>
    <n v="79.86"/>
    <d v="2022-06-02T00:00:00"/>
    <x v="2"/>
  </r>
  <r>
    <s v="Áreas_administración"/>
    <x v="0"/>
    <x v="2"/>
    <x v="4"/>
    <s v="H404"/>
    <n v="4"/>
    <x v="12"/>
    <s v="Jefatura de Compras y Suministros "/>
    <s v="Bodega de compras"/>
    <x v="2"/>
    <n v="0"/>
    <n v="5.89"/>
    <d v="2022-06-02T00:00:00"/>
    <x v="2"/>
  </r>
  <r>
    <s v="Áreas_administración"/>
    <x v="0"/>
    <x v="2"/>
    <x v="4"/>
    <s v="H405"/>
    <n v="4"/>
    <x v="4"/>
    <s v="Coordinación de Redes y Comunicaciones "/>
    <s v="Cuarto técnico"/>
    <x v="2"/>
    <n v="0"/>
    <n v="5.74"/>
    <d v="2022-06-02T00:00:00"/>
    <x v="2"/>
  </r>
  <r>
    <s v="Áreas_docencia"/>
    <x v="0"/>
    <x v="2"/>
    <x v="4"/>
    <s v="H406"/>
    <n v="4"/>
    <x v="14"/>
    <s v="Centro de Recursos Educativos "/>
    <s v="Aula de Clase  con mesas de dibujo"/>
    <x v="4"/>
    <n v="32"/>
    <n v="72.81"/>
    <d v="2022-06-02T00:00:00"/>
    <x v="2"/>
  </r>
  <r>
    <s v="Áreas_docencia"/>
    <x v="0"/>
    <x v="2"/>
    <x v="4"/>
    <s v="H407"/>
    <n v="4"/>
    <x v="14"/>
    <s v="Centro de Recursos Educativos "/>
    <s v="Aula de Clase  con mesas de dibujo"/>
    <x v="4"/>
    <n v="40"/>
    <n v="75.099999999999994"/>
    <d v="2022-06-02T00:00:00"/>
    <x v="2"/>
  </r>
  <r>
    <s v="Áreas_administración"/>
    <x v="0"/>
    <x v="2"/>
    <x v="4"/>
    <s v="H408"/>
    <n v="4"/>
    <x v="0"/>
    <s v="Centro de Recursos Educativos "/>
    <s v="ClÍnica Jurídica - Sala de docentes de derecho"/>
    <x v="4"/>
    <n v="5"/>
    <n v="21.78"/>
    <d v="2022-06-02T00:00:00"/>
    <x v="2"/>
  </r>
  <r>
    <s v="Áreas_docencia"/>
    <x v="0"/>
    <x v="2"/>
    <x v="4"/>
    <s v="H409"/>
    <n v="4"/>
    <x v="14"/>
    <s v="Centro de Recursos Educativos "/>
    <s v="Aula de Clases"/>
    <x v="4"/>
    <n v="38"/>
    <n v="39.729999999999997"/>
    <d v="2022-06-02T00:00:00"/>
    <x v="2"/>
  </r>
  <r>
    <s v="Áreas_docencia"/>
    <x v="0"/>
    <x v="2"/>
    <x v="4"/>
    <m/>
    <n v="4"/>
    <x v="10"/>
    <s v="Vicerrectoría Administrativa Financiera "/>
    <s v="Bateria de baños hombres "/>
    <x v="2"/>
    <n v="2"/>
    <n v="8.6300000000000008"/>
    <d v="2022-06-02T00:00:00"/>
    <x v="0"/>
  </r>
  <r>
    <s v="Áreas_docencia"/>
    <x v="0"/>
    <x v="2"/>
    <x v="4"/>
    <m/>
    <n v="4"/>
    <x v="10"/>
    <s v="Vicerrectoría Administrativa Financiera "/>
    <s v="Bateria de baños mujeres"/>
    <x v="2"/>
    <n v="2"/>
    <n v="7.71"/>
    <d v="2022-06-02T00:00:00"/>
    <x v="0"/>
  </r>
  <r>
    <s v="Áreas_Movilidad_Espacios_libres"/>
    <x v="0"/>
    <x v="2"/>
    <x v="4"/>
    <m/>
    <n v="4"/>
    <x v="21"/>
    <s v="Coordinación de Planta Física y Mantenimiento "/>
    <s v="Punto fijo central"/>
    <x v="0"/>
    <n v="0"/>
    <n v="16.89"/>
    <d v="2022-06-02T00:00:00"/>
    <x v="0"/>
  </r>
  <r>
    <s v="Áreas_Servicios_a_Comunidad"/>
    <x v="0"/>
    <x v="2"/>
    <x v="4"/>
    <m/>
    <n v="4"/>
    <x v="0"/>
    <s v="Vicerrectoría Administrativa Financiera "/>
    <s v="Oficina supergiros"/>
    <x v="0"/>
    <n v="2"/>
    <n v="15.15"/>
    <d v="2022-06-02T00:00:00"/>
    <x v="0"/>
  </r>
  <r>
    <s v="Áreas_Movilidad_Espacios_libres"/>
    <x v="0"/>
    <x v="2"/>
    <x v="4"/>
    <m/>
    <n v="4"/>
    <x v="18"/>
    <s v="Vicerrectoría Administrativa Financiera "/>
    <s v="Area de mesas arquitectura"/>
    <x v="0"/>
    <n v="8"/>
    <n v="7.62"/>
    <d v="2022-06-02T00:00:00"/>
    <x v="0"/>
  </r>
  <r>
    <s v="Áreas_docencia"/>
    <x v="0"/>
    <x v="2"/>
    <x v="5"/>
    <s v="H410"/>
    <n v="4"/>
    <x v="14"/>
    <s v="Centro de Recursos Educativos "/>
    <s v="Aula de Clase  con mesas de dibujo"/>
    <x v="4"/>
    <n v="45"/>
    <n v="63.47"/>
    <d v="2022-06-02T00:00:00"/>
    <x v="2"/>
  </r>
  <r>
    <s v="Áreas_docencia"/>
    <x v="0"/>
    <x v="2"/>
    <x v="5"/>
    <s v="I411"/>
    <n v="4"/>
    <x v="14"/>
    <s v="Centro de Recursos Educativos "/>
    <s v="Aula de Clases"/>
    <x v="4"/>
    <n v="28"/>
    <n v="38.020000000000003"/>
    <d v="2022-06-02T00:00:00"/>
    <x v="2"/>
  </r>
  <r>
    <s v="Áreas_docencia"/>
    <x v="0"/>
    <x v="2"/>
    <x v="5"/>
    <s v="I412"/>
    <n v="4"/>
    <x v="14"/>
    <s v="Centro de Recursos Educativos "/>
    <s v="Aula de Clases"/>
    <x v="4"/>
    <n v="30"/>
    <n v="41.63"/>
    <d v="2022-06-02T00:00:00"/>
    <x v="2"/>
  </r>
  <r>
    <s v="Áreas_docencia"/>
    <x v="0"/>
    <x v="2"/>
    <x v="5"/>
    <s v="I413"/>
    <n v="4"/>
    <x v="14"/>
    <s v="Centro de Recursos Educativos "/>
    <s v="Aula de Clases"/>
    <x v="4"/>
    <n v="48"/>
    <n v="55.03"/>
    <d v="2022-06-02T00:00:00"/>
    <x v="2"/>
  </r>
  <r>
    <s v="Áreas_docencia"/>
    <x v="0"/>
    <x v="2"/>
    <x v="5"/>
    <s v="I416"/>
    <n v="4"/>
    <x v="14"/>
    <s v="Centro de Recursos Educativos "/>
    <s v="Aula de Clases"/>
    <x v="4"/>
    <n v="48"/>
    <n v="49.99"/>
    <d v="2022-06-02T00:00:00"/>
    <x v="2"/>
  </r>
  <r>
    <s v="Áreas_docencia"/>
    <x v="0"/>
    <x v="2"/>
    <x v="5"/>
    <s v="I417"/>
    <n v="4"/>
    <x v="14"/>
    <s v="Centro de Recursos Educativos "/>
    <s v="Aula de Clases"/>
    <x v="4"/>
    <n v="48"/>
    <n v="49.5"/>
    <d v="2022-06-02T00:00:00"/>
    <x v="2"/>
  </r>
  <r>
    <s v="Áreas_docencia"/>
    <x v="0"/>
    <x v="2"/>
    <x v="5"/>
    <s v="I418"/>
    <n v="4"/>
    <x v="14"/>
    <s v="Centro de Recursos Educativos "/>
    <s v="Aula de Clases"/>
    <x v="4"/>
    <n v="45"/>
    <n v="50.13"/>
    <d v="2022-06-02T00:00:00"/>
    <x v="2"/>
  </r>
  <r>
    <s v="Áreas_administración"/>
    <x v="0"/>
    <x v="2"/>
    <x v="5"/>
    <s v="I419"/>
    <n v="4"/>
    <x v="0"/>
    <s v="Decanatura de Arquitectura y Bellas Artes"/>
    <s v="Oficina Decano de programa "/>
    <x v="4"/>
    <n v="3"/>
    <n v="15.34"/>
    <d v="2022-06-02T00:00:00"/>
    <x v="2"/>
  </r>
  <r>
    <s v="Áreas_administración"/>
    <x v="0"/>
    <x v="2"/>
    <x v="5"/>
    <s v="I420"/>
    <n v="4"/>
    <x v="0"/>
    <s v="Decanatura de Arquitectura y Bellas Artes"/>
    <s v="Oficina Secretaría de programa "/>
    <x v="4"/>
    <n v="3"/>
    <n v="16.66"/>
    <d v="2022-06-02T00:00:00"/>
    <x v="2"/>
  </r>
  <r>
    <s v="Áreas_docencia"/>
    <x v="0"/>
    <x v="2"/>
    <x v="5"/>
    <s v="I421"/>
    <n v="4"/>
    <x v="0"/>
    <s v="Programa de Arquitectura"/>
    <s v="Grupo de Investigacion alarife"/>
    <x v="4"/>
    <n v="3"/>
    <n v="10.57"/>
    <d v="2022-06-02T00:00:00"/>
    <x v="2"/>
  </r>
  <r>
    <s v="Áreas_docencia"/>
    <x v="0"/>
    <x v="2"/>
    <x v="5"/>
    <m/>
    <n v="4"/>
    <x v="0"/>
    <s v="Programa de Arquitectura"/>
    <s v="Sala de reuniones / Consultorio Urbano"/>
    <x v="4"/>
    <n v="3"/>
    <n v="7.59"/>
    <d v="2022-06-02T00:00:00"/>
    <x v="2"/>
  </r>
  <r>
    <s v="Áreas_docencia"/>
    <x v="0"/>
    <x v="2"/>
    <x v="5"/>
    <m/>
    <n v="4"/>
    <x v="16"/>
    <s v="Programa de Arquitectura"/>
    <s v="Sala de Docentes TC Y MT Programa de arquitectura "/>
    <x v="4"/>
    <n v="18"/>
    <n v="39.15"/>
    <d v="2022-06-02T00:00:00"/>
    <x v="2"/>
  </r>
  <r>
    <s v="Áreas_docencia"/>
    <x v="0"/>
    <x v="2"/>
    <x v="5"/>
    <m/>
    <n v="4"/>
    <x v="9"/>
    <s v="Programa de Arquitectura"/>
    <s v="DECANATURA DE INGENIERÍA "/>
    <x v="0"/>
    <n v="5"/>
    <n v="11.75"/>
    <d v="2022-06-02T00:00:00"/>
    <x v="2"/>
  </r>
  <r>
    <s v="Áreas_administración"/>
    <x v="0"/>
    <x v="2"/>
    <x v="5"/>
    <m/>
    <n v="4"/>
    <x v="12"/>
    <s v="Jefatura de Compras y Suministros "/>
    <s v="SECRETARIAS DE LA FACULTAD"/>
    <x v="2"/>
    <n v="0"/>
    <n v="5.09"/>
    <d v="2022-06-02T00:00:00"/>
    <x v="2"/>
  </r>
  <r>
    <s v="Áreas_administración"/>
    <x v="0"/>
    <x v="2"/>
    <x v="5"/>
    <m/>
    <n v="4"/>
    <x v="12"/>
    <s v="Programa de Ingeniería de Sistemas"/>
    <s v="DIRECCION DE SISTEMAS O IN. F D"/>
    <x v="2"/>
    <n v="0"/>
    <n v="5.14"/>
    <d v="2022-06-02T00:00:00"/>
    <x v="2"/>
  </r>
  <r>
    <s v="Áreas_administración"/>
    <x v="0"/>
    <x v="2"/>
    <x v="5"/>
    <m/>
    <n v="4"/>
    <x v="2"/>
    <m/>
    <s v="SALA DE REUNIONES  "/>
    <x v="2"/>
    <n v="1"/>
    <n v="1.44"/>
    <d v="2022-06-02T00:00:00"/>
    <x v="2"/>
  </r>
  <r>
    <s v="Áreas_administración"/>
    <x v="0"/>
    <x v="2"/>
    <x v="5"/>
    <m/>
    <n v="4"/>
    <x v="2"/>
    <s v="Vicerrectoría Administrativa Financiera "/>
    <s v="FACULTAD DE INGENIERÍA  Y SALA DE DOCENTES "/>
    <x v="2"/>
    <n v="1"/>
    <n v="1.44"/>
    <d v="2022-06-02T00:00:00"/>
    <x v="2"/>
  </r>
  <r>
    <s v="Áreas_Movilidad_Espacios_libres"/>
    <x v="0"/>
    <x v="2"/>
    <x v="5"/>
    <m/>
    <n v="4"/>
    <x v="21"/>
    <s v="Vicerrectoría Administrativa Financiera "/>
    <s v="DECANATURA DE INGENIERÍA SALA DE ESPERA"/>
    <x v="0"/>
    <n v="0"/>
    <n v="10.92"/>
    <d v="2022-06-02T00:00:00"/>
    <x v="2"/>
  </r>
  <r>
    <s v="Áreas_Movilidad_Espacios_libres"/>
    <x v="0"/>
    <x v="2"/>
    <x v="5"/>
    <m/>
    <n v="4"/>
    <x v="6"/>
    <s v="Vicerrectoría Administrativa Financiera "/>
    <s v="Pasillos cuarto piso"/>
    <x v="2"/>
    <n v="0"/>
    <n v="189.14"/>
    <d v="2022-06-02T00:00:00"/>
    <x v="2"/>
  </r>
  <r>
    <s v="Áreas_docencia"/>
    <x v="0"/>
    <x v="2"/>
    <x v="4"/>
    <s v="H501"/>
    <n v="5"/>
    <x v="14"/>
    <s v="Centro de Recursos Educativos "/>
    <s v="Aula de Clases"/>
    <x v="4"/>
    <n v="30"/>
    <n v="36.450000000000003"/>
    <d v="2022-06-06T00:00:00"/>
    <x v="2"/>
  </r>
  <r>
    <s v="Áreas_docencia"/>
    <x v="0"/>
    <x v="2"/>
    <x v="4"/>
    <s v="H502"/>
    <n v="5"/>
    <x v="14"/>
    <s v="Centro de Recursos Educativos "/>
    <s v="Aula de Clase  con mesas de dibujo"/>
    <x v="4"/>
    <n v="24"/>
    <n v="55.06"/>
    <d v="2022-06-06T00:00:00"/>
    <x v="2"/>
  </r>
  <r>
    <s v="Áreas_docencia"/>
    <x v="0"/>
    <x v="2"/>
    <x v="4"/>
    <s v="H503"/>
    <n v="5"/>
    <x v="14"/>
    <s v="Centro de Recursos Educativos "/>
    <s v="Aula de Clase  con mesas de dibujo"/>
    <x v="4"/>
    <n v="30"/>
    <n v="79.86"/>
    <d v="2022-06-06T00:00:00"/>
    <x v="2"/>
  </r>
  <r>
    <s v="Áreas_docencia"/>
    <x v="0"/>
    <x v="2"/>
    <x v="4"/>
    <s v="H505"/>
    <n v="5"/>
    <x v="14"/>
    <s v="Centro de Recursos Educativos "/>
    <s v="Aula de Clase  con mesas de dibujo"/>
    <x v="4"/>
    <n v="32"/>
    <n v="72.81"/>
    <d v="2022-06-06T00:00:00"/>
    <x v="2"/>
  </r>
  <r>
    <s v="Áreas_docencia"/>
    <x v="0"/>
    <x v="2"/>
    <x v="4"/>
    <s v="H506"/>
    <n v="5"/>
    <x v="14"/>
    <s v="Centro de Recursos Educativos "/>
    <s v="Aula de Clases"/>
    <x v="4"/>
    <n v="40"/>
    <n v="75.099999999999994"/>
    <d v="2022-06-06T00:00:00"/>
    <x v="2"/>
  </r>
  <r>
    <s v="Áreas_administración"/>
    <x v="0"/>
    <x v="2"/>
    <x v="4"/>
    <s v="H508"/>
    <n v="5"/>
    <x v="0"/>
    <s v="Coordinación de Redes y Comunicaciones "/>
    <s v="Coordinación técnico y auxiliar  de redes y comunicaciones "/>
    <x v="0"/>
    <n v="3"/>
    <n v="33.15"/>
    <d v="2022-06-06T00:00:00"/>
    <x v="2"/>
  </r>
  <r>
    <s v="Áreas_administración"/>
    <x v="0"/>
    <x v="2"/>
    <x v="4"/>
    <m/>
    <n v="5"/>
    <x v="0"/>
    <s v="Jefatura Administriva de Proyectos "/>
    <s v="Secretaria y oficina de proyectos"/>
    <x v="4"/>
    <n v="4"/>
    <n v="20.73"/>
    <d v="2022-06-06T00:00:00"/>
    <x v="2"/>
  </r>
  <r>
    <s v="Áreas_administración"/>
    <x v="0"/>
    <x v="2"/>
    <x v="5"/>
    <m/>
    <n v="5"/>
    <x v="19"/>
    <s v="Jefatura de Comunicaciones Publicidad y Mercadeo "/>
    <s v="Acceso radio y television / cabina de radio / edicion"/>
    <x v="0"/>
    <n v="10"/>
    <n v="50.99"/>
    <d v="2022-06-06T00:00:00"/>
    <x v="2"/>
  </r>
  <r>
    <s v="Áreas_administración"/>
    <x v="0"/>
    <x v="2"/>
    <x v="4"/>
    <m/>
    <n v="5"/>
    <x v="10"/>
    <s v="Vicerrectoría Administrativa Financiera "/>
    <s v="Bateria de baños hombres "/>
    <x v="2"/>
    <n v="2"/>
    <n v="8.6300000000000008"/>
    <d v="2022-06-06T00:00:00"/>
    <x v="0"/>
  </r>
  <r>
    <s v="Áreas_administración"/>
    <x v="0"/>
    <x v="2"/>
    <x v="4"/>
    <m/>
    <n v="5"/>
    <x v="10"/>
    <s v="Vicerrectoría Administrativa Financiera "/>
    <s v="Bateria de baños mujeres"/>
    <x v="2"/>
    <n v="2"/>
    <n v="7.71"/>
    <d v="2022-06-06T00:00:00"/>
    <x v="0"/>
  </r>
  <r>
    <s v="Áreas_Movilidad_Espacios_libres"/>
    <x v="0"/>
    <x v="2"/>
    <x v="4"/>
    <m/>
    <n v="5"/>
    <x v="21"/>
    <s v="Coordinación de Planta Física y Mantenimiento "/>
    <s v="Punto fijo central"/>
    <x v="0"/>
    <n v="0"/>
    <n v="16.89"/>
    <d v="2022-06-06T00:00:00"/>
    <x v="0"/>
  </r>
  <r>
    <s v="Áreas_docencia"/>
    <x v="0"/>
    <x v="2"/>
    <x v="5"/>
    <n v="509"/>
    <n v="5"/>
    <x v="19"/>
    <s v="Centro de Recursos Educativos "/>
    <s v="Laboratorio de morfofisiologia"/>
    <x v="4"/>
    <n v="10"/>
    <n v="55.56"/>
    <d v="2022-06-06T00:00:00"/>
    <x v="2"/>
  </r>
  <r>
    <s v="Áreas_docencia"/>
    <x v="0"/>
    <x v="2"/>
    <x v="5"/>
    <n v="510"/>
    <n v="5"/>
    <x v="14"/>
    <s v="Centro de Recursos Educativos "/>
    <s v="sala de pruebas/psicologicas"/>
    <x v="4"/>
    <n v="46"/>
    <n v="44.46"/>
    <d v="2022-06-06T00:00:00"/>
    <x v="2"/>
  </r>
  <r>
    <s v="Áreas_docencia"/>
    <x v="0"/>
    <x v="2"/>
    <x v="5"/>
    <n v="511"/>
    <n v="5"/>
    <x v="19"/>
    <s v="Programa de Psicología"/>
    <s v="Laboratorio de pruebas"/>
    <x v="4"/>
    <n v="20"/>
    <n v="9.0299999999999994"/>
    <d v="2022-06-06T00:00:00"/>
    <x v="2"/>
  </r>
  <r>
    <s v="Áreas_docencia"/>
    <x v="0"/>
    <x v="2"/>
    <x v="4"/>
    <m/>
    <n v="5"/>
    <x v="26"/>
    <s v="Programa de Psicología"/>
    <s v="Consultorio Psicologia"/>
    <x v="0"/>
    <n v="3"/>
    <n v="9.18"/>
    <d v="2022-06-06T00:00:00"/>
    <x v="2"/>
  </r>
  <r>
    <s v="Áreas_docencia"/>
    <x v="0"/>
    <x v="2"/>
    <x v="5"/>
    <n v="512"/>
    <n v="5"/>
    <x v="27"/>
    <s v="Programa de Psicología"/>
    <s v="CAMARA DE GESSEL"/>
    <x v="4"/>
    <n v="50"/>
    <n v="84.17"/>
    <d v="2022-06-06T00:00:00"/>
    <x v="2"/>
  </r>
  <r>
    <s v="Áreas_administración"/>
    <x v="0"/>
    <x v="2"/>
    <x v="5"/>
    <n v="514"/>
    <n v="5"/>
    <x v="0"/>
    <s v="Programa de Derecho"/>
    <s v="Oficina secretaría dirección y preparatorios "/>
    <x v="4"/>
    <n v="2"/>
    <n v="17.62"/>
    <d v="2022-06-06T00:00:00"/>
    <x v="2"/>
  </r>
  <r>
    <s v="Áreas_docencia"/>
    <x v="0"/>
    <x v="2"/>
    <x v="5"/>
    <n v="515"/>
    <n v="5"/>
    <x v="16"/>
    <s v="Programa de Derecho"/>
    <s v="Sala de docentes TC programa de derecho"/>
    <x v="4"/>
    <n v="27"/>
    <n v="54.11"/>
    <d v="2022-06-06T00:00:00"/>
    <x v="2"/>
  </r>
  <r>
    <s v="Áreas_docencia"/>
    <x v="0"/>
    <x v="2"/>
    <x v="5"/>
    <n v="516"/>
    <n v="5"/>
    <x v="16"/>
    <s v="Programa de Psicología"/>
    <s v="Sala de Docentes TC Y MT programa de Psicología "/>
    <x v="4"/>
    <n v="29"/>
    <n v="54.89"/>
    <d v="2022-06-06T00:00:00"/>
    <x v="2"/>
  </r>
  <r>
    <s v="Áreas_administración"/>
    <x v="0"/>
    <x v="2"/>
    <x v="5"/>
    <n v="517"/>
    <n v="5"/>
    <x v="0"/>
    <s v="Programa de Psicología"/>
    <s v="Oficina Dirección de programa "/>
    <x v="4"/>
    <n v="5"/>
    <n v="12.1"/>
    <d v="2022-06-06T00:00:00"/>
    <x v="2"/>
  </r>
  <r>
    <s v="Áreas_administración"/>
    <x v="0"/>
    <x v="2"/>
    <x v="5"/>
    <n v="517"/>
    <n v="5"/>
    <x v="0"/>
    <s v="Programa de Psicología"/>
    <s v="Oficina coordinación académica"/>
    <x v="4"/>
    <n v="5"/>
    <n v="13.55"/>
    <d v="2022-06-06T00:00:00"/>
    <x v="2"/>
  </r>
  <r>
    <s v="Áreas_administración"/>
    <x v="0"/>
    <x v="2"/>
    <x v="5"/>
    <n v="517"/>
    <n v="5"/>
    <x v="0"/>
    <s v="Programa de Psicología"/>
    <s v="Oficina coordinación de práctica "/>
    <x v="4"/>
    <n v="5"/>
    <n v="4.13"/>
    <d v="2022-06-06T00:00:00"/>
    <x v="2"/>
  </r>
  <r>
    <s v="Áreas_administración"/>
    <x v="0"/>
    <x v="2"/>
    <x v="5"/>
    <n v="517"/>
    <n v="5"/>
    <x v="0"/>
    <s v="Programa de Psicología"/>
    <s v="Oficina secretaría de programa "/>
    <x v="4"/>
    <n v="5"/>
    <n v="17.62"/>
    <d v="2022-06-06T00:00:00"/>
    <x v="2"/>
  </r>
  <r>
    <s v="Áreas_administración"/>
    <x v="0"/>
    <x v="2"/>
    <x v="5"/>
    <n v="518"/>
    <n v="5"/>
    <x v="0"/>
    <s v="Programa de Derecho"/>
    <s v="Coordinador académico y coordinador Preparatorios "/>
    <x v="4"/>
    <n v="2"/>
    <n v="16.96"/>
    <d v="2022-06-06T00:00:00"/>
    <x v="2"/>
  </r>
  <r>
    <s v="Áreas_administración"/>
    <x v="0"/>
    <x v="2"/>
    <x v="5"/>
    <n v="519"/>
    <n v="5"/>
    <x v="0"/>
    <s v="Decanatura Ciencias Humanas y Sociales"/>
    <s v="Oficina Decano Facultad "/>
    <x v="4"/>
    <n v="1"/>
    <n v="19.95"/>
    <d v="2022-06-06T00:00:00"/>
    <x v="2"/>
  </r>
  <r>
    <s v="Áreas_administración"/>
    <x v="0"/>
    <x v="2"/>
    <x v="5"/>
    <m/>
    <n v="5"/>
    <x v="0"/>
    <s v="Decanatura Ciencias Humanas y Sociales"/>
    <s v="Oficina Secretaría Facultad"/>
    <x v="4"/>
    <n v="1"/>
    <n v="8.01"/>
    <d v="2022-06-06T00:00:00"/>
    <x v="2"/>
  </r>
  <r>
    <s v="Áreas_administración"/>
    <x v="0"/>
    <x v="2"/>
    <x v="5"/>
    <n v="520"/>
    <n v="5"/>
    <x v="0"/>
    <s v="Programa de Derecho"/>
    <s v="OficinaDirección programa de derecho"/>
    <x v="4"/>
    <n v="1"/>
    <n v="18.27"/>
    <d v="2022-06-06T00:00:00"/>
    <x v="2"/>
  </r>
  <r>
    <s v="Áreas_administración"/>
    <x v="0"/>
    <x v="2"/>
    <x v="5"/>
    <s v="502A"/>
    <n v="5"/>
    <x v="12"/>
    <s v="Vicerrectoría Administrativa Financiera "/>
    <s v="Bodega"/>
    <x v="2"/>
    <n v="0"/>
    <n v="5.63"/>
    <d v="2022-06-06T00:00:00"/>
    <x v="2"/>
  </r>
  <r>
    <s v="Áreas_administración"/>
    <x v="0"/>
    <x v="2"/>
    <x v="4"/>
    <s v="502B"/>
    <n v="5"/>
    <x v="4"/>
    <s v="Coordinación de Redes y Comunicaciones "/>
    <s v="Cuarto técnico "/>
    <x v="2"/>
    <n v="0"/>
    <n v="6.8"/>
    <d v="2022-06-06T00:00:00"/>
    <x v="2"/>
  </r>
  <r>
    <s v="Áreas_administración"/>
    <x v="0"/>
    <x v="2"/>
    <x v="4"/>
    <s v="502A"/>
    <n v="5"/>
    <x v="4"/>
    <s v="Coordinación de Redes y Comunicaciones "/>
    <s v="Cuarto técnico "/>
    <x v="2"/>
    <n v="0"/>
    <n v="6.85"/>
    <d v="2022-06-06T00:00:00"/>
    <x v="2"/>
  </r>
  <r>
    <s v="Áreas_administración"/>
    <x v="0"/>
    <x v="2"/>
    <x v="5"/>
    <s v="512A"/>
    <n v="5"/>
    <x v="12"/>
    <s v="Vicerrectoría Administrativa Financiera "/>
    <s v="Bodega de auxiliares "/>
    <x v="2"/>
    <n v="0"/>
    <n v="4.17"/>
    <d v="2022-06-06T00:00:00"/>
    <x v="2"/>
  </r>
  <r>
    <s v="Áreas_administración"/>
    <x v="0"/>
    <x v="2"/>
    <x v="5"/>
    <s v="518A"/>
    <n v="5"/>
    <x v="0"/>
    <s v="Programa de Derecho"/>
    <s v="Coordinación centro de Investigación SocioJurídica CIS"/>
    <x v="4"/>
    <n v="3"/>
    <n v="19.41"/>
    <d v="2022-06-06T00:00:00"/>
    <x v="2"/>
  </r>
  <r>
    <s v="Áreas_Movilidad_Espacios_libres"/>
    <x v="0"/>
    <x v="2"/>
    <x v="5"/>
    <m/>
    <n v="5"/>
    <x v="6"/>
    <s v="Vicerrectoría Administrativa Financiera "/>
    <s v="Pasillos quinto piso  "/>
    <x v="2"/>
    <n v="40"/>
    <n v="121.68"/>
    <d v="2022-06-06T00:00:00"/>
    <x v="2"/>
  </r>
  <r>
    <s v="Áreas_administración"/>
    <x v="0"/>
    <x v="2"/>
    <x v="4"/>
    <n v="600"/>
    <n v="6"/>
    <x v="0"/>
    <s v="Centro de Recursos Educativos "/>
    <s v="Oficina Laboratorista del CRE"/>
    <x v="0"/>
    <n v="2"/>
    <n v="10.79"/>
    <d v="2022-06-06T00:00:00"/>
    <x v="2"/>
  </r>
  <r>
    <s v="Áreas_administración"/>
    <x v="0"/>
    <x v="2"/>
    <x v="4"/>
    <s v="600a"/>
    <n v="6"/>
    <x v="12"/>
    <s v="Centro de Recursos Educativos "/>
    <s v="Bodega"/>
    <x v="2"/>
    <n v="0"/>
    <n v="5.58"/>
    <d v="2022-06-06T00:00:00"/>
    <x v="2"/>
  </r>
  <r>
    <s v="Áreas_docencia"/>
    <x v="0"/>
    <x v="2"/>
    <x v="4"/>
    <m/>
    <n v="6"/>
    <x v="19"/>
    <s v="Centro de Recursos Educativos "/>
    <s v="Laboratorio de física  "/>
    <x v="4"/>
    <n v="37"/>
    <n v="94.38"/>
    <d v="2022-06-06T00:00:00"/>
    <x v="2"/>
  </r>
  <r>
    <s v="Áreas_administración"/>
    <x v="0"/>
    <x v="2"/>
    <x v="4"/>
    <m/>
    <n v="6"/>
    <x v="0"/>
    <s v="Programa de Ingeniería Electrónica"/>
    <s v="Oficina grupo de investigacion "/>
    <x v="4"/>
    <n v="1"/>
    <n v="10.79"/>
    <d v="2022-06-06T00:00:00"/>
    <x v="2"/>
  </r>
  <r>
    <s v="CONSTRUIDA"/>
    <x v="0"/>
    <x v="2"/>
    <x v="4"/>
    <m/>
    <n v="6"/>
    <x v="0"/>
    <s v="Programa de Ingeniería Electrónica"/>
    <s v="prototipado grupo rampa"/>
    <x v="0"/>
    <n v="1"/>
    <n v="7.87"/>
    <d v="2022-06-06T00:00:00"/>
    <x v="2"/>
  </r>
  <r>
    <s v="Áreas_administración"/>
    <x v="0"/>
    <x v="2"/>
    <x v="4"/>
    <m/>
    <n v="6"/>
    <x v="4"/>
    <s v="Coordinación de Redes y Comunicaciones "/>
    <s v="Cuarto técnico "/>
    <x v="2"/>
    <n v="0"/>
    <n v="7.91"/>
    <d v="2022-06-06T00:00:00"/>
    <x v="2"/>
  </r>
  <r>
    <s v="Áreas_administración"/>
    <x v="0"/>
    <x v="2"/>
    <x v="4"/>
    <n v="602"/>
    <n v="6"/>
    <x v="12"/>
    <s v="Vicerrectoría Administrativa Financiera "/>
    <s v="Bodega "/>
    <x v="2"/>
    <n v="0"/>
    <n v="7.74"/>
    <d v="2022-06-06T00:00:00"/>
    <x v="2"/>
  </r>
  <r>
    <s v="Áreas_administración"/>
    <x v="0"/>
    <x v="2"/>
    <x v="4"/>
    <n v="603"/>
    <n v="6"/>
    <x v="4"/>
    <s v="Coordinación de Planta Física y Mantenimiento "/>
    <s v="Cuarto Técnico - electrico"/>
    <x v="2"/>
    <n v="0"/>
    <n v="7.17"/>
    <d v="2022-06-06T00:00:00"/>
    <x v="2"/>
  </r>
  <r>
    <s v="Áreas_Movilidad_Espacios_libres"/>
    <x v="0"/>
    <x v="2"/>
    <x v="4"/>
    <m/>
    <n v="6"/>
    <x v="6"/>
    <s v="Vicerrectoría Administrativa Financiera "/>
    <s v="Pasillos sexto piso "/>
    <x v="2"/>
    <n v="0"/>
    <n v="46.46"/>
    <d v="2022-06-06T00:00:00"/>
    <x v="0"/>
  </r>
  <r>
    <s v="Áreas_administración"/>
    <x v="0"/>
    <x v="2"/>
    <x v="5"/>
    <m/>
    <n v="6"/>
    <x v="15"/>
    <s v="Vicerrectoría Administrativa Financiera "/>
    <s v="Cocina / cafeteria"/>
    <x v="0"/>
    <n v="2"/>
    <n v="15.82"/>
    <d v="2022-06-06T00:00:00"/>
    <x v="2"/>
  </r>
  <r>
    <s v="Áreas_administración"/>
    <x v="0"/>
    <x v="2"/>
    <x v="5"/>
    <m/>
    <n v="6"/>
    <x v="15"/>
    <s v="Vicerrectoría Administrativa Financiera "/>
    <s v="Cocina / cafeteria"/>
    <x v="0"/>
    <n v="1"/>
    <n v="4.68"/>
    <d v="2022-06-06T00:00:00"/>
    <x v="2"/>
  </r>
  <r>
    <s v="Áreas_bienestar"/>
    <x v="0"/>
    <x v="2"/>
    <x v="5"/>
    <m/>
    <n v="6"/>
    <x v="18"/>
    <s v="Vicerrectoría Administrativa Financiera "/>
    <s v="Terraza Alvernia "/>
    <x v="0"/>
    <n v="60"/>
    <n v="240.74"/>
    <d v="2022-06-06T00:00:00"/>
    <x v="0"/>
  </r>
  <r>
    <s v="Áreas_Movilidad_Espacios_libres"/>
    <x v="0"/>
    <x v="2"/>
    <x v="6"/>
    <m/>
    <s v="Sotano"/>
    <x v="6"/>
    <s v="Vicerrectoría Administrativa Financiera "/>
    <s v="Sotano"/>
    <x v="2"/>
    <n v="0"/>
    <n v="398.16"/>
    <m/>
    <x v="2"/>
  </r>
  <r>
    <s v="Áreas_Movilidad_Espacios_libres"/>
    <x v="0"/>
    <x v="2"/>
    <x v="3"/>
    <m/>
    <s v="Sotano"/>
    <x v="0"/>
    <s v="Jefatura de Seguridad y Salud en Trabajo "/>
    <s v="Translado de mobiliaria"/>
    <x v="2"/>
    <m/>
    <m/>
    <d v="2022-06-07T00:00:00"/>
    <x v="2"/>
  </r>
  <r>
    <s v="Áreas_Movilidad_Espacios_libres"/>
    <x v="0"/>
    <x v="2"/>
    <x v="4"/>
    <m/>
    <s v="Sotano"/>
    <x v="0"/>
    <s v="Vicerrectoría Académica"/>
    <s v="Translado de mobiliaria"/>
    <x v="2"/>
    <m/>
    <m/>
    <d v="2022-06-07T00:00:00"/>
    <x v="2"/>
  </r>
  <r>
    <s v="Áreas_administración"/>
    <x v="0"/>
    <x v="2"/>
    <x v="6"/>
    <m/>
    <s v="Sotano"/>
    <x v="5"/>
    <s v="Coordinación de Planta Física y Mantenimiento "/>
    <s v="Taller Carpintería"/>
    <x v="0"/>
    <n v="1"/>
    <n v="62.43"/>
    <d v="2021-07-16T00:00:00"/>
    <x v="2"/>
  </r>
  <r>
    <s v="Áreas_administración"/>
    <x v="0"/>
    <x v="2"/>
    <x v="6"/>
    <m/>
    <s v="Sotano"/>
    <x v="5"/>
    <s v="Coordinación de Planta Física y Mantenimiento "/>
    <s v="Taller mantenimiento (Diego) "/>
    <x v="0"/>
    <n v="1"/>
    <n v="10.85"/>
    <d v="2021-07-16T00:00:00"/>
    <x v="2"/>
  </r>
  <r>
    <s v="Áreas_administración"/>
    <x v="0"/>
    <x v="2"/>
    <x v="6"/>
    <m/>
    <s v="Sotano"/>
    <x v="5"/>
    <s v="Coordinación de Planta Física y Mantenimiento "/>
    <s v="Taller Artístico (Jorge)"/>
    <x v="0"/>
    <n v="1"/>
    <n v="10.85"/>
    <d v="2021-07-16T00:00:00"/>
    <x v="2"/>
  </r>
  <r>
    <s v="Áreas_administración"/>
    <x v="0"/>
    <x v="2"/>
    <x v="6"/>
    <m/>
    <s v="Sotano"/>
    <x v="5"/>
    <s v="Coordinación de Planta Física y Mantenimiento "/>
    <s v="Zona planta electrica"/>
    <x v="0"/>
    <n v="1"/>
    <n v="13.18"/>
    <d v="2021-07-16T00:00:00"/>
    <x v="2"/>
  </r>
  <r>
    <s v="Áreas_administración"/>
    <x v="0"/>
    <x v="2"/>
    <x v="6"/>
    <m/>
    <s v="Sotano"/>
    <x v="4"/>
    <s v="Coordinación de Planta Física y Mantenimiento "/>
    <s v="Cuarto tecnico -  hidraulico  - bombas"/>
    <x v="0"/>
    <n v="1"/>
    <n v="23.71"/>
    <d v="2021-07-16T00:00:00"/>
    <x v="2"/>
  </r>
  <r>
    <s v="Áreas_administración"/>
    <x v="0"/>
    <x v="2"/>
    <x v="6"/>
    <m/>
    <s v="Sotano"/>
    <x v="4"/>
    <s v="Coordinación de Planta Física y Mantenimiento "/>
    <s v="Cuarto eléctrico electrico"/>
    <x v="2"/>
    <n v="0"/>
    <n v="13.12"/>
    <d v="2021-07-16T00:00:00"/>
    <x v="2"/>
  </r>
  <r>
    <s v="Áreas_administración"/>
    <x v="0"/>
    <x v="2"/>
    <x v="6"/>
    <m/>
    <s v="Sotano"/>
    <x v="4"/>
    <s v="Coordinación de Planta Física y Mantenimiento "/>
    <s v="Cuarto tecnico redes"/>
    <x v="2"/>
    <n v="0"/>
    <n v="24.71"/>
    <d v="2021-07-16T00:00:00"/>
    <x v="2"/>
  </r>
  <r>
    <s v="Áreas_administración"/>
    <x v="0"/>
    <x v="2"/>
    <x v="6"/>
    <m/>
    <s v="Sotano"/>
    <x v="4"/>
    <s v="Coordinación de Planta Física y Mantenimiento "/>
    <s v="Cuarto técnico - tanques reserva"/>
    <x v="2"/>
    <n v="0"/>
    <n v="24.65"/>
    <d v="2021-07-16T00:00:00"/>
    <x v="2"/>
  </r>
  <r>
    <s v="Áreas_administración"/>
    <x v="0"/>
    <x v="2"/>
    <x v="6"/>
    <m/>
    <s v="Sotano"/>
    <x v="5"/>
    <s v="Vicerrectoría Administrativa Financiera "/>
    <s v="Portería con baño"/>
    <x v="0"/>
    <n v="1"/>
    <n v="4.51"/>
    <d v="2021-07-16T00:00:00"/>
    <x v="2"/>
  </r>
  <r>
    <s v="Áreas_administración"/>
    <x v="0"/>
    <x v="2"/>
    <x v="6"/>
    <m/>
    <s v="Sotano"/>
    <x v="12"/>
    <s v="Coordinación de Proyección Social"/>
    <s v="Bodega 1"/>
    <x v="2"/>
    <n v="0"/>
    <n v="52.25"/>
    <d v="2021-07-16T00:00:00"/>
    <x v="2"/>
  </r>
  <r>
    <s v="Áreas_administración"/>
    <x v="0"/>
    <x v="2"/>
    <x v="6"/>
    <m/>
    <s v="Sotano"/>
    <x v="12"/>
    <s v="Coordinación de Proyección Social"/>
    <s v="Bodega 2"/>
    <x v="2"/>
    <n v="0"/>
    <n v="11.31"/>
    <d v="2021-07-16T00:00:00"/>
    <x v="2"/>
  </r>
  <r>
    <s v="Áreas_administración"/>
    <x v="0"/>
    <x v="2"/>
    <x v="6"/>
    <m/>
    <s v="Sotano"/>
    <x v="12"/>
    <s v="Coordinación de Proyección Social"/>
    <s v="Bodega 3"/>
    <x v="2"/>
    <n v="0"/>
    <n v="15.51"/>
    <d v="2021-07-16T00:00:00"/>
    <x v="2"/>
  </r>
  <r>
    <s v="Áreas_administración"/>
    <x v="0"/>
    <x v="2"/>
    <x v="6"/>
    <m/>
    <s v="Sotano"/>
    <x v="12"/>
    <s v="Coordinación de Proyección Social"/>
    <s v="Bodega 4"/>
    <x v="2"/>
    <n v="0"/>
    <n v="7.96"/>
    <d v="2021-07-16T00:00:00"/>
    <x v="2"/>
  </r>
  <r>
    <s v="Áreas_Movilidad_Espacios_libres"/>
    <x v="1"/>
    <x v="2"/>
    <x v="6"/>
    <m/>
    <s v="Sotano"/>
    <x v="21"/>
    <s v="Coordinación de Planta Física y Mantenimiento "/>
    <s v="Escaleras, acceso parqueaderos"/>
    <x v="2"/>
    <n v="0"/>
    <n v="8.32"/>
    <d v="2021-07-16T00:00:00"/>
    <x v="0"/>
  </r>
  <r>
    <s v="Áreas_Movilidad_Espacios_libres"/>
    <x v="1"/>
    <x v="2"/>
    <x v="6"/>
    <m/>
    <s v="Sotano"/>
    <x v="21"/>
    <s v="Coordinación de Planta Física y Mantenimiento "/>
    <s v="Area para ascensores"/>
    <x v="2"/>
    <n v="0"/>
    <n v="12.92"/>
    <d v="2021-07-16T00:00:00"/>
    <x v="0"/>
  </r>
  <r>
    <s v="Áreas_administración"/>
    <x v="0"/>
    <x v="2"/>
    <x v="6"/>
    <m/>
    <s v="Sotano"/>
    <x v="11"/>
    <s v="Vicerrectoría Administrativa Financiera "/>
    <s v="Depósito - cuarto basuras "/>
    <x v="2"/>
    <n v="0"/>
    <n v="10.28"/>
    <d v="2021-07-16T00:00:00"/>
    <x v="2"/>
  </r>
  <r>
    <s v="Áreas_docencia"/>
    <x v="0"/>
    <x v="2"/>
    <x v="6"/>
    <n v="100"/>
    <s v="M1"/>
    <x v="4"/>
    <s v="Coordinación de Planta Física y Mantenimiento "/>
    <s v="Cuarto electrico - Servidores "/>
    <x v="0"/>
    <n v="3"/>
    <n v="40"/>
    <d v="2021-07-14T00:00:00"/>
    <x v="2"/>
  </r>
  <r>
    <s v="Áreas_docencia"/>
    <x v="0"/>
    <x v="2"/>
    <x v="6"/>
    <n v="101"/>
    <s v="M1"/>
    <x v="14"/>
    <s v="Programa de Arquitectura"/>
    <s v="Aula de Clase  con mesas de dibujo"/>
    <x v="4"/>
    <n v="36"/>
    <n v="128"/>
    <d v="2021-07-14T00:00:00"/>
    <x v="2"/>
  </r>
  <r>
    <s v="Áreas_docencia"/>
    <x v="0"/>
    <x v="2"/>
    <x v="6"/>
    <n v="102"/>
    <s v="M1"/>
    <x v="27"/>
    <s v="Programa de Derecho"/>
    <s v="Sala de audiencias "/>
    <x v="4"/>
    <n v="31"/>
    <n v="63.63"/>
    <d v="2021-07-14T00:00:00"/>
    <x v="2"/>
  </r>
  <r>
    <s v="Áreas_bienestar"/>
    <x v="0"/>
    <x v="2"/>
    <x v="6"/>
    <m/>
    <s v="M1"/>
    <x v="10"/>
    <s v="Vicerrectoría Administrativa Financiera "/>
    <s v="Baños públicos hombres M1"/>
    <x v="2"/>
    <n v="2"/>
    <n v="20.32"/>
    <d v="2021-07-14T00:00:00"/>
    <x v="0"/>
  </r>
  <r>
    <s v="Áreas_bienestar"/>
    <x v="0"/>
    <x v="2"/>
    <x v="6"/>
    <m/>
    <s v="M1"/>
    <x v="10"/>
    <s v="Vicerrectoría Administrativa Financiera "/>
    <s v="Baño públicos mujeres   M1"/>
    <x v="2"/>
    <n v="5"/>
    <n v="19.37"/>
    <d v="2021-07-14T00:00:00"/>
    <x v="0"/>
  </r>
  <r>
    <s v="Áreas_bienestar"/>
    <x v="0"/>
    <x v="2"/>
    <x v="6"/>
    <m/>
    <s v="M1"/>
    <x v="10"/>
    <s v="Vicerrectoría Administrativa Financiera "/>
    <s v="Baño personas con mobilidad reducida M1"/>
    <x v="2"/>
    <n v="1"/>
    <n v="4"/>
    <d v="2021-07-14T00:00:00"/>
    <x v="2"/>
  </r>
  <r>
    <s v="Áreas_Movilidad_Espacios_libres"/>
    <x v="0"/>
    <x v="2"/>
    <x v="6"/>
    <m/>
    <s v="M1"/>
    <x v="6"/>
    <s v="Centro de Estimulación Infantil"/>
    <s v="Hall de acceso centro de estimulación infantil "/>
    <x v="2"/>
    <n v="1"/>
    <n v="12.78"/>
    <d v="2021-07-14T00:00:00"/>
    <x v="0"/>
  </r>
  <r>
    <s v="Áreas_administración"/>
    <x v="0"/>
    <x v="2"/>
    <x v="6"/>
    <m/>
    <s v="M1"/>
    <x v="0"/>
    <s v="Centro de Estimulación Infantil"/>
    <s v="Salón vamos a explorar centro de estimulación infantil "/>
    <x v="0"/>
    <n v="18"/>
    <n v="45.1"/>
    <d v="2021-07-14T00:00:00"/>
    <x v="2"/>
  </r>
  <r>
    <s v="Áreas_administración"/>
    <x v="0"/>
    <x v="2"/>
    <x v="6"/>
    <m/>
    <s v="M1"/>
    <x v="0"/>
    <s v="Vicerrectoría Administrativa Financiera "/>
    <s v="Bodega Seguridad y salud al trabajo"/>
    <x v="0"/>
    <n v="4"/>
    <n v="8.08"/>
    <d v="2021-07-14T00:00:00"/>
    <x v="2"/>
  </r>
  <r>
    <s v="Áreas_administración"/>
    <x v="0"/>
    <x v="2"/>
    <x v="6"/>
    <m/>
    <s v="M1"/>
    <x v="0"/>
    <s v="Vicerrectoría Administrativa Financiera "/>
    <s v="Convenios "/>
    <x v="0"/>
    <n v="1"/>
    <n v="7.84"/>
    <d v="2021-07-14T00:00:00"/>
    <x v="2"/>
  </r>
  <r>
    <s v="Áreas_administración"/>
    <x v="0"/>
    <x v="2"/>
    <x v="6"/>
    <m/>
    <s v="M1"/>
    <x v="0"/>
    <s v="Vicerrectoría Administrativa Financiera "/>
    <s v="Coordinacion de seguridad y salud al trabajo"/>
    <x v="0"/>
    <n v="7"/>
    <n v="13.96"/>
    <d v="2021-07-14T00:00:00"/>
    <x v="2"/>
  </r>
  <r>
    <s v="Áreas_administración"/>
    <x v="0"/>
    <x v="2"/>
    <x v="6"/>
    <m/>
    <s v="M1"/>
    <x v="0"/>
    <s v="N/A"/>
    <s v="Asociacion de egresados"/>
    <x v="0"/>
    <n v="4"/>
    <n v="9.1"/>
    <d v="2021-07-14T00:00:00"/>
    <x v="2"/>
  </r>
  <r>
    <s v="Áreas_administración"/>
    <x v="0"/>
    <x v="2"/>
    <x v="6"/>
    <m/>
    <s v="M1"/>
    <x v="2"/>
    <s v="Vicerrectoría Administrativa Financiera "/>
    <s v="Baño centro de estimulación"/>
    <x v="2"/>
    <n v="1"/>
    <n v="3.49"/>
    <d v="2021-07-14T00:00:00"/>
    <x v="2"/>
  </r>
  <r>
    <s v="Áreas_investigación"/>
    <x v="0"/>
    <x v="2"/>
    <x v="6"/>
    <m/>
    <s v="M1"/>
    <x v="25"/>
    <s v="Vicerrectoría de Investigaciones"/>
    <s v="Área de Investigadores"/>
    <x v="3"/>
    <n v="22"/>
    <n v="90.9"/>
    <d v="2021-07-14T00:00:00"/>
    <x v="2"/>
  </r>
  <r>
    <s v="Áreas_investigación"/>
    <x v="0"/>
    <x v="2"/>
    <x v="6"/>
    <m/>
    <s v="M1"/>
    <x v="25"/>
    <s v="Vicerrectoría de Investigaciones"/>
    <s v="Sala de investigadores "/>
    <x v="0"/>
    <n v="4"/>
    <n v="15.84"/>
    <d v="2021-07-14T00:00:00"/>
    <x v="2"/>
  </r>
  <r>
    <s v="Áreas_investigación"/>
    <x v="0"/>
    <x v="2"/>
    <x v="6"/>
    <m/>
    <s v="M1"/>
    <x v="25"/>
    <s v="Vicerrectoría de Investigaciones"/>
    <s v="Oficina de investigadores "/>
    <x v="3"/>
    <n v="9"/>
    <n v="39.42"/>
    <d v="2021-07-14T00:00:00"/>
    <x v="2"/>
  </r>
  <r>
    <s v="Áreas_administración"/>
    <x v="0"/>
    <x v="2"/>
    <x v="6"/>
    <m/>
    <s v="M1"/>
    <x v="12"/>
    <s v="Vicerrectoría Administrativa Financiera "/>
    <s v="Archivo Investigaciones"/>
    <x v="3"/>
    <n v="2"/>
    <n v="19.41"/>
    <d v="2021-07-14T00:00:00"/>
    <x v="2"/>
  </r>
  <r>
    <s v="Áreas_administración"/>
    <x v="0"/>
    <x v="2"/>
    <x v="6"/>
    <m/>
    <s v="M1"/>
    <x v="11"/>
    <s v="Coordinación de Planta Física y Mantenimiento "/>
    <s v="Area de servidores - electrico"/>
    <x v="2"/>
    <n v="3"/>
    <n v="65.25"/>
    <m/>
    <x v="1"/>
  </r>
  <r>
    <s v="Áreas_administración"/>
    <x v="0"/>
    <x v="2"/>
    <x v="6"/>
    <m/>
    <s v="M1"/>
    <x v="11"/>
    <s v="Coordinación de Planta Física y Mantenimiento "/>
    <s v="Cuarto electrico "/>
    <x v="2"/>
    <n v="0"/>
    <n v="14.62"/>
    <d v="2021-07-14T00:00:00"/>
    <x v="2"/>
  </r>
  <r>
    <s v="Áreas_administración"/>
    <x v="0"/>
    <x v="2"/>
    <x v="6"/>
    <m/>
    <s v="M1"/>
    <x v="11"/>
    <s v="Coordinación de Planta Física y Mantenimiento "/>
    <s v="Camaras de vigilancia"/>
    <x v="2"/>
    <n v="1"/>
    <n v="12.15"/>
    <d v="2021-07-14T00:00:00"/>
    <x v="2"/>
  </r>
  <r>
    <s v="Áreas_administración"/>
    <x v="0"/>
    <x v="2"/>
    <x v="6"/>
    <m/>
    <s v="M1"/>
    <x v="4"/>
    <s v="Coordinación de Redes y Comunicaciones "/>
    <s v="Cuarto técnico servidores ups"/>
    <x v="2"/>
    <n v="0"/>
    <n v="11.24"/>
    <d v="2021-07-14T00:00:00"/>
    <x v="0"/>
  </r>
  <r>
    <s v="Áreas_Movilidad_Espacios_libres"/>
    <x v="0"/>
    <x v="2"/>
    <x v="6"/>
    <m/>
    <s v="M1"/>
    <x v="6"/>
    <s v="Vicerrectoría Administrativa Financiera "/>
    <s v="Pasillos o corredores "/>
    <x v="2"/>
    <n v="0"/>
    <n v="132"/>
    <d v="2021-07-14T00:00:00"/>
    <x v="2"/>
  </r>
  <r>
    <s v="Áreas_administración"/>
    <x v="0"/>
    <x v="2"/>
    <x v="6"/>
    <m/>
    <s v="M1"/>
    <x v="12"/>
    <s v="Coordinación de Planta Física y Mantenimiento "/>
    <s v="Bodega mantenimiento "/>
    <x v="2"/>
    <n v="0"/>
    <n v="47.69"/>
    <d v="2021-07-14T00:00:00"/>
    <x v="2"/>
  </r>
  <r>
    <s v="Áreas_administración"/>
    <x v="0"/>
    <x v="2"/>
    <x v="6"/>
    <m/>
    <s v="M1"/>
    <x v="5"/>
    <s v="Coordinación de Redes y Comunicaciones "/>
    <s v="Área de Monitores - Cuarto de crisis"/>
    <x v="0"/>
    <n v="2"/>
    <n v="10.64"/>
    <d v="2021-07-14T00:00:00"/>
    <x v="2"/>
  </r>
  <r>
    <s v="Áreas_Movilidad_Espacios_libres"/>
    <x v="0"/>
    <x v="2"/>
    <x v="6"/>
    <m/>
    <n v="1"/>
    <x v="7"/>
    <s v="Vicerrectoría Administrativa Financiera "/>
    <s v="Hall acceso piso 1 - SECTOR AV AMERICAS"/>
    <x v="2"/>
    <n v="0"/>
    <n v="36"/>
    <d v="2021-07-14T00:00:00"/>
    <x v="0"/>
  </r>
  <r>
    <s v="Áreas_administración"/>
    <x v="0"/>
    <x v="2"/>
    <x v="6"/>
    <m/>
    <n v="1"/>
    <x v="0"/>
    <s v="Jefatura de crédito y Cartera"/>
    <s v="Ofina Jefe, secretaría, técnico y auxiliares "/>
    <x v="0"/>
    <n v="10"/>
    <n v="80.52"/>
    <d v="2021-07-14T00:00:00"/>
    <x v="0"/>
  </r>
  <r>
    <s v="Áreas_Movilidad_Espacios_libres"/>
    <x v="0"/>
    <x v="2"/>
    <x v="6"/>
    <m/>
    <n v="1"/>
    <x v="6"/>
    <s v="Vicerrectoría Administrativa Financiera "/>
    <s v="Lobby auditorio-Hall credito y cartera - publicidad y mercadeo"/>
    <x v="2"/>
    <n v="45"/>
    <n v="135.34"/>
    <d v="2021-07-14T00:00:00"/>
    <x v="0"/>
  </r>
  <r>
    <s v="Áreas_bienestar"/>
    <x v="0"/>
    <x v="2"/>
    <x v="6"/>
    <m/>
    <n v="1"/>
    <x v="10"/>
    <s v="Vicerrectoría Administrativa Financiera "/>
    <s v="Baños hombres y aseo primer piso"/>
    <x v="2"/>
    <n v="3"/>
    <n v="19.68"/>
    <d v="2021-07-14T00:00:00"/>
    <x v="0"/>
  </r>
  <r>
    <s v="Áreas_bienestar"/>
    <x v="0"/>
    <x v="2"/>
    <x v="6"/>
    <m/>
    <n v="1"/>
    <x v="10"/>
    <s v="Vicerrectoría Administrativa Financiera "/>
    <s v="Baños mujeres primer piso"/>
    <x v="2"/>
    <n v="4"/>
    <n v="17.62"/>
    <d v="2021-07-15T00:00:00"/>
    <x v="0"/>
  </r>
  <r>
    <s v="Áreas_bienestar"/>
    <x v="0"/>
    <x v="2"/>
    <x v="6"/>
    <m/>
    <n v="1"/>
    <x v="10"/>
    <s v="Vicerrectoría Administrativa Financiera "/>
    <s v="Baño personas con mobilidad reducida primer piso"/>
    <x v="2"/>
    <n v="1"/>
    <n v="4.1500000000000004"/>
    <d v="2021-07-15T00:00:00"/>
    <x v="0"/>
  </r>
  <r>
    <s v="Áreas_administración"/>
    <x v="0"/>
    <x v="2"/>
    <x v="6"/>
    <m/>
    <n v="1"/>
    <x v="11"/>
    <s v="Vicerrectoría Administrativa Financiera "/>
    <s v="Shut de Basura - cuarto escoba mágica"/>
    <x v="2"/>
    <n v="0"/>
    <n v="1.71"/>
    <m/>
    <x v="0"/>
  </r>
  <r>
    <s v="Áreas_Movilidad_Espacios_libres"/>
    <x v="0"/>
    <x v="2"/>
    <x v="6"/>
    <m/>
    <n v="1"/>
    <x v="7"/>
    <s v="Vicerrectoría Administrativa Financiera "/>
    <s v="Hall ascensores y escaleras primer piso"/>
    <x v="2"/>
    <n v="28"/>
    <n v="56.51"/>
    <d v="2021-07-15T00:00:00"/>
    <x v="0"/>
  </r>
  <r>
    <s v="Áreas_Movilidad_Espacios_libres"/>
    <x v="0"/>
    <x v="2"/>
    <x v="6"/>
    <m/>
    <n v="1"/>
    <x v="6"/>
    <s v="Vicerrectoría Administrativa Financiera "/>
    <s v="Terraza posterior primer piso se incluye area cubierta"/>
    <x v="2"/>
    <n v="0"/>
    <n v="72.94"/>
    <d v="2021-07-15T00:00:00"/>
    <x v="0"/>
  </r>
  <r>
    <s v="Áreas_administración"/>
    <x v="0"/>
    <x v="2"/>
    <x v="6"/>
    <m/>
    <n v="1"/>
    <x v="0"/>
    <s v="Jefatura de Comunicaciones Publicidad y Mercadeo "/>
    <s v="Públicidad y Mercadeo primer piso"/>
    <x v="0"/>
    <n v="5"/>
    <n v="62.29"/>
    <d v="2021-07-15T00:00:00"/>
    <x v="0"/>
  </r>
  <r>
    <s v="Áreas_Movilidad_Espacios_libres"/>
    <x v="0"/>
    <x v="2"/>
    <x v="6"/>
    <m/>
    <n v="1"/>
    <x v="6"/>
    <s v="Vicerrectoría Administrativa Financiera "/>
    <s v="PLAZOLETA PRINCIPAL primer piso"/>
    <x v="2"/>
    <n v="23"/>
    <n v="71.56"/>
    <d v="2021-07-15T00:00:00"/>
    <x v="0"/>
  </r>
  <r>
    <s v="Áreas_Movilidad_Espacios_libres"/>
    <x v="0"/>
    <x v="2"/>
    <x v="6"/>
    <m/>
    <n v="1"/>
    <x v="21"/>
    <s v="Vicerrectoría Administrativa Financiera "/>
    <s v="Escaleras acceso a parqueaderos"/>
    <x v="0"/>
    <n v="0"/>
    <n v="17.82"/>
    <d v="2021-07-15T00:00:00"/>
    <x v="0"/>
  </r>
  <r>
    <s v="Áreas_Movilidad_Espacios_libres"/>
    <x v="0"/>
    <x v="2"/>
    <x v="6"/>
    <m/>
    <n v="1"/>
    <x v="21"/>
    <s v="Vicerrectoría Administrativa Financiera "/>
    <s v="Escaleras internas de aceeso primer piso"/>
    <x v="0"/>
    <n v="0"/>
    <n v="15.38"/>
    <d v="2021-07-15T00:00:00"/>
    <x v="0"/>
  </r>
  <r>
    <s v="Áreas_Movilidad_Espacios_libres"/>
    <x v="0"/>
    <x v="2"/>
    <x v="6"/>
    <m/>
    <n v="1"/>
    <x v="21"/>
    <s v="Vicerrectoría Administrativa Financiera "/>
    <s v="Escaleras acceso primer piso  - entrada "/>
    <x v="0"/>
    <n v="0"/>
    <n v="92.95"/>
    <d v="2021-07-15T00:00:00"/>
    <x v="0"/>
  </r>
  <r>
    <s v="Áreas_Movilidad_Espacios_libres"/>
    <x v="0"/>
    <x v="2"/>
    <x v="6"/>
    <m/>
    <n v="1"/>
    <x v="28"/>
    <s v="Vicerrectoría Administrativa Financiera "/>
    <s v="Rampas primer piso pendiente 12%"/>
    <x v="0"/>
    <n v="0"/>
    <n v="33.86"/>
    <d v="2021-07-15T00:00:00"/>
    <x v="0"/>
  </r>
  <r>
    <s v="Áreas_Movilidad_Espacios_libres"/>
    <x v="0"/>
    <x v="2"/>
    <x v="6"/>
    <m/>
    <n v="1"/>
    <x v="11"/>
    <s v="Coordinación de Planta Física y Mantenimiento "/>
    <s v="Area para instalacion de estractores de aire- ventilacion parqueaderos - 2"/>
    <x v="0"/>
    <n v="0"/>
    <n v="46.83"/>
    <d v="2021-07-15T00:00:00"/>
    <x v="1"/>
  </r>
  <r>
    <s v="Áreas_Movilidad_Espacios_libres"/>
    <x v="0"/>
    <x v="2"/>
    <x v="6"/>
    <m/>
    <n v="1"/>
    <x v="6"/>
    <s v="Vicerrectoría Administrativa Financiera "/>
    <s v="Terraza acceso San Francisco primer piso"/>
    <x v="0"/>
    <n v="29"/>
    <n v="87.39"/>
    <d v="2021-07-15T00:00:00"/>
    <x v="0"/>
  </r>
  <r>
    <s v="Áreas_Servicios_a_Comunidad"/>
    <x v="0"/>
    <x v="2"/>
    <x v="6"/>
    <m/>
    <n v="1"/>
    <x v="20"/>
    <s v="Centro de Recursos Educativos "/>
    <s v="AUDITORIO SAN FRANCISCO 1"/>
    <x v="0"/>
    <n v="268"/>
    <n v="382.5"/>
    <d v="2021-07-15T00:00:00"/>
    <x v="0"/>
  </r>
  <r>
    <s v="Áreas_Servicios_a_Comunidad"/>
    <x v="0"/>
    <x v="2"/>
    <x v="6"/>
    <m/>
    <n v="1"/>
    <x v="20"/>
    <s v="Centro de Recursos Educativos "/>
    <s v="AUDITORIO SAN FRANCISCO 2"/>
    <x v="0"/>
    <n v="140"/>
    <n v="154.08000000000001"/>
    <d v="2021-07-15T00:00:00"/>
    <x v="0"/>
  </r>
  <r>
    <s v="Áreas_administración"/>
    <x v="0"/>
    <x v="2"/>
    <x v="6"/>
    <m/>
    <s v="M2"/>
    <x v="0"/>
    <m/>
    <s v="OFICINA DECANO DE PROMGRAMA DE LICENCITUAR EN QUIMICA"/>
    <x v="4"/>
    <n v="2"/>
    <n v="19.940000000000001"/>
    <d v="2021-07-15T00:00:00"/>
    <x v="2"/>
  </r>
  <r>
    <s v="Áreas_administración"/>
    <x v="0"/>
    <x v="2"/>
    <x v="6"/>
    <m/>
    <s v="M2"/>
    <x v="0"/>
    <s v="Vicerrectoría Académica"/>
    <s v=" SALA DE JUNTAS"/>
    <x v="4"/>
    <n v="5"/>
    <n v="17.96"/>
    <d v="2021-07-15T00:00:00"/>
    <x v="2"/>
  </r>
  <r>
    <s v="Áreas_administración"/>
    <x v="0"/>
    <x v="2"/>
    <x v="6"/>
    <m/>
    <s v="M2"/>
    <x v="15"/>
    <s v="Vicerrectoría Académica"/>
    <s v="Sala de docentes intinerante"/>
    <x v="4"/>
    <n v="40"/>
    <n v="87.99"/>
    <d v="2021-07-15T00:00:00"/>
    <x v="2"/>
  </r>
  <r>
    <s v="Áreas_administración"/>
    <x v="0"/>
    <x v="2"/>
    <x v="6"/>
    <m/>
    <s v="M2"/>
    <x v="4"/>
    <s v="Coordinación de Redes y Comunicaciones "/>
    <s v="Cuarto técnico "/>
    <x v="2"/>
    <n v="0"/>
    <n v="8.6300000000000008"/>
    <d v="2021-07-15T00:00:00"/>
    <x v="2"/>
  </r>
  <r>
    <s v="Áreas_administración"/>
    <x v="0"/>
    <x v="2"/>
    <x v="6"/>
    <m/>
    <s v="M2"/>
    <x v="2"/>
    <s v="Vicerrectoría Administrativa Financiera "/>
    <s v="Baño personal hombres "/>
    <x v="2"/>
    <n v="1"/>
    <n v="2.75"/>
    <d v="2021-07-15T00:00:00"/>
    <x v="2"/>
  </r>
  <r>
    <s v="Áreas_administración"/>
    <x v="0"/>
    <x v="2"/>
    <x v="6"/>
    <m/>
    <s v="M2"/>
    <x v="2"/>
    <s v="Vicerrectoría Administrativa Financiera "/>
    <s v="Baño personal mujeres "/>
    <x v="2"/>
    <n v="1"/>
    <n v="2.6"/>
    <d v="2021-07-15T00:00:00"/>
    <x v="2"/>
  </r>
  <r>
    <s v="Áreas_administración"/>
    <x v="0"/>
    <x v="2"/>
    <x v="6"/>
    <m/>
    <s v="M2"/>
    <x v="0"/>
    <s v="Vicerrectoría Académica"/>
    <s v="OFICINAS DE ASESOR DESARROLLO ACADEMICO"/>
    <x v="4"/>
    <n v="1"/>
    <n v="12.99"/>
    <d v="2021-07-15T00:00:00"/>
    <x v="2"/>
  </r>
  <r>
    <s v="Áreas_administración"/>
    <x v="0"/>
    <x v="2"/>
    <x v="6"/>
    <m/>
    <s v="M2"/>
    <x v="0"/>
    <s v="Vicerrectoría Académica"/>
    <s v="Coordinacion Academica"/>
    <x v="4"/>
    <n v="1"/>
    <n v="13.6"/>
    <d v="2021-07-15T00:00:00"/>
    <x v="2"/>
  </r>
  <r>
    <s v="Áreas_administración"/>
    <x v="0"/>
    <x v="2"/>
    <x v="6"/>
    <m/>
    <s v="M2"/>
    <x v="0"/>
    <s v="Vicerrectoría Académica"/>
    <s v="OFICINA VICERECTOR ACADÉMICO"/>
    <x v="4"/>
    <n v="1"/>
    <n v="13.78"/>
    <d v="2021-07-15T00:00:00"/>
    <x v="2"/>
  </r>
  <r>
    <s v="Áreas_administración"/>
    <x v="0"/>
    <x v="2"/>
    <x v="6"/>
    <m/>
    <s v="M2"/>
    <x v="0"/>
    <s v="Programa de Educación Física"/>
    <s v="Coordinacion practica ed. Fisica + secretaria decanatura + sec. Ed. Fisica + sala de espera"/>
    <x v="4"/>
    <n v="3"/>
    <m/>
    <d v="2021-07-15T00:00:00"/>
    <x v="2"/>
  </r>
  <r>
    <s v="Áreas_administración"/>
    <x v="0"/>
    <x v="2"/>
    <x v="6"/>
    <m/>
    <s v="M2"/>
    <x v="0"/>
    <s v="Vicerrectoría Académica"/>
    <s v="Secretaria vicerrectoría academica"/>
    <x v="0"/>
    <n v="4"/>
    <n v="9.14"/>
    <d v="2021-07-15T00:00:00"/>
    <x v="2"/>
  </r>
  <r>
    <s v="Áreas_Movilidad_Espacios_libres"/>
    <x v="0"/>
    <x v="2"/>
    <x v="6"/>
    <m/>
    <s v="M2"/>
    <x v="21"/>
    <s v="Vicerrectoría Administrativa Financiera "/>
    <s v="SALA DE DOCENTES INTENIRANT"/>
    <x v="0"/>
    <n v="0"/>
    <n v="18.13"/>
    <d v="2021-07-15T00:00:00"/>
    <x v="0"/>
  </r>
  <r>
    <s v="Áreas_Movilidad_Espacios_libres"/>
    <x v="0"/>
    <x v="2"/>
    <x v="6"/>
    <m/>
    <s v="M2"/>
    <x v="21"/>
    <s v="Vicerrectoría Administrativa Financiera "/>
    <s v="Escaleras de distribucion central"/>
    <x v="0"/>
    <n v="0"/>
    <n v="15.78"/>
    <d v="2021-07-15T00:00:00"/>
    <x v="0"/>
  </r>
  <r>
    <s v="Áreas_Movilidad_Espacios_libres"/>
    <x v="0"/>
    <x v="2"/>
    <x v="6"/>
    <m/>
    <s v="M2"/>
    <x v="6"/>
    <s v="Vicerrectoría Administrativa Financiera "/>
    <s v="Hall direcciones M2"/>
    <x v="2"/>
    <n v="0"/>
    <n v="14.97"/>
    <d v="2021-07-15T00:00:00"/>
    <x v="2"/>
  </r>
  <r>
    <s v="Áreas_Movilidad_Espacios_libres"/>
    <x v="0"/>
    <x v="2"/>
    <x v="6"/>
    <m/>
    <s v="M2"/>
    <x v="6"/>
    <s v="Vicerrectoría Administrativa Financiera "/>
    <s v="Pasillos M2"/>
    <x v="2"/>
    <n v="0"/>
    <n v="67.84"/>
    <d v="2021-07-15T00:00:00"/>
    <x v="2"/>
  </r>
  <r>
    <s v="Áreas_Movilidad_Espacios_libres"/>
    <x v="0"/>
    <x v="2"/>
    <x v="6"/>
    <m/>
    <n v="2"/>
    <x v="6"/>
    <s v="Vicerrectoría Administrativa Financiera "/>
    <s v="Hall de exposiciones"/>
    <x v="0"/>
    <n v="0"/>
    <n v="297"/>
    <d v="2021-07-15T00:00:00"/>
    <x v="0"/>
  </r>
  <r>
    <s v="Áreas_administración"/>
    <x v="0"/>
    <x v="2"/>
    <x v="6"/>
    <m/>
    <n v="2"/>
    <x v="0"/>
    <s v="Unidad de Acompañamiento Integral al Estudiante "/>
    <s v="Oficina de acompañamiento"/>
    <x v="0"/>
    <n v="1"/>
    <n v="8.23"/>
    <m/>
    <x v="2"/>
  </r>
  <r>
    <s v="Áreas_administración"/>
    <x v="0"/>
    <x v="2"/>
    <x v="6"/>
    <m/>
    <n v="2"/>
    <x v="0"/>
    <s v="Unidad de Acompañamiento Integral al Estudiante "/>
    <s v="Profesional Trabajo Social "/>
    <x v="0"/>
    <n v="1"/>
    <n v="10"/>
    <d v="2021-07-15T00:00:00"/>
    <x v="2"/>
  </r>
  <r>
    <s v="Áreas_administración"/>
    <x v="0"/>
    <x v="2"/>
    <x v="6"/>
    <m/>
    <n v="2"/>
    <x v="0"/>
    <s v="Unidad de Acompañamiento Integral al Estudiante "/>
    <s v="Profesional Inclusión y Diversidad "/>
    <x v="0"/>
    <n v="1"/>
    <n v="10.38"/>
    <d v="2021-07-15T00:00:00"/>
    <x v="2"/>
  </r>
  <r>
    <s v="Áreas_administración"/>
    <x v="0"/>
    <x v="2"/>
    <x v="6"/>
    <m/>
    <n v="2"/>
    <x v="0"/>
    <s v="Unidad de Acompañamiento Integral al Estudiante "/>
    <s v="Aula de Acompañamiento Unidad de acompañamiento Integral al Estudiente"/>
    <x v="0"/>
    <n v="15"/>
    <n v="43.32"/>
    <d v="2021-07-15T00:00:00"/>
    <x v="2"/>
  </r>
  <r>
    <s v="Áreas_administración"/>
    <x v="0"/>
    <x v="2"/>
    <x v="6"/>
    <m/>
    <n v="2"/>
    <x v="0"/>
    <s v="Unidad de Acompañamiento Integral al Estudiante "/>
    <s v="Secretaría Unidad de acompañamiento Integral al Estudiente "/>
    <x v="0"/>
    <n v="1"/>
    <n v="8.9499999999999993"/>
    <d v="2021-07-15T00:00:00"/>
    <x v="2"/>
  </r>
  <r>
    <s v="Áreas_administración"/>
    <x v="0"/>
    <x v="2"/>
    <x v="6"/>
    <m/>
    <n v="2"/>
    <x v="0"/>
    <s v="Unidad de Acompañamiento Integral al Estudiante "/>
    <s v="Sala Unidad de acompañamiento Integral al Estudiente"/>
    <x v="0"/>
    <n v="20"/>
    <n v="28"/>
    <d v="2021-07-15T00:00:00"/>
    <x v="2"/>
  </r>
  <r>
    <s v="Áreas_bienestar"/>
    <x v="0"/>
    <x v="2"/>
    <x v="6"/>
    <m/>
    <n v="2"/>
    <x v="18"/>
    <s v="Vicerrectoría Administrativa Financiera "/>
    <s v="Área mesas incluida circulacion "/>
    <x v="0"/>
    <n v="16"/>
    <n v="266.72000000000003"/>
    <d v="2021-07-15T00:00:00"/>
    <x v="0"/>
  </r>
  <r>
    <s v="Áreas_bienestar"/>
    <x v="0"/>
    <x v="2"/>
    <x v="6"/>
    <m/>
    <n v="2"/>
    <x v="23"/>
    <s v="Vicerrectoría Administrativa Financiera "/>
    <s v="Cafetería Pública"/>
    <x v="0"/>
    <n v="2"/>
    <n v="14.27"/>
    <d v="2021-07-15T00:00:00"/>
    <x v="2"/>
  </r>
  <r>
    <s v="Áreas_bienestar"/>
    <x v="0"/>
    <x v="2"/>
    <x v="6"/>
    <m/>
    <n v="2"/>
    <x v="23"/>
    <s v="Vicerrectoría Administrativa Financiera "/>
    <s v="Cocina cafetería Pública"/>
    <x v="0"/>
    <n v="1"/>
    <n v="2.65"/>
    <d v="2021-07-15T00:00:00"/>
    <x v="2"/>
  </r>
  <r>
    <s v="Áreas_bienestar"/>
    <x v="0"/>
    <x v="2"/>
    <x v="6"/>
    <m/>
    <n v="2"/>
    <x v="10"/>
    <s v="Vicerrectoría Administrativa Financiera "/>
    <s v="Baño público hombres + cuarto de aseo"/>
    <x v="2"/>
    <n v="2"/>
    <n v="17.43"/>
    <d v="2021-07-15T00:00:00"/>
    <x v="0"/>
  </r>
  <r>
    <s v="Áreas_bienestar"/>
    <x v="0"/>
    <x v="2"/>
    <x v="6"/>
    <m/>
    <n v="2"/>
    <x v="10"/>
    <s v="Vicerrectoría Administrativa Financiera "/>
    <s v="Baño público mujeres + cuarto de aseo"/>
    <x v="2"/>
    <n v="3"/>
    <n v="15.65"/>
    <d v="2021-07-15T00:00:00"/>
    <x v="0"/>
  </r>
  <r>
    <s v="Áreas_bienestar"/>
    <x v="0"/>
    <x v="2"/>
    <x v="6"/>
    <m/>
    <n v="2"/>
    <x v="10"/>
    <s v="Vicerrectoría Administrativa Financiera "/>
    <s v="Baño personas con movilidad reducida"/>
    <x v="2"/>
    <n v="1"/>
    <n v="3.64"/>
    <d v="2021-07-15T00:00:00"/>
    <x v="2"/>
  </r>
  <r>
    <s v="Áreas_administración"/>
    <x v="0"/>
    <x v="2"/>
    <x v="6"/>
    <m/>
    <n v="2"/>
    <x v="11"/>
    <s v="Vicerrectoría Administrativa Financiera "/>
    <s v="Cuarto de Aseo "/>
    <x v="2"/>
    <n v="0"/>
    <n v="1.29"/>
    <m/>
    <x v="2"/>
  </r>
  <r>
    <s v="Áreas_administración"/>
    <x v="0"/>
    <x v="2"/>
    <x v="6"/>
    <m/>
    <n v="2"/>
    <x v="11"/>
    <s v="Vicerrectoría Administrativa Financiera "/>
    <s v="Shut basura - cuarto escoba mágica"/>
    <x v="2"/>
    <n v="0"/>
    <n v="1.71"/>
    <m/>
    <x v="2"/>
  </r>
  <r>
    <s v="Áreas_Movilidad_Espacios_libres"/>
    <x v="0"/>
    <x v="2"/>
    <x v="6"/>
    <m/>
    <n v="2"/>
    <x v="6"/>
    <s v="Vicerrectoría Administrativa Financiera "/>
    <s v="Pasillos"/>
    <x v="2"/>
    <n v="0"/>
    <n v="114.56"/>
    <m/>
    <x v="2"/>
  </r>
  <r>
    <s v="Áreas_docencia"/>
    <x v="0"/>
    <x v="2"/>
    <x v="6"/>
    <n v="201"/>
    <n v="2"/>
    <x v="14"/>
    <s v="Inclusión y diversidad "/>
    <s v="Aula de clases de Rectoría "/>
    <x v="4"/>
    <n v="65"/>
    <n v="66.069999999999993"/>
    <d v="2021-07-15T00:00:00"/>
    <x v="2"/>
  </r>
  <r>
    <s v="Áreas_docencia"/>
    <x v="0"/>
    <x v="2"/>
    <x v="6"/>
    <n v="202"/>
    <n v="2"/>
    <x v="17"/>
    <s v="Jefatura de sistemas e Internet"/>
    <s v="Sala de Sistemas -Mac"/>
    <x v="4"/>
    <n v="30"/>
    <n v="63.6"/>
    <d v="2021-07-15T00:00:00"/>
    <x v="2"/>
  </r>
  <r>
    <s v="Áreas_docencia"/>
    <x v="0"/>
    <x v="2"/>
    <x v="6"/>
    <n v="301"/>
    <n v="3"/>
    <x v="14"/>
    <s v="Centro de Recursos Educativos "/>
    <s v="Aula de Clases"/>
    <x v="4"/>
    <n v="25"/>
    <n v="64.599999999999994"/>
    <d v="2021-07-15T00:00:00"/>
    <x v="2"/>
  </r>
  <r>
    <s v="Áreas_docencia"/>
    <x v="0"/>
    <x v="2"/>
    <x v="6"/>
    <n v="302"/>
    <n v="3"/>
    <x v="17"/>
    <s v="Jefatura de sistemas e Internet"/>
    <s v="Aula virtual - Sala de Sistemas"/>
    <x v="4"/>
    <n v="44"/>
    <n v="88.64"/>
    <d v="2021-07-15T00:00:00"/>
    <x v="2"/>
  </r>
  <r>
    <s v="Áreas_docencia"/>
    <x v="0"/>
    <x v="2"/>
    <x v="6"/>
    <n v="303"/>
    <n v="3"/>
    <x v="17"/>
    <s v="Jefatura de sistemas e Internet"/>
    <s v="Sala de Sistemas No. 5"/>
    <x v="4"/>
    <n v="41"/>
    <n v="83.35"/>
    <d v="2021-07-15T00:00:00"/>
    <x v="2"/>
  </r>
  <r>
    <s v="Áreas_docencia"/>
    <x v="0"/>
    <x v="2"/>
    <x v="6"/>
    <n v="304"/>
    <n v="3"/>
    <x v="17"/>
    <s v="Jefatura de sistemas e Internet"/>
    <s v="Sala de sistemas No. 6"/>
    <x v="4"/>
    <n v="41"/>
    <n v="82.06"/>
    <d v="2021-07-15T00:00:00"/>
    <x v="2"/>
  </r>
  <r>
    <s v="Áreas_docencia"/>
    <x v="0"/>
    <x v="2"/>
    <x v="6"/>
    <n v="305"/>
    <n v="3"/>
    <x v="17"/>
    <s v="Jefatura de sistemas e Internet"/>
    <s v="Sala de sistemas No. 7"/>
    <x v="4"/>
    <n v="34"/>
    <n v="68.599999999999994"/>
    <d v="2021-07-15T00:00:00"/>
    <x v="2"/>
  </r>
  <r>
    <s v="Áreas_docencia"/>
    <x v="0"/>
    <x v="2"/>
    <x v="6"/>
    <n v="306"/>
    <n v="3"/>
    <x v="17"/>
    <s v="Jefatura de sistemas e Internet"/>
    <s v="Aula de Sistemas Operativo"/>
    <x v="4"/>
    <n v="46"/>
    <n v="107.27"/>
    <d v="2021-07-15T00:00:00"/>
    <x v="2"/>
  </r>
  <r>
    <s v="Áreas_administración"/>
    <x v="0"/>
    <x v="2"/>
    <x v="6"/>
    <m/>
    <n v="3"/>
    <x v="4"/>
    <s v="Coordinación de Proyección Social"/>
    <s v="Bodega y Cuarto técnico"/>
    <x v="2"/>
    <n v="0"/>
    <n v="43.82"/>
    <d v="2021-07-15T00:00:00"/>
    <x v="2"/>
  </r>
  <r>
    <s v="Áreas_administración"/>
    <x v="0"/>
    <x v="2"/>
    <x v="6"/>
    <m/>
    <n v="3"/>
    <x v="4"/>
    <s v="Coordinación de Redes y Comunicaciones "/>
    <s v="Cuarto técnico A302 interno"/>
    <x v="2"/>
    <n v="0"/>
    <n v="9.66"/>
    <d v="2021-07-15T00:00:00"/>
    <x v="2"/>
  </r>
  <r>
    <s v="Áreas_docencia"/>
    <x v="0"/>
    <x v="2"/>
    <x v="6"/>
    <m/>
    <n v="3"/>
    <x v="17"/>
    <s v="Jefatura de sistemas e Internet"/>
    <s v="Sala de Sistemas No. 3"/>
    <x v="4"/>
    <n v="37"/>
    <n v="75.819999999999993"/>
    <d v="2021-07-15T00:00:00"/>
    <x v="2"/>
  </r>
  <r>
    <s v="Áreas_administración"/>
    <x v="0"/>
    <x v="2"/>
    <x v="6"/>
    <m/>
    <n v="3"/>
    <x v="0"/>
    <s v="Jefatura de sistemas e Internet"/>
    <s v="Oficina Principal Jefe, secretaría y webmaster"/>
    <x v="0"/>
    <n v="4"/>
    <n v="55.8"/>
    <d v="2021-07-15T00:00:00"/>
    <x v="2"/>
  </r>
  <r>
    <s v="Áreas_administración"/>
    <x v="0"/>
    <x v="2"/>
    <x v="6"/>
    <m/>
    <n v="3"/>
    <x v="0"/>
    <s v="Jefatura de sistemas e Internet"/>
    <s v="Monitoría "/>
    <x v="0"/>
    <n v="5"/>
    <n v="17.73"/>
    <d v="2021-07-15T00:00:00"/>
    <x v="2"/>
  </r>
  <r>
    <s v="Áreas_Movilidad_Espacios_libres"/>
    <x v="0"/>
    <x v="2"/>
    <x v="6"/>
    <m/>
    <n v="3"/>
    <x v="6"/>
    <s v="Vicerrectoría Administrativa Financiera "/>
    <s v="Pasillos tercer piso "/>
    <x v="2"/>
    <n v="70"/>
    <n v="245.93"/>
    <d v="2021-07-15T00:00:00"/>
    <x v="0"/>
  </r>
  <r>
    <s v="Áreas_bienestar"/>
    <x v="0"/>
    <x v="2"/>
    <x v="6"/>
    <m/>
    <n v="3"/>
    <x v="10"/>
    <s v="Vicerrectoría Administrativa Financiera "/>
    <s v="Baños públicos hombres "/>
    <x v="2"/>
    <n v="2"/>
    <n v="15.82"/>
    <d v="2021-07-15T00:00:00"/>
    <x v="0"/>
  </r>
  <r>
    <s v="Áreas_bienestar"/>
    <x v="0"/>
    <x v="2"/>
    <x v="6"/>
    <m/>
    <n v="3"/>
    <x v="10"/>
    <s v="Vicerrectoría Administrativa Financiera "/>
    <s v="Baños públicos mujeres "/>
    <x v="2"/>
    <n v="7"/>
    <n v="20.440000000000001"/>
    <d v="2021-07-15T00:00:00"/>
    <x v="0"/>
  </r>
  <r>
    <s v="Áreas_bienestar"/>
    <x v="0"/>
    <x v="2"/>
    <x v="6"/>
    <m/>
    <n v="3"/>
    <x v="10"/>
    <s v="Vicerrectoría Administrativa Financiera "/>
    <s v="Baño personas con movilidad reducida "/>
    <x v="2"/>
    <n v="1"/>
    <n v="3.75"/>
    <d v="2021-07-15T00:00:00"/>
    <x v="2"/>
  </r>
  <r>
    <s v="Áreas_administración"/>
    <x v="0"/>
    <x v="2"/>
    <x v="6"/>
    <m/>
    <n v="3"/>
    <x v="11"/>
    <s v="Vicerrectoría Administrativa Financiera "/>
    <s v="Cuarto de Aseo"/>
    <x v="2"/>
    <n v="1"/>
    <n v="1.37"/>
    <d v="2021-07-15T00:00:00"/>
    <x v="2"/>
  </r>
  <r>
    <s v="Áreas_administración"/>
    <x v="0"/>
    <x v="2"/>
    <x v="6"/>
    <m/>
    <n v="3"/>
    <x v="4"/>
    <s v="Coordinación de Planta Física y Mantenimiento "/>
    <s v="Shut de Cables "/>
    <x v="2"/>
    <n v="0"/>
    <n v="2.04"/>
    <d v="2021-07-15T00:00:00"/>
    <x v="2"/>
  </r>
  <r>
    <s v="Áreas_Movilidad_Espacios_libres"/>
    <x v="0"/>
    <x v="2"/>
    <x v="6"/>
    <m/>
    <n v="3"/>
    <x v="21"/>
    <s v="Vicerrectoría Administrativa Financiera "/>
    <s v="Escaleras acceso a parqueaderos - primer piso"/>
    <x v="0"/>
    <n v="0"/>
    <n v="17.82"/>
    <d v="2021-07-16T00:00:00"/>
    <x v="0"/>
  </r>
  <r>
    <s v="Áreas_Movilidad_Espacios_libres"/>
    <x v="0"/>
    <x v="2"/>
    <x v="6"/>
    <m/>
    <n v="3"/>
    <x v="21"/>
    <s v="Vicerrectoría Administrativa Financiera "/>
    <s v="Escaleras internas - punto de distribucion"/>
    <x v="0"/>
    <n v="0"/>
    <n v="15.38"/>
    <d v="2021-07-16T00:00:00"/>
    <x v="0"/>
  </r>
  <r>
    <s v="Áreas_administración"/>
    <x v="0"/>
    <x v="2"/>
    <x v="6"/>
    <m/>
    <n v="3"/>
    <x v="11"/>
    <s v="Vicerrectoría Administrativa Financiera "/>
    <s v="Shut de Basuras - cuarto escoba mágica"/>
    <x v="2"/>
    <n v="0"/>
    <n v="1.74"/>
    <d v="2021-07-15T00:00:00"/>
    <x v="2"/>
  </r>
  <r>
    <s v="Áreas_administración"/>
    <x v="0"/>
    <x v="2"/>
    <x v="6"/>
    <m/>
    <n v="3"/>
    <x v="4"/>
    <s v="Coordinación de Redes y Comunicaciones "/>
    <s v="Cuarto técnico servidores  "/>
    <x v="2"/>
    <n v="0"/>
    <n v="8.74"/>
    <d v="2021-07-15T00:00:00"/>
    <x v="2"/>
  </r>
  <r>
    <s v="Áreas_docencia"/>
    <x v="0"/>
    <x v="2"/>
    <x v="6"/>
    <n v="401"/>
    <n v="4"/>
    <x v="14"/>
    <s v="Centro de Recursos Educativos "/>
    <s v="Aula de Clases"/>
    <x v="4"/>
    <n v="25"/>
    <n v="64.599999999999994"/>
    <d v="2021-07-16T00:00:00"/>
    <x v="2"/>
  </r>
  <r>
    <s v="Áreas_docencia"/>
    <x v="0"/>
    <x v="2"/>
    <x v="6"/>
    <n v="402"/>
    <n v="4"/>
    <x v="14"/>
    <s v="Centro de Recursos Educativos "/>
    <s v="Aula de Clases"/>
    <x v="4"/>
    <n v="44"/>
    <n v="88.64"/>
    <d v="2021-07-16T00:00:00"/>
    <x v="2"/>
  </r>
  <r>
    <s v="Áreas_docencia"/>
    <x v="0"/>
    <x v="2"/>
    <x v="6"/>
    <n v="403"/>
    <n v="4"/>
    <x v="14"/>
    <s v="Centro de Recursos Educativos "/>
    <s v="Aula de Clases"/>
    <x v="4"/>
    <n v="41"/>
    <n v="83.35"/>
    <d v="2021-07-16T00:00:00"/>
    <x v="2"/>
  </r>
  <r>
    <s v="Áreas_docencia"/>
    <x v="0"/>
    <x v="2"/>
    <x v="6"/>
    <n v="404"/>
    <n v="4"/>
    <x v="17"/>
    <s v="Jefatura de sistemas e Internet"/>
    <s v="Sala de sistemas No. 1"/>
    <x v="4"/>
    <n v="41"/>
    <n v="82.06"/>
    <d v="2021-07-16T00:00:00"/>
    <x v="2"/>
  </r>
  <r>
    <s v="Áreas_docencia"/>
    <x v="0"/>
    <x v="2"/>
    <x v="6"/>
    <n v="405"/>
    <n v="4"/>
    <x v="17"/>
    <s v="Jefatura de sistemas e Internet"/>
    <s v="Sala de sistemas No. 2"/>
    <x v="4"/>
    <n v="34"/>
    <n v="68.599999999999994"/>
    <d v="2021-07-16T00:00:00"/>
    <x v="2"/>
  </r>
  <r>
    <s v="Áreas_docencia"/>
    <x v="0"/>
    <x v="2"/>
    <x v="6"/>
    <n v="406"/>
    <n v="4"/>
    <x v="14"/>
    <s v="Centro de Recursos Educativos "/>
    <s v="Aula de Clase  con mesas de dibujo"/>
    <x v="4"/>
    <n v="45"/>
    <n v="112.74"/>
    <d v="2021-07-16T00:00:00"/>
    <x v="2"/>
  </r>
  <r>
    <s v="Áreas_docencia"/>
    <x v="0"/>
    <x v="2"/>
    <x v="6"/>
    <n v="407"/>
    <n v="4"/>
    <x v="14"/>
    <s v="Centro de Recursos Educativos "/>
    <s v="Aula de Clases"/>
    <x v="4"/>
    <n v="24"/>
    <n v="48.03"/>
    <d v="2021-07-16T00:00:00"/>
    <x v="2"/>
  </r>
  <r>
    <s v="Áreas_docencia"/>
    <x v="0"/>
    <x v="2"/>
    <x v="6"/>
    <n v="408"/>
    <n v="4"/>
    <x v="14"/>
    <s v="Centro de Recursos Educativos "/>
    <s v="Aula de Clases"/>
    <x v="4"/>
    <n v="22"/>
    <n v="44.5"/>
    <d v="2021-07-16T00:00:00"/>
    <x v="2"/>
  </r>
  <r>
    <s v="Áreas_docencia"/>
    <x v="0"/>
    <x v="2"/>
    <x v="6"/>
    <n v="409"/>
    <n v="4"/>
    <x v="14"/>
    <s v="Centro de Recursos Educativos "/>
    <s v="Aula de Clases"/>
    <x v="4"/>
    <n v="21"/>
    <n v="43.7"/>
    <d v="2021-07-16T00:00:00"/>
    <x v="2"/>
  </r>
  <r>
    <s v="Áreas_docencia"/>
    <x v="0"/>
    <x v="2"/>
    <x v="6"/>
    <n v="410"/>
    <n v="4"/>
    <x v="14"/>
    <s v="Centro de Recursos Educativos "/>
    <s v="Aula de Clases"/>
    <x v="4"/>
    <n v="21"/>
    <n v="41.87"/>
    <d v="2021-07-16T00:00:00"/>
    <x v="2"/>
  </r>
  <r>
    <s v="Áreas_Movilidad_Espacios_libres"/>
    <x v="0"/>
    <x v="2"/>
    <x v="6"/>
    <m/>
    <n v="4"/>
    <x v="21"/>
    <s v="Coordinación de Planta Física y Mantenimiento "/>
    <s v="Escaleras acceso a parqueaderos - primer piso"/>
    <x v="0"/>
    <n v="0"/>
    <n v="17.82"/>
    <d v="2021-07-16T00:00:00"/>
    <x v="0"/>
  </r>
  <r>
    <s v="Áreas_Movilidad_Espacios_libres"/>
    <x v="0"/>
    <x v="2"/>
    <x v="6"/>
    <m/>
    <n v="4"/>
    <x v="21"/>
    <s v="Coordinación de Planta Física y Mantenimiento "/>
    <s v="Escaleras internas - punto de distribucion"/>
    <x v="0"/>
    <n v="0"/>
    <n v="15.38"/>
    <d v="2021-07-16T00:00:00"/>
    <x v="0"/>
  </r>
  <r>
    <s v="Áreas_Movilidad_Espacios_libres"/>
    <x v="0"/>
    <x v="2"/>
    <x v="6"/>
    <m/>
    <n v="4"/>
    <x v="6"/>
    <s v="Vicerrectoría Administrativa Financiera "/>
    <s v="Pasillos cuarto piso"/>
    <x v="2"/>
    <n v="70"/>
    <n v="245.93"/>
    <d v="2021-07-16T00:00:00"/>
    <x v="0"/>
  </r>
  <r>
    <s v="Áreas_bienestar"/>
    <x v="0"/>
    <x v="2"/>
    <x v="6"/>
    <m/>
    <n v="4"/>
    <x v="10"/>
    <s v="Vicerrectoría Administrativa Financiera "/>
    <s v="Baño hombres cuarto piso"/>
    <x v="2"/>
    <n v="2"/>
    <n v="15.82"/>
    <d v="2021-07-16T00:00:00"/>
    <x v="0"/>
  </r>
  <r>
    <s v="Áreas_bienestar"/>
    <x v="0"/>
    <x v="2"/>
    <x v="6"/>
    <m/>
    <n v="4"/>
    <x v="10"/>
    <s v="Vicerrectoría Administrativa Financiera "/>
    <s v="Baño mujeres cuarto piso"/>
    <x v="2"/>
    <n v="7"/>
    <n v="20.440000000000001"/>
    <d v="2021-07-16T00:00:00"/>
    <x v="0"/>
  </r>
  <r>
    <s v="Áreas_bienestar"/>
    <x v="0"/>
    <x v="2"/>
    <x v="6"/>
    <m/>
    <n v="4"/>
    <x v="10"/>
    <s v="Vicerrectoría Administrativa Financiera "/>
    <s v="Baño personas con mobilidad reducida cuarto piso"/>
    <x v="2"/>
    <n v="1"/>
    <n v="3.75"/>
    <d v="2021-07-16T00:00:00"/>
    <x v="2"/>
  </r>
  <r>
    <s v="Áreas_administración"/>
    <x v="0"/>
    <x v="2"/>
    <x v="6"/>
    <m/>
    <n v="4"/>
    <x v="11"/>
    <s v="Vicerrectoría Administrativa Financiera "/>
    <s v="Cuarto de Aseo y lavatrapero"/>
    <x v="2"/>
    <n v="1"/>
    <n v="1.37"/>
    <d v="2021-07-16T00:00:00"/>
    <x v="2"/>
  </r>
  <r>
    <s v="Áreas_administración"/>
    <x v="0"/>
    <x v="2"/>
    <x v="6"/>
    <m/>
    <n v="4"/>
    <x v="4"/>
    <s v="Coordinación de Planta Física y Mantenimiento "/>
    <s v="Shut de Cables "/>
    <x v="2"/>
    <n v="0"/>
    <n v="2.04"/>
    <d v="2021-07-16T00:00:00"/>
    <x v="2"/>
  </r>
  <r>
    <s v="Áreas_administración"/>
    <x v="0"/>
    <x v="2"/>
    <x v="6"/>
    <m/>
    <n v="4"/>
    <x v="11"/>
    <s v="Vicerrectoría Administrativa Financiera "/>
    <s v="Shut de Basuras - cuarto escoba mágica"/>
    <x v="2"/>
    <n v="0"/>
    <n v="1.74"/>
    <d v="2021-07-16T00:00:00"/>
    <x v="2"/>
  </r>
  <r>
    <s v="Áreas_administración"/>
    <x v="0"/>
    <x v="2"/>
    <x v="6"/>
    <m/>
    <n v="4"/>
    <x v="4"/>
    <s v="Coordinación de Redes y Comunicaciones "/>
    <s v="Cuarto técnico servidores cuarto piso"/>
    <x v="2"/>
    <n v="0"/>
    <n v="8.74"/>
    <d v="2021-07-16T00:00:00"/>
    <x v="2"/>
  </r>
  <r>
    <s v="Áreas_docencia"/>
    <x v="0"/>
    <x v="2"/>
    <x v="6"/>
    <n v="501"/>
    <n v="5"/>
    <x v="14"/>
    <s v="Centro de Recursos Educativos "/>
    <s v="Aula de Clases"/>
    <x v="4"/>
    <n v="25"/>
    <n v="47.9"/>
    <d v="2021-07-16T00:00:00"/>
    <x v="2"/>
  </r>
  <r>
    <s v="Áreas_docencia"/>
    <x v="0"/>
    <x v="2"/>
    <x v="6"/>
    <n v="502"/>
    <n v="5"/>
    <x v="14"/>
    <s v="Centro de Recursos Educativos "/>
    <s v="Aula de Clases"/>
    <x v="4"/>
    <n v="25"/>
    <n v="42"/>
    <d v="2021-07-16T00:00:00"/>
    <x v="2"/>
  </r>
  <r>
    <s v="Áreas_docencia"/>
    <x v="0"/>
    <x v="2"/>
    <x v="6"/>
    <n v="503"/>
    <n v="5"/>
    <x v="14"/>
    <s v="Centro de Recursos Educativos "/>
    <s v="Aula de Clases"/>
    <x v="4"/>
    <n v="25"/>
    <n v="48.73"/>
    <d v="2021-07-16T00:00:00"/>
    <x v="2"/>
  </r>
  <r>
    <s v="Áreas_docencia"/>
    <x v="0"/>
    <x v="2"/>
    <x v="6"/>
    <n v="504"/>
    <n v="5"/>
    <x v="14"/>
    <s v="Centro de Recursos Educativos "/>
    <s v="Aula de Clases"/>
    <x v="4"/>
    <n v="25"/>
    <n v="48.81"/>
    <d v="2021-07-16T00:00:00"/>
    <x v="2"/>
  </r>
  <r>
    <s v="Áreas_docencia"/>
    <x v="0"/>
    <x v="2"/>
    <x v="6"/>
    <n v="505"/>
    <n v="5"/>
    <x v="14"/>
    <s v="Centro de Recursos Educativos "/>
    <s v="Aula de Clases"/>
    <x v="4"/>
    <n v="25"/>
    <n v="48.73"/>
    <d v="2021-07-16T00:00:00"/>
    <x v="2"/>
  </r>
  <r>
    <s v="Áreas_docencia"/>
    <x v="0"/>
    <x v="2"/>
    <x v="6"/>
    <n v="506"/>
    <n v="5"/>
    <x v="14"/>
    <s v="Centro de Recursos Educativos "/>
    <s v="Aula de Clases"/>
    <x v="4"/>
    <n v="25"/>
    <n v="48.64"/>
    <d v="2021-07-16T00:00:00"/>
    <x v="2"/>
  </r>
  <r>
    <s v="Áreas_docencia"/>
    <x v="0"/>
    <x v="2"/>
    <x v="6"/>
    <n v="507"/>
    <n v="5"/>
    <x v="14"/>
    <s v="Centro de Recursos Educativos "/>
    <s v="Aula de Clases"/>
    <x v="4"/>
    <n v="25"/>
    <n v="47.38"/>
    <d v="2021-07-16T00:00:00"/>
    <x v="2"/>
  </r>
  <r>
    <s v="Áreas_docencia"/>
    <x v="0"/>
    <x v="2"/>
    <x v="6"/>
    <n v="508"/>
    <n v="5"/>
    <x v="14"/>
    <s v="Centro de Recursos Educativos "/>
    <s v="Aula de Clases"/>
    <x v="4"/>
    <n v="26"/>
    <n v="51.77"/>
    <d v="2021-07-16T00:00:00"/>
    <x v="2"/>
  </r>
  <r>
    <s v="Áreas_docencia"/>
    <x v="0"/>
    <x v="2"/>
    <x v="6"/>
    <n v="509"/>
    <n v="5"/>
    <x v="14"/>
    <s v="Centro de Recursos Educativos "/>
    <s v="Aula de Clases"/>
    <x v="4"/>
    <n v="26"/>
    <n v="51.27"/>
    <d v="2021-07-16T00:00:00"/>
    <x v="2"/>
  </r>
  <r>
    <s v="Áreas_docencia"/>
    <x v="0"/>
    <x v="2"/>
    <x v="6"/>
    <n v="510"/>
    <n v="5"/>
    <x v="14"/>
    <s v="Centro de Recursos Educativos "/>
    <s v="Aula de Clases"/>
    <x v="4"/>
    <n v="25"/>
    <n v="47.05"/>
    <d v="2021-07-16T00:00:00"/>
    <x v="2"/>
  </r>
  <r>
    <s v="Áreas_docencia"/>
    <x v="0"/>
    <x v="2"/>
    <x v="6"/>
    <n v="511"/>
    <n v="5"/>
    <x v="14"/>
    <s v="Centro de Recursos Educativos "/>
    <s v="Aula de Clases"/>
    <x v="4"/>
    <n v="25"/>
    <n v="43.98"/>
    <d v="2021-07-16T00:00:00"/>
    <x v="2"/>
  </r>
  <r>
    <s v="Áreas_docencia"/>
    <x v="0"/>
    <x v="2"/>
    <x v="6"/>
    <n v="512"/>
    <n v="5"/>
    <x v="14"/>
    <s v="Centro de Recursos Educativos "/>
    <s v="Aula de Clases"/>
    <x v="4"/>
    <n v="25"/>
    <n v="44.63"/>
    <d v="2021-07-16T00:00:00"/>
    <x v="2"/>
  </r>
  <r>
    <s v="Áreas_docencia"/>
    <x v="0"/>
    <x v="2"/>
    <x v="6"/>
    <n v="513"/>
    <n v="5"/>
    <x v="14"/>
    <s v="Centro de Recursos Educativos "/>
    <s v="Aula de Clases"/>
    <x v="4"/>
    <n v="20"/>
    <n v="40.340000000000003"/>
    <d v="2021-07-16T00:00:00"/>
    <x v="2"/>
  </r>
  <r>
    <s v="Áreas_docencia"/>
    <x v="0"/>
    <x v="2"/>
    <x v="6"/>
    <n v="514"/>
    <n v="5"/>
    <x v="14"/>
    <s v="Centro de Recursos Educativos "/>
    <s v="Aula de Clases"/>
    <x v="4"/>
    <n v="19"/>
    <n v="38.450000000000003"/>
    <d v="2021-07-16T00:00:00"/>
    <x v="2"/>
  </r>
  <r>
    <s v="Áreas_docencia"/>
    <x v="0"/>
    <x v="2"/>
    <x v="6"/>
    <n v="515"/>
    <n v="5"/>
    <x v="14"/>
    <s v="Centro de Recursos Educativos "/>
    <s v="Aula de Clases"/>
    <x v="4"/>
    <n v="19"/>
    <n v="37.46"/>
    <d v="2021-07-16T00:00:00"/>
    <x v="2"/>
  </r>
  <r>
    <s v="Áreas_docencia"/>
    <x v="0"/>
    <x v="2"/>
    <x v="6"/>
    <n v="516"/>
    <n v="5"/>
    <x v="14"/>
    <s v="Centro de Recursos Educativos "/>
    <s v="Aula de Clases"/>
    <x v="4"/>
    <n v="25"/>
    <n v="44.43"/>
    <d v="2021-07-16T00:00:00"/>
    <x v="2"/>
  </r>
  <r>
    <s v="Áreas_Movilidad_Espacios_libres"/>
    <x v="0"/>
    <x v="2"/>
    <x v="6"/>
    <m/>
    <n v="5"/>
    <x v="6"/>
    <s v="Vicerrectoría Administrativa Financiera "/>
    <s v="Pasillos quinto piso  "/>
    <x v="2"/>
    <n v="178"/>
    <n v="356.77"/>
    <d v="2021-07-16T00:00:00"/>
    <x v="0"/>
  </r>
  <r>
    <s v="Áreas_bienestar"/>
    <x v="0"/>
    <x v="2"/>
    <x v="6"/>
    <m/>
    <n v="5"/>
    <x v="10"/>
    <s v="Vicerrectoría Administrativa Financiera "/>
    <s v="Baño hombres quinto piso"/>
    <x v="2"/>
    <n v="2"/>
    <n v="15.82"/>
    <d v="2021-07-16T00:00:00"/>
    <x v="0"/>
  </r>
  <r>
    <s v="Áreas_bienestar"/>
    <x v="0"/>
    <x v="2"/>
    <x v="6"/>
    <m/>
    <n v="5"/>
    <x v="10"/>
    <s v="Vicerrectoría Administrativa Financiera "/>
    <s v="Baño mujeres quinto piso"/>
    <x v="2"/>
    <n v="7"/>
    <n v="20.440000000000001"/>
    <d v="2021-07-16T00:00:00"/>
    <x v="0"/>
  </r>
  <r>
    <s v="Áreas_bienestar"/>
    <x v="0"/>
    <x v="2"/>
    <x v="6"/>
    <m/>
    <n v="5"/>
    <x v="10"/>
    <s v="Vicerrectoría Administrativa Financiera "/>
    <s v="Baño personas con mobilidad reducida quinto piso"/>
    <x v="2"/>
    <n v="1"/>
    <n v="3.75"/>
    <d v="2021-07-16T00:00:00"/>
    <x v="2"/>
  </r>
  <r>
    <s v="Áreas_administración"/>
    <x v="0"/>
    <x v="2"/>
    <x v="6"/>
    <m/>
    <n v="5"/>
    <x v="11"/>
    <s v="Vicerrectoría Administrativa Financiera "/>
    <s v="Cuarto de Aseo - Lavatraperos"/>
    <x v="2"/>
    <n v="0"/>
    <n v="1.37"/>
    <d v="2021-07-16T00:00:00"/>
    <x v="2"/>
  </r>
  <r>
    <s v="Áreas_administración"/>
    <x v="0"/>
    <x v="2"/>
    <x v="6"/>
    <m/>
    <n v="5"/>
    <x v="11"/>
    <s v="Vicerrectoría Administrativa Financiera "/>
    <s v="Shut de Basuras "/>
    <x v="2"/>
    <n v="0"/>
    <n v="1.74"/>
    <d v="2021-07-16T00:00:00"/>
    <x v="2"/>
  </r>
  <r>
    <s v="Áreas_administración"/>
    <x v="0"/>
    <x v="2"/>
    <x v="6"/>
    <m/>
    <n v="5"/>
    <x v="4"/>
    <s v="Coordinación de Planta Física y Mantenimiento "/>
    <s v="Shut de Cables "/>
    <x v="2"/>
    <n v="0"/>
    <n v="2.04"/>
    <d v="2021-07-16T00:00:00"/>
    <x v="2"/>
  </r>
  <r>
    <s v="Áreas_Movilidad_Espacios_libres"/>
    <x v="0"/>
    <x v="2"/>
    <x v="6"/>
    <m/>
    <n v="5"/>
    <x v="21"/>
    <s v="Coordinación de Planta Física y Mantenimiento "/>
    <s v="Escaleras acceso a parqueaderos - primer piso"/>
    <x v="0"/>
    <n v="0"/>
    <n v="17.82"/>
    <d v="2021-07-16T00:00:00"/>
    <x v="0"/>
  </r>
  <r>
    <s v="Áreas_Movilidad_Espacios_libres"/>
    <x v="0"/>
    <x v="2"/>
    <x v="6"/>
    <m/>
    <n v="5"/>
    <x v="21"/>
    <s v="Coordinación de Planta Física y Mantenimiento "/>
    <s v="Escaleras internas - punto de distribucion"/>
    <x v="0"/>
    <n v="0"/>
    <n v="15.38"/>
    <d v="2021-07-16T00:00:00"/>
    <x v="0"/>
  </r>
  <r>
    <s v="Áreas_administración"/>
    <x v="0"/>
    <x v="2"/>
    <x v="6"/>
    <m/>
    <n v="5"/>
    <x v="4"/>
    <s v="Coordinación de Redes y Comunicaciones "/>
    <s v="Cuarto técnico servidores quinto piso"/>
    <x v="2"/>
    <n v="0"/>
    <n v="8.74"/>
    <d v="2021-07-16T00:00:00"/>
    <x v="2"/>
  </r>
  <r>
    <s v="Áreas_docencia"/>
    <x v="0"/>
    <x v="2"/>
    <x v="6"/>
    <n v="601"/>
    <n v="6"/>
    <x v="14"/>
    <s v="Centro de Recursos Educativos "/>
    <s v="Aula de Clases"/>
    <x v="4"/>
    <n v="25"/>
    <n v="47.9"/>
    <d v="2021-07-16T00:00:00"/>
    <x v="2"/>
  </r>
  <r>
    <s v="Áreas_docencia"/>
    <x v="0"/>
    <x v="2"/>
    <x v="6"/>
    <n v="602"/>
    <n v="6"/>
    <x v="14"/>
    <s v="Centro de Recursos Educativos "/>
    <s v="Aula de Clases"/>
    <x v="4"/>
    <n v="25"/>
    <n v="42"/>
    <d v="2021-07-16T00:00:00"/>
    <x v="2"/>
  </r>
  <r>
    <s v="Áreas_docencia"/>
    <x v="0"/>
    <x v="2"/>
    <x v="6"/>
    <n v="603"/>
    <n v="6"/>
    <x v="14"/>
    <s v="Centro de Recursos Educativos "/>
    <s v="Aula de Clases"/>
    <x v="4"/>
    <n v="25"/>
    <n v="48.73"/>
    <d v="2021-07-16T00:00:00"/>
    <x v="2"/>
  </r>
  <r>
    <s v="Áreas_docencia"/>
    <x v="0"/>
    <x v="2"/>
    <x v="6"/>
    <n v="604"/>
    <n v="6"/>
    <x v="14"/>
    <s v="Centro de Recursos Educativos "/>
    <s v="Aula de Clases"/>
    <x v="4"/>
    <n v="25"/>
    <n v="48.81"/>
    <d v="2021-07-16T00:00:00"/>
    <x v="2"/>
  </r>
  <r>
    <s v="Áreas_Movilidad_Espacios_libres"/>
    <x v="0"/>
    <x v="2"/>
    <x v="4"/>
    <m/>
    <n v="6"/>
    <x v="6"/>
    <s v="Vicerrectoría Administrativa Financiera "/>
    <s v="Pasillos sexto piso "/>
    <x v="2"/>
    <n v="0"/>
    <n v="46.46"/>
    <s v="22/070/2021"/>
    <x v="0"/>
  </r>
  <r>
    <s v="CONSTRUIDA"/>
    <x v="0"/>
    <x v="2"/>
    <x v="4"/>
    <m/>
    <n v="6"/>
    <x v="0"/>
    <s v="Programa de Ingeniería Electrónica"/>
    <s v="prototipado grupo rampa"/>
    <x v="0"/>
    <n v="1"/>
    <n v="7.87"/>
    <s v="22/070/2021"/>
    <x v="2"/>
  </r>
  <r>
    <s v="CONSTRUIDA"/>
    <x v="0"/>
    <x v="2"/>
    <x v="4"/>
    <m/>
    <n v="6"/>
    <x v="18"/>
    <s v="Vicerrectoría de Bienestar Universitario "/>
    <s v="Terraza Alvernia "/>
    <x v="0"/>
    <m/>
    <n v="292.5"/>
    <m/>
    <x v="1"/>
  </r>
  <r>
    <s v="Áreas_docencia"/>
    <x v="0"/>
    <x v="2"/>
    <x v="6"/>
    <n v="605"/>
    <n v="6"/>
    <x v="14"/>
    <s v="Centro de Recursos Educativos "/>
    <s v="Aula de Clases"/>
    <x v="4"/>
    <n v="25"/>
    <n v="48.73"/>
    <d v="2021-07-16T00:00:00"/>
    <x v="2"/>
  </r>
  <r>
    <s v="Áreas_docencia"/>
    <x v="0"/>
    <x v="2"/>
    <x v="6"/>
    <n v="606"/>
    <n v="6"/>
    <x v="14"/>
    <s v="Centro de Recursos Educativos "/>
    <s v="Aula de Clases"/>
    <x v="4"/>
    <n v="25"/>
    <n v="48.64"/>
    <d v="2021-07-16T00:00:00"/>
    <x v="2"/>
  </r>
  <r>
    <s v="Áreas_docencia"/>
    <x v="0"/>
    <x v="2"/>
    <x v="6"/>
    <n v="607"/>
    <n v="6"/>
    <x v="14"/>
    <s v="Centro de Recursos Educativos "/>
    <s v="Aula de Clases"/>
    <x v="4"/>
    <n v="25"/>
    <n v="47.38"/>
    <d v="2021-07-16T00:00:00"/>
    <x v="2"/>
  </r>
  <r>
    <s v="Áreas_docencia"/>
    <x v="0"/>
    <x v="2"/>
    <x v="6"/>
    <n v="608"/>
    <n v="6"/>
    <x v="14"/>
    <s v="Centro de Recursos Educativos "/>
    <s v="Aula de Clases"/>
    <x v="4"/>
    <n v="26"/>
    <n v="51.77"/>
    <d v="2021-07-16T00:00:00"/>
    <x v="2"/>
  </r>
  <r>
    <s v="Áreas_docencia"/>
    <x v="0"/>
    <x v="2"/>
    <x v="6"/>
    <n v="609"/>
    <n v="6"/>
    <x v="14"/>
    <s v="Centro de Recursos Educativos "/>
    <s v="Aula de Clases"/>
    <x v="4"/>
    <n v="26"/>
    <n v="51.27"/>
    <d v="2021-07-16T00:00:00"/>
    <x v="2"/>
  </r>
  <r>
    <s v="Áreas_docencia"/>
    <x v="0"/>
    <x v="2"/>
    <x v="6"/>
    <n v="610"/>
    <n v="6"/>
    <x v="14"/>
    <s v="Centro de Recursos Educativos "/>
    <s v="Aula de Clases"/>
    <x v="4"/>
    <n v="25"/>
    <n v="47.05"/>
    <d v="2021-07-16T00:00:00"/>
    <x v="2"/>
  </r>
  <r>
    <s v="Áreas_docencia"/>
    <x v="0"/>
    <x v="2"/>
    <x v="6"/>
    <n v="611"/>
    <n v="6"/>
    <x v="14"/>
    <s v="Centro de Recursos Educativos "/>
    <s v="Aula de Clases"/>
    <x v="4"/>
    <n v="25"/>
    <n v="43.98"/>
    <d v="2021-07-16T00:00:00"/>
    <x v="2"/>
  </r>
  <r>
    <s v="Áreas_docencia"/>
    <x v="0"/>
    <x v="2"/>
    <x v="6"/>
    <n v="612"/>
    <n v="6"/>
    <x v="14"/>
    <s v="Centro de Recursos Educativos "/>
    <s v="Aula de Clases"/>
    <x v="4"/>
    <n v="25"/>
    <n v="44.63"/>
    <d v="2021-07-16T00:00:00"/>
    <x v="2"/>
  </r>
  <r>
    <s v="Áreas_docencia"/>
    <x v="0"/>
    <x v="2"/>
    <x v="6"/>
    <n v="613"/>
    <n v="6"/>
    <x v="14"/>
    <s v="Centro de Recursos Educativos "/>
    <s v="Aula de Clases"/>
    <x v="4"/>
    <n v="20"/>
    <n v="40.340000000000003"/>
    <d v="2021-07-16T00:00:00"/>
    <x v="2"/>
  </r>
  <r>
    <s v="Áreas_docencia"/>
    <x v="0"/>
    <x v="2"/>
    <x v="6"/>
    <n v="614"/>
    <n v="6"/>
    <x v="14"/>
    <s v="Centro de Recursos Educativos "/>
    <s v="Aula de Clases"/>
    <x v="4"/>
    <n v="19"/>
    <n v="38.450000000000003"/>
    <d v="2021-07-16T00:00:00"/>
    <x v="2"/>
  </r>
  <r>
    <s v="Áreas_docencia"/>
    <x v="0"/>
    <x v="2"/>
    <x v="6"/>
    <n v="615"/>
    <n v="6"/>
    <x v="14"/>
    <s v="Centro de Recursos Educativos "/>
    <s v="Aula de Clases"/>
    <x v="4"/>
    <n v="19"/>
    <n v="37.46"/>
    <d v="2021-07-16T00:00:00"/>
    <x v="2"/>
  </r>
  <r>
    <s v="Áreas_docencia"/>
    <x v="0"/>
    <x v="2"/>
    <x v="6"/>
    <n v="616"/>
    <n v="6"/>
    <x v="14"/>
    <s v="Centro de Recursos Educativos "/>
    <s v="Aula de Clases"/>
    <x v="4"/>
    <n v="25"/>
    <n v="44.43"/>
    <d v="2021-07-16T00:00:00"/>
    <x v="2"/>
  </r>
  <r>
    <s v="Áreas_Movilidad_Espacios_libres"/>
    <x v="0"/>
    <x v="2"/>
    <x v="6"/>
    <m/>
    <n v="6"/>
    <x v="6"/>
    <s v="Vicerrectoría Administrativa Financiera "/>
    <s v="Pasillos sexto piso "/>
    <x v="2"/>
    <n v="178"/>
    <n v="356.77"/>
    <d v="2021-07-16T00:00:00"/>
    <x v="0"/>
  </r>
  <r>
    <s v="Áreas_bienestar"/>
    <x v="0"/>
    <x v="2"/>
    <x v="6"/>
    <m/>
    <n v="6"/>
    <x v="10"/>
    <s v="Vicerrectoría Administrativa Financiera "/>
    <s v="Baño hombres sexto piso"/>
    <x v="2"/>
    <n v="2"/>
    <n v="15.82"/>
    <d v="2021-07-16T00:00:00"/>
    <x v="0"/>
  </r>
  <r>
    <s v="Áreas_bienestar"/>
    <x v="0"/>
    <x v="2"/>
    <x v="6"/>
    <m/>
    <n v="6"/>
    <x v="10"/>
    <s v="Vicerrectoría Administrativa Financiera "/>
    <s v="Baño mujeres sexto piso"/>
    <x v="2"/>
    <n v="7"/>
    <n v="20.440000000000001"/>
    <d v="2021-07-16T00:00:00"/>
    <x v="0"/>
  </r>
  <r>
    <s v="Áreas_bienestar"/>
    <x v="0"/>
    <x v="2"/>
    <x v="6"/>
    <m/>
    <n v="6"/>
    <x v="10"/>
    <s v="Vicerrectoría Administrativa Financiera "/>
    <s v="Baño personas con mobilidad reducida sexto piso"/>
    <x v="2"/>
    <n v="1"/>
    <n v="3.75"/>
    <d v="2021-07-16T00:00:00"/>
    <x v="2"/>
  </r>
  <r>
    <s v="Áreas_administración"/>
    <x v="0"/>
    <x v="2"/>
    <x v="6"/>
    <m/>
    <n v="6"/>
    <x v="11"/>
    <s v="Vicerrectoría Administrativa Financiera "/>
    <s v="Cuarto de aseo - Lavatraperos "/>
    <x v="2"/>
    <n v="0"/>
    <n v="1.37"/>
    <d v="2021-07-16T00:00:00"/>
    <x v="2"/>
  </r>
  <r>
    <s v="Áreas_administración"/>
    <x v="0"/>
    <x v="2"/>
    <x v="6"/>
    <m/>
    <n v="6"/>
    <x v="11"/>
    <s v="Vicerrectoría Administrativa Financiera "/>
    <s v="Shut de Basuras - cuarto escoba mágica"/>
    <x v="2"/>
    <n v="0"/>
    <n v="1.74"/>
    <d v="2021-07-16T00:00:00"/>
    <x v="2"/>
  </r>
  <r>
    <s v="Áreas_administración"/>
    <x v="0"/>
    <x v="2"/>
    <x v="6"/>
    <m/>
    <n v="6"/>
    <x v="4"/>
    <s v="Coordinación de Redes y Comunicaciones "/>
    <s v="Shut de Cables "/>
    <x v="2"/>
    <n v="0"/>
    <n v="2.04"/>
    <d v="2021-07-16T00:00:00"/>
    <x v="2"/>
  </r>
  <r>
    <s v="Áreas_administración"/>
    <x v="0"/>
    <x v="2"/>
    <x v="6"/>
    <m/>
    <n v="6"/>
    <x v="4"/>
    <s v="Coordinación de Redes y Comunicaciones "/>
    <s v="Cuarto técnico servidores sexto piso"/>
    <x v="2"/>
    <n v="0"/>
    <n v="8.74"/>
    <d v="2021-07-16T00:00:00"/>
    <x v="2"/>
  </r>
  <r>
    <s v="Áreas_docencia"/>
    <x v="0"/>
    <x v="0"/>
    <x v="7"/>
    <m/>
    <n v="1"/>
    <x v="29"/>
    <s v="Centro de Recursos Educativos "/>
    <s v="Sala de Gimansia - Colchonetas"/>
    <x v="4"/>
    <n v="15"/>
    <n v="174.97"/>
    <m/>
    <x v="0"/>
  </r>
  <r>
    <s v="Áreas_docencia"/>
    <x v="0"/>
    <x v="0"/>
    <x v="7"/>
    <m/>
    <n v="1"/>
    <x v="29"/>
    <s v="Centro de Recursos Educativos "/>
    <s v="Sala de Gimansia -  Maquinas"/>
    <x v="4"/>
    <n v="10"/>
    <n v="268.92"/>
    <m/>
    <x v="0"/>
  </r>
  <r>
    <s v="Áreas_Movilidad_Espacios_libres"/>
    <x v="0"/>
    <x v="0"/>
    <x v="7"/>
    <m/>
    <n v="1"/>
    <x v="21"/>
    <s v="Centro de Recursos Educativos "/>
    <s v="Gradas acceso a Maquinas"/>
    <x v="0"/>
    <n v="0"/>
    <n v="4.68"/>
    <m/>
    <x v="2"/>
  </r>
  <r>
    <s v="Áreas_docencia"/>
    <x v="0"/>
    <x v="0"/>
    <x v="7"/>
    <m/>
    <n v="1"/>
    <x v="29"/>
    <s v="Centro de Recursos Educativos "/>
    <s v="Salón de Danzas"/>
    <x v="4"/>
    <n v="30"/>
    <n v="91.48"/>
    <m/>
    <x v="0"/>
  </r>
  <r>
    <s v="Áreas_docencia"/>
    <x v="0"/>
    <x v="0"/>
    <x v="7"/>
    <m/>
    <n v="1"/>
    <x v="5"/>
    <s v="Centro de Recursos Educativos "/>
    <s v="Sala de música"/>
    <x v="4"/>
    <n v="5"/>
    <n v="24.79"/>
    <m/>
    <x v="0"/>
  </r>
  <r>
    <s v="Áreas_bienestar"/>
    <x v="0"/>
    <x v="0"/>
    <x v="7"/>
    <m/>
    <n v="1"/>
    <x v="18"/>
    <s v="Centro de Recursos Educativos "/>
    <s v="Sala de vestuario"/>
    <x v="4"/>
    <n v="10"/>
    <n v="24.79"/>
    <m/>
    <x v="0"/>
  </r>
  <r>
    <s v="Áreas_Servicios_a_Comunidad"/>
    <x v="0"/>
    <x v="0"/>
    <x v="7"/>
    <m/>
    <n v="1"/>
    <x v="20"/>
    <s v="AEMG"/>
    <s v="Coliseo Guillermo de Castellana"/>
    <x v="0"/>
    <n v="1500"/>
    <n v="982"/>
    <m/>
    <x v="2"/>
  </r>
  <r>
    <s v="Áreas_docencia"/>
    <x v="0"/>
    <x v="0"/>
    <x v="7"/>
    <m/>
    <n v="1"/>
    <x v="19"/>
    <s v="Programa de Educación Física"/>
    <s v="Laboratorio Morfofisiología"/>
    <x v="4"/>
    <n v="30"/>
    <n v="24.1"/>
    <m/>
    <x v="0"/>
  </r>
  <r>
    <s v="Áreas_bienestar"/>
    <x v="0"/>
    <x v="2"/>
    <x v="8"/>
    <m/>
    <n v="1"/>
    <x v="29"/>
    <s v="Centro de Recursos Educativos "/>
    <s v="Cancha No. 1"/>
    <x v="4"/>
    <n v="30"/>
    <n v="725.25"/>
    <m/>
    <x v="0"/>
  </r>
  <r>
    <s v="Áreas_bienestar"/>
    <x v="0"/>
    <x v="0"/>
    <x v="8"/>
    <m/>
    <n v="1"/>
    <x v="29"/>
    <s v="Centro de Recursos Educativos "/>
    <s v="Cancha No. 2"/>
    <x v="4"/>
    <n v="30"/>
    <n v="938.76"/>
    <m/>
    <x v="0"/>
  </r>
  <r>
    <s v="Áreas_bienestar"/>
    <x v="0"/>
    <x v="0"/>
    <x v="8"/>
    <m/>
    <n v="1"/>
    <x v="29"/>
    <s v="Centro de Recursos Educativos "/>
    <s v="Cancha No. 3"/>
    <x v="4"/>
    <n v="30"/>
    <n v="781.46"/>
    <m/>
    <x v="0"/>
  </r>
  <r>
    <s v="Áreas_bienestar"/>
    <x v="0"/>
    <x v="0"/>
    <x v="8"/>
    <m/>
    <n v="1"/>
    <x v="29"/>
    <s v="Centro de Recursos Educativos "/>
    <s v="Cancha de Tenis "/>
    <x v="4"/>
    <n v="2"/>
    <n v="377.47"/>
    <m/>
    <x v="0"/>
  </r>
  <r>
    <s v="Áreas_Movilidad_Espacios_libres"/>
    <x v="0"/>
    <x v="0"/>
    <x v="8"/>
    <m/>
    <n v="1"/>
    <x v="21"/>
    <s v="Centro de Recursos Educativos "/>
    <s v="Gradas acceso a música"/>
    <x v="0"/>
    <n v="0"/>
    <n v="7.2"/>
    <m/>
    <x v="2"/>
  </r>
  <r>
    <s v="Áreas_Movilidad_Espacios_libres"/>
    <x v="0"/>
    <x v="0"/>
    <x v="8"/>
    <m/>
    <n v="1"/>
    <x v="30"/>
    <s v="Vicerrectoría Administrativa Financiera "/>
    <s v="Zona verde Cancha No. 2"/>
    <x v="0"/>
    <n v="0"/>
    <n v="168.59"/>
    <m/>
    <x v="0"/>
  </r>
  <r>
    <s v="Áreas_administración"/>
    <x v="0"/>
    <x v="0"/>
    <x v="8"/>
    <m/>
    <n v="1"/>
    <x v="12"/>
    <s v="Coordinación de Planta Física y Mantenimiento "/>
    <s v="Bodega tenis de mesa "/>
    <x v="2"/>
    <n v="0"/>
    <n v="13.49"/>
    <m/>
    <x v="0"/>
  </r>
  <r>
    <s v="Áreas_docencia"/>
    <x v="0"/>
    <x v="0"/>
    <x v="7"/>
    <m/>
    <s v="N/A"/>
    <x v="29"/>
    <s v="Recreación y Deporte "/>
    <s v="PISCINA (Zona Cardio)"/>
    <x v="0"/>
    <n v="15"/>
    <n v="312.5"/>
    <m/>
    <x v="2"/>
  </r>
  <r>
    <s v="Áreas_docencia"/>
    <x v="0"/>
    <x v="0"/>
    <x v="7"/>
    <m/>
    <s v="N/A"/>
    <x v="29"/>
    <s v="Recreación y Deporte "/>
    <s v="CANCHA DE FUTBOL (Hospital San Rafael )"/>
    <x v="0"/>
    <n v="30"/>
    <n v="7700"/>
    <m/>
    <x v="2"/>
  </r>
  <r>
    <s v="Áreas_docencia"/>
    <x v="0"/>
    <x v="0"/>
    <x v="9"/>
    <s v="S205"/>
    <n v="2"/>
    <x v="14"/>
    <s v="Programa de Diseño Gráfico"/>
    <s v="Aula de Clases"/>
    <x v="4"/>
    <n v="20"/>
    <n v="23.53"/>
    <m/>
    <x v="2"/>
  </r>
  <r>
    <s v="Áreas_docencia"/>
    <x v="0"/>
    <x v="0"/>
    <x v="9"/>
    <s v="S206"/>
    <n v="2"/>
    <x v="14"/>
    <s v="Programa de Diseño Gráfico"/>
    <s v="Aula de Clases"/>
    <x v="4"/>
    <n v="20"/>
    <n v="22.63"/>
    <m/>
    <x v="2"/>
  </r>
  <r>
    <s v="Áreas_docencia"/>
    <x v="0"/>
    <x v="0"/>
    <x v="9"/>
    <s v="S201"/>
    <n v="2"/>
    <x v="14"/>
    <s v="Programa de Diseño Gráfico"/>
    <s v="Aula de clases (Mesas de dibujo)"/>
    <x v="4"/>
    <n v="53"/>
    <n v="73.5"/>
    <m/>
    <x v="2"/>
  </r>
  <r>
    <s v="Áreas_docencia"/>
    <x v="0"/>
    <x v="0"/>
    <x v="9"/>
    <s v="S202"/>
    <n v="2"/>
    <x v="14"/>
    <s v="Programa de Diseño Gráfico"/>
    <s v="Aula de clases (Mesas de dibujo)"/>
    <x v="4"/>
    <n v="29"/>
    <n v="41.88"/>
    <m/>
    <x v="2"/>
  </r>
  <r>
    <s v="Áreas_docencia"/>
    <x v="0"/>
    <x v="0"/>
    <x v="9"/>
    <s v="S203"/>
    <n v="2"/>
    <x v="14"/>
    <s v="Programa de Diseño Gráfico"/>
    <s v="Aula de clases (Mesas de dibujo)"/>
    <x v="4"/>
    <n v="23"/>
    <n v="39.119999999999997"/>
    <m/>
    <x v="2"/>
  </r>
  <r>
    <s v="Áreas_docencia"/>
    <x v="0"/>
    <x v="0"/>
    <x v="9"/>
    <s v="S204"/>
    <n v="2"/>
    <x v="14"/>
    <s v="Programa de Diseño Gráfico"/>
    <s v="Aula de clases (Mesas de dibujo)"/>
    <x v="4"/>
    <n v="36"/>
    <n v="47.04"/>
    <m/>
    <x v="2"/>
  </r>
  <r>
    <s v="Áreas_docencia"/>
    <x v="0"/>
    <x v="0"/>
    <x v="9"/>
    <s v="S208"/>
    <n v="2"/>
    <x v="14"/>
    <s v="Programa de Diseño Gráfico"/>
    <s v="Aula de clases (Mesas de dibujo)"/>
    <x v="4"/>
    <n v="55"/>
    <n v="82.25"/>
    <m/>
    <x v="2"/>
  </r>
  <r>
    <s v="Áreas_administración"/>
    <x v="0"/>
    <x v="0"/>
    <x v="9"/>
    <m/>
    <n v="2"/>
    <x v="0"/>
    <s v="Programa de Diseño Gráfico"/>
    <s v="Oficina Secretaría Programa  "/>
    <x v="4"/>
    <n v="1"/>
    <n v="15.78"/>
    <m/>
    <x v="2"/>
  </r>
  <r>
    <s v="Áreas_administración"/>
    <x v="0"/>
    <x v="0"/>
    <x v="9"/>
    <m/>
    <n v="2"/>
    <x v="0"/>
    <s v="Programa de Diseño Gráfico"/>
    <s v="Oficina Director Programa"/>
    <x v="4"/>
    <n v="1"/>
    <n v="15.78"/>
    <m/>
    <x v="2"/>
  </r>
  <r>
    <s v="Áreas_docencia"/>
    <x v="0"/>
    <x v="0"/>
    <x v="9"/>
    <m/>
    <n v="2"/>
    <x v="24"/>
    <s v="Programa de Diseño Gráfico"/>
    <s v="Biblioteca y CRE"/>
    <x v="1"/>
    <n v="11"/>
    <n v="23.53"/>
    <m/>
    <x v="2"/>
  </r>
  <r>
    <s v="Áreas_docencia"/>
    <x v="0"/>
    <x v="0"/>
    <x v="9"/>
    <m/>
    <n v="2"/>
    <x v="19"/>
    <s v="Programa de Diseño Gráfico"/>
    <s v="Laboratorio digital o sala de prototipos"/>
    <x v="4"/>
    <n v="12"/>
    <n v="24.97"/>
    <m/>
    <x v="2"/>
  </r>
  <r>
    <s v="Áreas_docencia"/>
    <x v="0"/>
    <x v="0"/>
    <x v="9"/>
    <s v="S207"/>
    <n v="2"/>
    <x v="19"/>
    <s v="Programa de Diseño Gráfico"/>
    <s v="Laboratorio de fotografía "/>
    <x v="4"/>
    <n v="14"/>
    <n v="23.53"/>
    <m/>
    <x v="2"/>
  </r>
  <r>
    <s v="Áreas_bienestar"/>
    <x v="0"/>
    <x v="0"/>
    <x v="9"/>
    <m/>
    <n v="2"/>
    <x v="10"/>
    <s v="Programa de Diseño Gráfico"/>
    <s v="Baños Hombres "/>
    <x v="2"/>
    <n v="2"/>
    <n v="9.16"/>
    <m/>
    <x v="2"/>
  </r>
  <r>
    <s v="Áreas_bienestar"/>
    <x v="0"/>
    <x v="0"/>
    <x v="9"/>
    <m/>
    <n v="2"/>
    <x v="10"/>
    <s v="Programa de Diseño Gráfico"/>
    <s v="Baños Mujeres "/>
    <x v="2"/>
    <n v="2"/>
    <n v="9.16"/>
    <m/>
    <x v="2"/>
  </r>
  <r>
    <s v="Áreas_bienestar"/>
    <x v="0"/>
    <x v="0"/>
    <x v="9"/>
    <m/>
    <n v="3"/>
    <x v="23"/>
    <s v="Vicerrectoría Administrativa Financiera "/>
    <s v="Cafeteria Pública"/>
    <x v="0"/>
    <n v="42"/>
    <n v="73.28"/>
    <m/>
    <x v="2"/>
  </r>
  <r>
    <s v="Áreas_bienestar"/>
    <x v="0"/>
    <x v="0"/>
    <x v="9"/>
    <m/>
    <n v="3"/>
    <x v="18"/>
    <s v="Programa de Diseño Gráfico"/>
    <s v="Zona de ocio terraza en cafeteria"/>
    <x v="0"/>
    <n v="0"/>
    <n v="221.24"/>
    <m/>
    <x v="2"/>
  </r>
  <r>
    <s v="Áreas_docencia"/>
    <x v="0"/>
    <x v="0"/>
    <x v="9"/>
    <m/>
    <n v="2"/>
    <x v="16"/>
    <s v="Programa de Diseño Gráfico"/>
    <s v="Sala docentes "/>
    <x v="4"/>
    <n v="8"/>
    <n v="46.7"/>
    <m/>
    <x v="2"/>
  </r>
  <r>
    <s v="Áreas_administración"/>
    <x v="0"/>
    <x v="0"/>
    <x v="7"/>
    <m/>
    <n v="1"/>
    <x v="12"/>
    <s v="Vicerrectoría Administrativa Financiera "/>
    <s v="Depósito de Basura "/>
    <x v="2"/>
    <n v="0"/>
    <n v="18.39"/>
    <m/>
    <x v="2"/>
  </r>
  <r>
    <s v="Áreas_administración"/>
    <x v="0"/>
    <x v="0"/>
    <x v="9"/>
    <m/>
    <n v="2"/>
    <x v="4"/>
    <s v="Programa de Diseño Gráfico"/>
    <s v="Cuarto técnico y cuarto de aseo con lavatrapero"/>
    <x v="2"/>
    <n v="1"/>
    <n v="6.46"/>
    <m/>
    <x v="2"/>
  </r>
  <r>
    <s v="Áreas_administración"/>
    <x v="0"/>
    <x v="0"/>
    <x v="9"/>
    <m/>
    <n v="1"/>
    <x v="5"/>
    <s v="Programa de Diseño Gráfico"/>
    <s v="Portería"/>
    <x v="0"/>
    <n v="1"/>
    <n v="25.2"/>
    <m/>
    <x v="2"/>
  </r>
  <r>
    <s v="Áreas_bienestar"/>
    <x v="0"/>
    <x v="0"/>
    <x v="9"/>
    <m/>
    <n v="2"/>
    <x v="18"/>
    <s v="Programa de Diseño Gráfico"/>
    <s v="Zonas comunes"/>
    <x v="0"/>
    <n v="0"/>
    <n v="130.29"/>
    <m/>
    <x v="2"/>
  </r>
  <r>
    <s v="Áreas_Servicios_a_Comunidad"/>
    <x v="0"/>
    <x v="2"/>
    <x v="10"/>
    <m/>
    <n v="1"/>
    <x v="20"/>
    <s v="Vicerrectoría Administrativa Financiera "/>
    <s v="AUDITORIO  NIVEL 0"/>
    <x v="0"/>
    <n v="30"/>
    <n v="74.66"/>
    <d v="2022-05-25T00:00:00"/>
    <x v="0"/>
  </r>
  <r>
    <s v="Áreas_Servicios_a_Comunidad"/>
    <x v="0"/>
    <x v="2"/>
    <x v="10"/>
    <m/>
    <n v="1"/>
    <x v="12"/>
    <s v="Vicerrectoría Administrativa Financiera "/>
    <s v="DEPOSITO 1  NIVEL 0"/>
    <x v="2"/>
    <n v="0"/>
    <n v="5.61"/>
    <d v="2022-05-25T00:00:00"/>
    <x v="0"/>
  </r>
  <r>
    <s v="Áreas_Servicios_a_Comunidad"/>
    <x v="0"/>
    <x v="2"/>
    <x v="10"/>
    <m/>
    <n v="1"/>
    <x v="12"/>
    <s v="Vicerrectoría Administrativa Financiera "/>
    <s v="DEPOSITO 2  NIVEL 0"/>
    <x v="2"/>
    <n v="0"/>
    <n v="8.34"/>
    <d v="2022-05-25T00:00:00"/>
    <x v="0"/>
  </r>
  <r>
    <s v="Áreas_Servicios_a_Comunidad"/>
    <x v="0"/>
    <x v="2"/>
    <x v="10"/>
    <m/>
    <n v="1"/>
    <x v="4"/>
    <s v="Vicerrectoría Administrativa Financiera "/>
    <s v="CIRCULACION CUARTO TECNICO   NIVEL 0"/>
    <x v="2"/>
    <n v="0"/>
    <n v="4.2300000000000004"/>
    <d v="2022-05-25T00:00:00"/>
    <x v="0"/>
  </r>
  <r>
    <s v="Áreas_Servicios_a_Comunidad"/>
    <x v="0"/>
    <x v="2"/>
    <x v="10"/>
    <m/>
    <n v="1"/>
    <x v="4"/>
    <s v="Vicerrectoría Administrativa Financiera "/>
    <s v="CUARTO TECNICO  NIVEL 0"/>
    <x v="2"/>
    <n v="0"/>
    <n v="25.87"/>
    <d v="2022-05-25T00:00:00"/>
    <x v="0"/>
  </r>
  <r>
    <s v="Áreas_Servicios_a_Comunidad"/>
    <x v="0"/>
    <x v="2"/>
    <x v="10"/>
    <m/>
    <n v="1"/>
    <x v="20"/>
    <s v="Vicerrectoría Administrativa Financiera "/>
    <s v="HALL  NIVEL 0"/>
    <x v="0"/>
    <n v="0"/>
    <n v="112.26"/>
    <d v="2022-05-25T00:00:00"/>
    <x v="0"/>
  </r>
  <r>
    <s v="Áreas_Servicios_a_Comunidad"/>
    <x v="0"/>
    <x v="2"/>
    <x v="10"/>
    <m/>
    <n v="1"/>
    <x v="4"/>
    <s v="Vicerrectoría Administrativa Financiera "/>
    <s v="CUARTO ELECTRICO  NIVEL 0"/>
    <x v="2"/>
    <n v="0"/>
    <n v="19.77"/>
    <d v="2022-05-25T00:00:00"/>
    <x v="0"/>
  </r>
  <r>
    <s v="Áreas_Servicios_a_Comunidad"/>
    <x v="0"/>
    <x v="2"/>
    <x v="10"/>
    <m/>
    <n v="1"/>
    <x v="5"/>
    <s v="Vicerrectoría Administrativa Financiera "/>
    <s v="AREA DE LOKERS  NIVEL 0"/>
    <x v="2"/>
    <n v="0"/>
    <n v="18.89"/>
    <d v="2022-05-25T00:00:00"/>
    <x v="0"/>
  </r>
  <r>
    <s v="Áreas_Servicios_a_Comunidad"/>
    <x v="0"/>
    <x v="2"/>
    <x v="10"/>
    <m/>
    <n v="1"/>
    <x v="12"/>
    <s v="Vicerrectoría Administrativa Financiera "/>
    <s v="ASEO NIVEL 0"/>
    <x v="2"/>
    <n v="0"/>
    <n v="4.8899999999999997"/>
    <d v="2022-05-25T00:00:00"/>
    <x v="0"/>
  </r>
  <r>
    <s v="Áreas_Servicios_a_Comunidad"/>
    <x v="0"/>
    <x v="2"/>
    <x v="10"/>
    <m/>
    <n v="1"/>
    <x v="10"/>
    <s v="Vicerrectoría Administrativa Financiera "/>
    <s v="BAÑOS Y DUCHAS SEXADOS  NIVEL 0"/>
    <x v="2"/>
    <n v="8"/>
    <n v="44.76"/>
    <d v="2022-05-25T00:00:00"/>
    <x v="0"/>
  </r>
  <r>
    <s v="Áreas_Servicios_a_Comunidad"/>
    <x v="0"/>
    <x v="2"/>
    <x v="10"/>
    <m/>
    <n v="1"/>
    <x v="6"/>
    <s v="Vicerrectoría Administrativa Financiera "/>
    <s v="CIRCULACIONES  NIVEL 0"/>
    <x v="2"/>
    <n v="0"/>
    <n v="53.33"/>
    <d v="2022-05-25T00:00:00"/>
    <x v="0"/>
  </r>
  <r>
    <s v="Áreas_Servicios_a_Comunidad"/>
    <x v="0"/>
    <x v="2"/>
    <x v="10"/>
    <m/>
    <n v="2"/>
    <x v="4"/>
    <s v="Vicerrectoría Administrativa Financiera "/>
    <s v="CUARTO COMUNICACIONES VOZ Y DATOS NIVEL 3.5"/>
    <x v="2"/>
    <n v="0"/>
    <n v="18.600000000000001"/>
    <d v="2022-05-25T00:00:00"/>
    <x v="0"/>
  </r>
  <r>
    <s v="Áreas_Servicios_a_Comunidad"/>
    <x v="0"/>
    <x v="2"/>
    <x v="10"/>
    <m/>
    <n v="2"/>
    <x v="10"/>
    <s v="Vicerrectoría Administrativa Financiera "/>
    <s v="BAÑOS PROFESORES NIVEL 3.5"/>
    <x v="2"/>
    <n v="6"/>
    <n v="28.83"/>
    <d v="2022-05-25T00:00:00"/>
    <x v="0"/>
  </r>
  <r>
    <s v="Áreas_Servicios_a_Comunidad"/>
    <x v="0"/>
    <x v="2"/>
    <x v="10"/>
    <m/>
    <n v="2"/>
    <x v="10"/>
    <s v="Vicerrectoría Administrativa Financiera "/>
    <s v="BAÑOS PMR PROFESORES NIVEL 3.5"/>
    <x v="2"/>
    <n v="1"/>
    <n v="8.5299999999999994"/>
    <d v="2022-05-25T00:00:00"/>
    <x v="0"/>
  </r>
  <r>
    <s v="Áreas_Servicios_a_Comunidad"/>
    <x v="0"/>
    <x v="2"/>
    <x v="10"/>
    <m/>
    <n v="2"/>
    <x v="10"/>
    <s v="Vicerrectoría Administrativa Financiera "/>
    <s v="BAÑOS ESTUDIANTES  NIVEL 3.5"/>
    <x v="2"/>
    <n v="6"/>
    <n v="28.66"/>
    <d v="2022-05-25T00:00:00"/>
    <x v="0"/>
  </r>
  <r>
    <s v="Áreas_Servicios_a_Comunidad"/>
    <x v="0"/>
    <x v="2"/>
    <x v="10"/>
    <m/>
    <n v="2"/>
    <x v="10"/>
    <s v="Vicerrectoría Administrativa Financiera "/>
    <s v="BAÑOS PMR ESTUDIANTES  NIVEL 3.5"/>
    <x v="2"/>
    <n v="1"/>
    <n v="9.91"/>
    <d v="2022-05-25T00:00:00"/>
    <x v="0"/>
  </r>
  <r>
    <s v="Áreas_Servicios_a_Comunidad"/>
    <x v="0"/>
    <x v="2"/>
    <x v="10"/>
    <m/>
    <n v="2"/>
    <x v="4"/>
    <s v="Vicerrectoría Administrativa Financiera "/>
    <s v="CUARTO ELECTRICO  NIVEL 3.5"/>
    <x v="2"/>
    <n v="0"/>
    <n v="5.26"/>
    <d v="2022-05-25T00:00:00"/>
    <x v="0"/>
  </r>
  <r>
    <s v="Áreas_Servicios_a_Comunidad"/>
    <x v="0"/>
    <x v="2"/>
    <x v="10"/>
    <m/>
    <n v="2"/>
    <x v="11"/>
    <s v="Vicerrectoría Administrativa Financiera "/>
    <s v="DEPOSITO Y ASEO  NIVEL 3.5"/>
    <x v="2"/>
    <n v="0"/>
    <n v="5"/>
    <d v="2022-05-25T00:00:00"/>
    <x v="0"/>
  </r>
  <r>
    <s v="Áreas_Servicios_a_Comunidad"/>
    <x v="0"/>
    <x v="2"/>
    <x v="10"/>
    <m/>
    <n v="2"/>
    <x v="4"/>
    <s v="Vicerrectoría Administrativa Financiera "/>
    <s v="CUARTO ELECTRICO  NIVEL 3.5"/>
    <x v="2"/>
    <n v="0"/>
    <n v="5.6"/>
    <d v="2022-05-25T00:00:00"/>
    <x v="0"/>
  </r>
  <r>
    <s v="Áreas_Servicios_a_Comunidad"/>
    <x v="0"/>
    <x v="2"/>
    <x v="10"/>
    <m/>
    <n v="2"/>
    <x v="4"/>
    <s v="Vicerrectoría Administrativa Financiera "/>
    <s v="DEPOSITO Y ASEO  NIVEL 3.5"/>
    <x v="2"/>
    <n v="0"/>
    <n v="2.79"/>
    <d v="2022-05-25T00:00:00"/>
    <x v="0"/>
  </r>
  <r>
    <s v="Áreas_Servicios_a_Comunidad"/>
    <x v="0"/>
    <x v="2"/>
    <x v="10"/>
    <m/>
    <n v="2"/>
    <x v="4"/>
    <s v="Vicerrectoría Administrativa Financiera "/>
    <s v="CUARTO COMUNICACIONES VOZ Y DATOS 2 NIVEL 3.5"/>
    <x v="2"/>
    <n v="0"/>
    <n v="6.86"/>
    <d v="2022-05-25T00:00:00"/>
    <x v="0"/>
  </r>
  <r>
    <s v="Áreas_docencia"/>
    <x v="0"/>
    <x v="2"/>
    <x v="10"/>
    <m/>
    <n v="2"/>
    <x v="14"/>
    <s v="Vicerrectoría Administrativa Financiera "/>
    <s v="AULA T40 CAP 41 PERSONAS NIVEL 3.5"/>
    <x v="2"/>
    <n v="41"/>
    <n v="91.09"/>
    <d v="2022-05-25T00:00:00"/>
    <x v="0"/>
  </r>
  <r>
    <s v="Áreas_docencia"/>
    <x v="0"/>
    <x v="2"/>
    <x v="10"/>
    <m/>
    <n v="2"/>
    <x v="14"/>
    <s v="Vicerrectoría Administrativa Financiera "/>
    <s v="AULA T 50 CAP 51 PERSONAS  NIVEL 3.5"/>
    <x v="2"/>
    <n v="51"/>
    <n v="120.3"/>
    <d v="2022-05-25T00:00:00"/>
    <x v="0"/>
  </r>
  <r>
    <s v="Áreas_docencia"/>
    <x v="0"/>
    <x v="2"/>
    <x v="10"/>
    <m/>
    <n v="2"/>
    <x v="14"/>
    <s v="Vicerrectoría Administrativa Financiera "/>
    <s v="AULA T 50 CAP 51 PERSONAS  NIVEL 3.5"/>
    <x v="2"/>
    <n v="41"/>
    <n v="120"/>
    <d v="2022-05-25T00:00:00"/>
    <x v="0"/>
  </r>
  <r>
    <s v="Áreas_docencia"/>
    <x v="0"/>
    <x v="2"/>
    <x v="10"/>
    <m/>
    <n v="2"/>
    <x v="14"/>
    <s v="Vicerrectoría Administrativa Financiera "/>
    <s v="LABORATORIO  NIVEL 3.5"/>
    <x v="2"/>
    <n v="51"/>
    <n v="156.06"/>
    <d v="2022-05-25T00:00:00"/>
    <x v="0"/>
  </r>
  <r>
    <s v="Áreas_administración"/>
    <x v="0"/>
    <x v="2"/>
    <x v="10"/>
    <m/>
    <n v="2"/>
    <x v="0"/>
    <s v="Vicerrectoría Administrativa Financiera "/>
    <s v="EXTENSION CRE NIVEL 3.5"/>
    <x v="2"/>
    <n v="41"/>
    <n v="99.4"/>
    <d v="2022-05-25T00:00:00"/>
    <x v="0"/>
  </r>
  <r>
    <s v="Áreas_docencia"/>
    <x v="0"/>
    <x v="2"/>
    <x v="10"/>
    <m/>
    <n v="2"/>
    <x v="16"/>
    <s v="Vicerrectoría Administrativa Financiera "/>
    <s v="OFICINA DOCENTES 1 NIVEL 3.5"/>
    <x v="4"/>
    <n v="3"/>
    <n v="11.5"/>
    <d v="2022-05-25T00:00:00"/>
    <x v="0"/>
  </r>
  <r>
    <s v="Áreas_docencia"/>
    <x v="0"/>
    <x v="2"/>
    <x v="10"/>
    <m/>
    <n v="2"/>
    <x v="16"/>
    <s v="Vicerrectoría Administrativa Financiera "/>
    <s v="OFICINA DOCENTES 2 NIVEL 3.5"/>
    <x v="4"/>
    <n v="3"/>
    <n v="11.34"/>
    <d v="2022-05-25T00:00:00"/>
    <x v="0"/>
  </r>
  <r>
    <s v="Áreas_docencia"/>
    <x v="0"/>
    <x v="2"/>
    <x v="10"/>
    <m/>
    <n v="2"/>
    <x v="16"/>
    <s v="Vicerrectoría Administrativa Financiera "/>
    <s v="OFICINA DOCENTES 3 NIVEL 3.5"/>
    <x v="4"/>
    <n v="3"/>
    <n v="12.17"/>
    <d v="2022-05-25T00:00:00"/>
    <x v="0"/>
  </r>
  <r>
    <s v="Áreas_docencia"/>
    <x v="0"/>
    <x v="2"/>
    <x v="10"/>
    <m/>
    <n v="2"/>
    <x v="16"/>
    <s v="Vicerrectoría Administrativa Financiera "/>
    <s v="OFICINA DOCENTES 4 NIVEL 3.5"/>
    <x v="4"/>
    <n v="3"/>
    <n v="11.85"/>
    <d v="2022-05-25T00:00:00"/>
    <x v="0"/>
  </r>
  <r>
    <s v="Áreas_docencia"/>
    <x v="0"/>
    <x v="2"/>
    <x v="10"/>
    <m/>
    <n v="2"/>
    <x v="16"/>
    <s v="Vicerrectoría Administrativa Financiera "/>
    <s v="OFICINA DOCENTES 5 NIVEL 3.5"/>
    <x v="4"/>
    <n v="3"/>
    <n v="12"/>
    <d v="2022-05-25T00:00:00"/>
    <x v="0"/>
  </r>
  <r>
    <s v="Áreas_docencia"/>
    <x v="0"/>
    <x v="2"/>
    <x v="10"/>
    <m/>
    <n v="2"/>
    <x v="16"/>
    <s v="Vicerrectoría Administrativa Financiera "/>
    <s v="OFICINA DOCENTES 6 NIVEL 3.5"/>
    <x v="4"/>
    <n v="3"/>
    <n v="12.2"/>
    <d v="2022-05-25T00:00:00"/>
    <x v="0"/>
  </r>
  <r>
    <s v="Áreas_docencia"/>
    <x v="0"/>
    <x v="2"/>
    <x v="10"/>
    <m/>
    <n v="2"/>
    <x v="16"/>
    <s v="Vicerrectoría Administrativa Financiera "/>
    <s v="OFICINA DOCENTES 7  NIVEL 3.5"/>
    <x v="4"/>
    <n v="3"/>
    <n v="11.74"/>
    <d v="2022-05-25T00:00:00"/>
    <x v="0"/>
  </r>
  <r>
    <s v="Áreas_docencia"/>
    <x v="0"/>
    <x v="2"/>
    <x v="10"/>
    <m/>
    <n v="2"/>
    <x v="16"/>
    <s v="Vicerrectoría Administrativa Financiera "/>
    <s v="OFICINA DOCENTES 8 NIVEL 3.5"/>
    <x v="4"/>
    <n v="3"/>
    <n v="12.2"/>
    <d v="2022-05-25T00:00:00"/>
    <x v="0"/>
  </r>
  <r>
    <s v="Áreas_docencia"/>
    <x v="0"/>
    <x v="2"/>
    <x v="10"/>
    <m/>
    <n v="2"/>
    <x v="16"/>
    <s v="Vicerrectoría Administrativa Financiera "/>
    <s v="OFICINA DOCENTES 9 NIVEL 3.5"/>
    <x v="4"/>
    <n v="3"/>
    <n v="13.3"/>
    <d v="2022-05-25T00:00:00"/>
    <x v="0"/>
  </r>
  <r>
    <s v="Áreas_docencia"/>
    <x v="0"/>
    <x v="2"/>
    <x v="10"/>
    <m/>
    <n v="2"/>
    <x v="16"/>
    <s v="Vicerrectoría Administrativa Financiera "/>
    <s v="OFICINA DOCENTES 10 NIVEL 3.5"/>
    <x v="4"/>
    <n v="3"/>
    <n v="12.23"/>
    <d v="2022-05-25T00:00:00"/>
    <x v="0"/>
  </r>
  <r>
    <s v="Áreas_docencia"/>
    <x v="0"/>
    <x v="2"/>
    <x v="10"/>
    <m/>
    <n v="2"/>
    <x v="16"/>
    <s v="Vicerrectoría Administrativa Financiera "/>
    <s v="OFICINA DOCENTES 11 NIVEL 3.5"/>
    <x v="4"/>
    <n v="3"/>
    <n v="12.23"/>
    <d v="2022-05-25T00:00:00"/>
    <x v="0"/>
  </r>
  <r>
    <s v="Áreas_docencia"/>
    <x v="0"/>
    <x v="2"/>
    <x v="10"/>
    <m/>
    <n v="2"/>
    <x v="16"/>
    <s v="Vicerrectoría Administrativa Financiera "/>
    <s v="OFICINA DOCENTES 12 NIVEL 3.5"/>
    <x v="4"/>
    <n v="3"/>
    <n v="10.87"/>
    <d v="2022-05-25T00:00:00"/>
    <x v="0"/>
  </r>
  <r>
    <s v="Áreas_docencia"/>
    <x v="0"/>
    <x v="2"/>
    <x v="10"/>
    <m/>
    <n v="2"/>
    <x v="16"/>
    <s v="Vicerrectoría Administrativa Financiera "/>
    <s v="SALA DOCENTES NIVEL 3.5"/>
    <x v="4"/>
    <n v="3"/>
    <n v="199"/>
    <d v="2022-05-25T00:00:00"/>
    <x v="0"/>
  </r>
  <r>
    <s v="Áreas_Movilidad_Espacios_libres"/>
    <x v="0"/>
    <x v="2"/>
    <x v="10"/>
    <m/>
    <n v="2"/>
    <x v="6"/>
    <s v="Vicerrectoría Administrativa Financiera "/>
    <s v="CIRCULACIONES  NIVEL 3.5"/>
    <x v="0"/>
    <n v="0"/>
    <n v="654.84"/>
    <d v="2022-05-25T00:00:00"/>
    <x v="0"/>
  </r>
  <r>
    <s v="Áreas_administración"/>
    <x v="0"/>
    <x v="2"/>
    <x v="10"/>
    <m/>
    <n v="3"/>
    <x v="4"/>
    <s v="Vicerrectoría Administrativa Financiera "/>
    <s v="CUARTO COMUNICACIONES VOZ Y DATOS  NIVEL 7"/>
    <x v="0"/>
    <n v="0"/>
    <n v="19.09"/>
    <d v="2022-05-25T00:00:00"/>
    <x v="0"/>
  </r>
  <r>
    <s v="Áreas_Servicios_a_Comunidad"/>
    <x v="0"/>
    <x v="2"/>
    <x v="10"/>
    <m/>
    <n v="3"/>
    <x v="10"/>
    <s v="Vicerrectoría Administrativa Financiera "/>
    <s v="BAÑOS PROFESORES  NIVEL 7"/>
    <x v="2"/>
    <n v="6"/>
    <n v="28.83"/>
    <d v="2022-05-25T00:00:00"/>
    <x v="0"/>
  </r>
  <r>
    <s v="Áreas_Servicios_a_Comunidad"/>
    <x v="0"/>
    <x v="2"/>
    <x v="10"/>
    <m/>
    <n v="3"/>
    <x v="10"/>
    <s v="Vicerrectoría Administrativa Financiera "/>
    <s v="BAÑOS PMR PROFESORES NIVEL 7"/>
    <x v="2"/>
    <n v="1"/>
    <n v="8.5299999999999994"/>
    <d v="2022-05-25T00:00:00"/>
    <x v="0"/>
  </r>
  <r>
    <s v="Áreas_Servicios_a_Comunidad"/>
    <x v="0"/>
    <x v="2"/>
    <x v="10"/>
    <m/>
    <n v="3"/>
    <x v="10"/>
    <s v="Vicerrectoría Administrativa Financiera "/>
    <s v="BAÑOS ESTUDIANTES  NIVEL 7"/>
    <x v="2"/>
    <n v="6"/>
    <n v="28.66"/>
    <d v="2022-05-25T00:00:00"/>
    <x v="0"/>
  </r>
  <r>
    <s v="Áreas_Servicios_a_Comunidad"/>
    <x v="0"/>
    <x v="2"/>
    <x v="10"/>
    <m/>
    <n v="3"/>
    <x v="10"/>
    <s v="Vicerrectoría Administrativa Financiera "/>
    <s v="BAÑOS PMR ESTUDIANTES  NIVEL 7"/>
    <x v="2"/>
    <n v="1"/>
    <n v="9.91"/>
    <d v="2022-05-25T00:00:00"/>
    <x v="0"/>
  </r>
  <r>
    <s v="Áreas_administración"/>
    <x v="0"/>
    <x v="2"/>
    <x v="10"/>
    <m/>
    <n v="3"/>
    <x v="4"/>
    <s v="Vicerrectoría Administrativa Financiera "/>
    <s v="CUARTO ELECTRICO  NIVEL 7"/>
    <x v="2"/>
    <n v="0"/>
    <n v="5.26"/>
    <d v="2022-05-25T00:00:00"/>
    <x v="0"/>
  </r>
  <r>
    <s v="Áreas_administración"/>
    <x v="0"/>
    <x v="2"/>
    <x v="10"/>
    <m/>
    <n v="3"/>
    <x v="11"/>
    <s v="Vicerrectoría Administrativa Financiera "/>
    <s v="DEPOSITO Y ASEO  NIVEL 7"/>
    <x v="2"/>
    <n v="0"/>
    <n v="7.35"/>
    <d v="2022-05-25T00:00:00"/>
    <x v="0"/>
  </r>
  <r>
    <s v="Áreas_administración"/>
    <x v="0"/>
    <x v="2"/>
    <x v="10"/>
    <m/>
    <n v="3"/>
    <x v="4"/>
    <s v="Vicerrectoría Administrativa Financiera "/>
    <s v="CUARTO ELECTRICO  NIVEL 7"/>
    <x v="2"/>
    <n v="0"/>
    <n v="6.21"/>
    <d v="2022-05-25T00:00:00"/>
    <x v="0"/>
  </r>
  <r>
    <s v="Áreas_administración"/>
    <x v="0"/>
    <x v="2"/>
    <x v="10"/>
    <m/>
    <n v="3"/>
    <x v="11"/>
    <s v="Vicerrectoría Administrativa Financiera "/>
    <s v="DEPOSITO Y ASEO 2 NIVEL 7"/>
    <x v="2"/>
    <n v="0"/>
    <n v="2.79"/>
    <d v="2022-05-25T00:00:00"/>
    <x v="0"/>
  </r>
  <r>
    <s v="Áreas_administración"/>
    <x v="0"/>
    <x v="2"/>
    <x v="10"/>
    <m/>
    <n v="3"/>
    <x v="4"/>
    <s v="Vicerrectoría Administrativa Financiera "/>
    <s v="CUARTO COMUNICACIONES VOZ Y DATOS 2 NIVEL 7"/>
    <x v="2"/>
    <n v="0"/>
    <n v="6.86"/>
    <d v="2022-05-25T00:00:00"/>
    <x v="0"/>
  </r>
  <r>
    <s v="Áreas_docencia"/>
    <x v="0"/>
    <x v="2"/>
    <x v="10"/>
    <m/>
    <n v="3"/>
    <x v="14"/>
    <s v="Vicerrectoría Administrativa Financiera "/>
    <s v="AULA T40 CAP 41 PERSONAS NIVEL 7"/>
    <x v="4"/>
    <n v="41"/>
    <n v="92.07"/>
    <d v="2022-05-25T00:00:00"/>
    <x v="0"/>
  </r>
  <r>
    <s v="Áreas_docencia"/>
    <x v="0"/>
    <x v="2"/>
    <x v="10"/>
    <m/>
    <n v="3"/>
    <x v="14"/>
    <s v="Vicerrectoría Administrativa Financiera "/>
    <s v="AULA T 50 CAP 51 PERSONAS  NIVEL 7"/>
    <x v="4"/>
    <n v="51"/>
    <n v="121.68"/>
    <d v="2022-05-25T00:00:00"/>
    <x v="0"/>
  </r>
  <r>
    <s v="Áreas_docencia"/>
    <x v="0"/>
    <x v="2"/>
    <x v="10"/>
    <m/>
    <n v="3"/>
    <x v="14"/>
    <s v="Vicerrectoría Administrativa Financiera "/>
    <s v="AULA T 50 CAP 51 PERSONAS  NIVEL 7"/>
    <x v="4"/>
    <n v="51"/>
    <n v="122.68"/>
    <d v="2022-05-25T00:00:00"/>
    <x v="0"/>
  </r>
  <r>
    <s v="Áreas_docencia"/>
    <x v="0"/>
    <x v="2"/>
    <x v="10"/>
    <m/>
    <n v="3"/>
    <x v="14"/>
    <s v="Vicerrectoría Administrativa Financiera "/>
    <s v="AULA T 50 CAP 51 PERSONAS  NIVEL 7"/>
    <x v="4"/>
    <n v="51"/>
    <n v="122.68"/>
    <d v="2022-05-25T00:00:00"/>
    <x v="0"/>
  </r>
  <r>
    <s v="Áreas_docencia"/>
    <x v="0"/>
    <x v="2"/>
    <x v="10"/>
    <m/>
    <n v="3"/>
    <x v="14"/>
    <s v="Vicerrectoría Administrativa Financiera "/>
    <s v="AULA T 50 CAP 51 PERSONAS NIVEL 7"/>
    <x v="4"/>
    <n v="51"/>
    <n v="110.28"/>
    <d v="2022-05-25T00:00:00"/>
    <x v="0"/>
  </r>
  <r>
    <s v="Áreas_docencia"/>
    <x v="0"/>
    <x v="2"/>
    <x v="10"/>
    <m/>
    <n v="3"/>
    <x v="14"/>
    <s v="Vicerrectoría Administrativa Financiera "/>
    <s v="AULA T 30 CAP 31 PERSONAS NIVEL 7"/>
    <x v="4"/>
    <n v="31"/>
    <n v="76.05"/>
    <d v="2022-05-25T00:00:00"/>
    <x v="0"/>
  </r>
  <r>
    <s v="Áreas_docencia"/>
    <x v="0"/>
    <x v="2"/>
    <x v="10"/>
    <m/>
    <n v="3"/>
    <x v="14"/>
    <s v="Vicerrectoría Administrativa Financiera "/>
    <s v="AULA T 30 CAP 31 PERSONAS NIVEL 7"/>
    <x v="4"/>
    <n v="31"/>
    <n v="76.05"/>
    <d v="2022-05-25T00:00:00"/>
    <x v="0"/>
  </r>
  <r>
    <s v="Áreas_docencia"/>
    <x v="0"/>
    <x v="2"/>
    <x v="10"/>
    <m/>
    <n v="3"/>
    <x v="14"/>
    <s v="Vicerrectoría Administrativa Financiera "/>
    <s v="AULA T 30 CAP 31 PERSONAS NIVEL 7"/>
    <x v="4"/>
    <n v="31"/>
    <n v="78.19"/>
    <d v="2022-05-25T00:00:00"/>
    <x v="0"/>
  </r>
  <r>
    <s v="Áreas_docencia"/>
    <x v="0"/>
    <x v="2"/>
    <x v="10"/>
    <m/>
    <n v="3"/>
    <x v="14"/>
    <s v="Vicerrectoría Administrativa Financiera "/>
    <s v="AULA T 30 CAP 31 PERSONAS NIVEL 7"/>
    <x v="4"/>
    <n v="31"/>
    <n v="78.64"/>
    <d v="2022-05-25T00:00:00"/>
    <x v="0"/>
  </r>
  <r>
    <s v="Áreas_docencia"/>
    <x v="0"/>
    <x v="2"/>
    <x v="10"/>
    <m/>
    <n v="3"/>
    <x v="14"/>
    <s v="Vicerrectoría Administrativa Financiera "/>
    <s v="AULA T 30 CAP 31 PERSONAS NIVEL 7"/>
    <x v="4"/>
    <n v="31"/>
    <n v="75.12"/>
    <d v="2022-05-25T00:00:00"/>
    <x v="0"/>
  </r>
  <r>
    <s v="Áreas_docencia"/>
    <x v="0"/>
    <x v="2"/>
    <x v="10"/>
    <m/>
    <n v="3"/>
    <x v="14"/>
    <s v="Vicerrectoría Administrativa Financiera "/>
    <s v="CRE"/>
    <x v="4"/>
    <n v="6"/>
    <n v="62.34"/>
    <d v="2022-05-25T00:00:00"/>
    <x v="0"/>
  </r>
  <r>
    <s v="Áreas_administración"/>
    <x v="0"/>
    <x v="2"/>
    <x v="10"/>
    <m/>
    <n v="3"/>
    <x v="0"/>
    <s v="Vicerrectoría Administrativa Financiera "/>
    <s v="DISPONIBLE NIVEL 7"/>
    <x v="2"/>
    <n v="0"/>
    <n v="9.56"/>
    <d v="2022-05-25T00:00:00"/>
    <x v="0"/>
  </r>
  <r>
    <s v="Áreas_docencia"/>
    <x v="0"/>
    <x v="2"/>
    <x v="10"/>
    <m/>
    <n v="3"/>
    <x v="14"/>
    <s v="Vicerrectoría Administrativa Financiera "/>
    <s v="SALA DE ESTUDIO TIPO 1 NIVEL 7"/>
    <x v="4"/>
    <n v="0"/>
    <n v="114.36"/>
    <d v="2022-05-25T00:00:00"/>
    <x v="0"/>
  </r>
  <r>
    <s v="Áreas_Movilidad_Espacios_libres"/>
    <x v="0"/>
    <x v="2"/>
    <x v="10"/>
    <m/>
    <n v="3"/>
    <x v="6"/>
    <s v="Vicerrectoría Administrativa Financiera "/>
    <s v="CIRCULACIONES  NIVEL 7"/>
    <x v="2"/>
    <n v="0"/>
    <n v="600.74"/>
    <d v="2022-05-25T00:00:00"/>
    <x v="0"/>
  </r>
  <r>
    <s v="Áreas_administración"/>
    <x v="0"/>
    <x v="2"/>
    <x v="10"/>
    <m/>
    <n v="4"/>
    <x v="4"/>
    <s v="Vicerrectoría Administrativa Financiera "/>
    <s v="CUARTO COMUNICACIONES VOZ Y DATOS "/>
    <x v="2"/>
    <n v="0"/>
    <n v="19.09"/>
    <d v="2022-05-25T00:00:00"/>
    <x v="0"/>
  </r>
  <r>
    <s v="Áreas_bienestar"/>
    <x v="0"/>
    <x v="2"/>
    <x v="10"/>
    <m/>
    <n v="4"/>
    <x v="10"/>
    <s v="Vicerrectoría Administrativa Financiera "/>
    <s v="BAÑOS PROFESORES "/>
    <x v="2"/>
    <n v="6"/>
    <n v="28.83"/>
    <d v="2022-05-25T00:00:00"/>
    <x v="0"/>
  </r>
  <r>
    <s v="Áreas_bienestar"/>
    <x v="0"/>
    <x v="2"/>
    <x v="10"/>
    <m/>
    <n v="4"/>
    <x v="2"/>
    <s v="Vicerrectoría Administrativa Financiera "/>
    <s v="BAÑOS PMR PROFESORES PMR"/>
    <x v="2"/>
    <n v="1"/>
    <n v="8.5299999999999994"/>
    <d v="2022-05-25T00:00:00"/>
    <x v="0"/>
  </r>
  <r>
    <s v="Áreas_bienestar"/>
    <x v="0"/>
    <x v="2"/>
    <x v="10"/>
    <m/>
    <n v="4"/>
    <x v="2"/>
    <s v="Vicerrectoría Administrativa Financiera "/>
    <s v="BAÑOS ESTUDIANTES "/>
    <x v="2"/>
    <n v="6"/>
    <n v="28.66"/>
    <d v="2022-05-25T00:00:00"/>
    <x v="0"/>
  </r>
  <r>
    <s v="Áreas_bienestar"/>
    <x v="0"/>
    <x v="2"/>
    <x v="10"/>
    <m/>
    <n v="4"/>
    <x v="10"/>
    <s v="Vicerrectoría Administrativa Financiera "/>
    <s v="BAÑOS PMR ESTUDIANTES PMR"/>
    <x v="2"/>
    <n v="1"/>
    <n v="9.91"/>
    <d v="2022-05-25T00:00:00"/>
    <x v="0"/>
  </r>
  <r>
    <s v="Áreas_administración"/>
    <x v="0"/>
    <x v="2"/>
    <x v="10"/>
    <m/>
    <n v="4"/>
    <x v="4"/>
    <s v="Vicerrectoría Administrativa Financiera "/>
    <s v="CUARTO ELECTRICO "/>
    <x v="2"/>
    <n v="0"/>
    <n v="5.26"/>
    <d v="2022-05-25T00:00:00"/>
    <x v="0"/>
  </r>
  <r>
    <s v="Áreas_administración"/>
    <x v="0"/>
    <x v="2"/>
    <x v="10"/>
    <m/>
    <n v="4"/>
    <x v="12"/>
    <s v="Vicerrectoría Administrativa Financiera "/>
    <s v="DEPOSITO Y ASEO "/>
    <x v="2"/>
    <n v="0"/>
    <n v="7.35"/>
    <d v="2022-05-25T00:00:00"/>
    <x v="0"/>
  </r>
  <r>
    <s v="Áreas_administración"/>
    <x v="0"/>
    <x v="2"/>
    <x v="10"/>
    <m/>
    <n v="4"/>
    <x v="4"/>
    <s v="Vicerrectoría Administrativa Financiera "/>
    <s v="CUARTO ELECTRICO "/>
    <x v="2"/>
    <n v="0"/>
    <n v="6.21"/>
    <d v="2022-05-25T00:00:00"/>
    <x v="0"/>
  </r>
  <r>
    <s v="Áreas_administración"/>
    <x v="0"/>
    <x v="2"/>
    <x v="10"/>
    <m/>
    <n v="4"/>
    <x v="12"/>
    <s v="Vicerrectoría Administrativa Financiera "/>
    <s v="DEPOSITO Y ASEO 2"/>
    <x v="2"/>
    <n v="0"/>
    <n v="2.79"/>
    <d v="2022-05-25T00:00:00"/>
    <x v="0"/>
  </r>
  <r>
    <s v="Áreas_administración"/>
    <x v="0"/>
    <x v="2"/>
    <x v="10"/>
    <m/>
    <n v="4"/>
    <x v="4"/>
    <s v="Vicerrectoría Administrativa Financiera "/>
    <s v="CUARTO COMUNICACIONES VOZ Y DATOS 2"/>
    <x v="2"/>
    <n v="0"/>
    <n v="6.86"/>
    <d v="2022-05-25T00:00:00"/>
    <x v="0"/>
  </r>
  <r>
    <s v="Áreas_docencia"/>
    <x v="0"/>
    <x v="2"/>
    <x v="10"/>
    <m/>
    <n v="4"/>
    <x v="14"/>
    <s v="Vicerrectoría Administrativa Financiera "/>
    <s v="AULA T40 CAP 41 PERSONAS"/>
    <x v="4"/>
    <n v="41"/>
    <n v="92.07"/>
    <d v="2022-05-25T00:00:00"/>
    <x v="0"/>
  </r>
  <r>
    <s v="Áreas_docencia"/>
    <x v="0"/>
    <x v="2"/>
    <x v="10"/>
    <m/>
    <n v="4"/>
    <x v="14"/>
    <s v="Vicerrectoría Administrativa Financiera "/>
    <s v="AULA T 50 CAP 51 PERSONAS "/>
    <x v="4"/>
    <n v="51"/>
    <n v="121.68"/>
    <d v="2022-05-25T00:00:00"/>
    <x v="0"/>
  </r>
  <r>
    <s v="Áreas_docencia"/>
    <x v="0"/>
    <x v="2"/>
    <x v="10"/>
    <m/>
    <n v="4"/>
    <x v="14"/>
    <s v="Vicerrectoría Administrativa Financiera "/>
    <s v="AULA T 50 CAP 51 PERSONAS "/>
    <x v="4"/>
    <n v="51"/>
    <n v="121.68"/>
    <d v="2022-05-25T00:00:00"/>
    <x v="0"/>
  </r>
  <r>
    <s v="Áreas_docencia"/>
    <x v="0"/>
    <x v="2"/>
    <x v="10"/>
    <m/>
    <n v="4"/>
    <x v="14"/>
    <s v="Vicerrectoría Administrativa Financiera "/>
    <s v="AULA T 50 CAP 51 PERSONAS "/>
    <x v="4"/>
    <n v="51"/>
    <n v="122.68"/>
    <d v="2022-05-25T00:00:00"/>
    <x v="0"/>
  </r>
  <r>
    <s v="Áreas_docencia"/>
    <x v="0"/>
    <x v="2"/>
    <x v="10"/>
    <m/>
    <n v="4"/>
    <x v="14"/>
    <s v="Vicerrectoría Administrativa Financiera "/>
    <s v="AULA T 50 CAP 51 PERSONAS "/>
    <x v="4"/>
    <n v="51"/>
    <n v="110.28"/>
    <d v="2022-05-25T00:00:00"/>
    <x v="0"/>
  </r>
  <r>
    <s v="Áreas_docencia"/>
    <x v="0"/>
    <x v="2"/>
    <x v="10"/>
    <m/>
    <n v="4"/>
    <x v="14"/>
    <s v="Vicerrectoría Administrativa Financiera "/>
    <s v="AULA T 30 CAP 31 PERSONAS"/>
    <x v="4"/>
    <n v="31"/>
    <n v="76.05"/>
    <d v="2022-05-25T00:00:00"/>
    <x v="0"/>
  </r>
  <r>
    <s v="Áreas_docencia"/>
    <x v="0"/>
    <x v="2"/>
    <x v="10"/>
    <m/>
    <n v="4"/>
    <x v="14"/>
    <s v="Vicerrectoría Administrativa Financiera "/>
    <s v="AULA T 30 CAP 31 PERSONAS"/>
    <x v="4"/>
    <n v="31"/>
    <n v="77.53"/>
    <d v="2022-05-25T00:00:00"/>
    <x v="0"/>
  </r>
  <r>
    <s v="Áreas_docencia"/>
    <x v="0"/>
    <x v="2"/>
    <x v="10"/>
    <m/>
    <n v="4"/>
    <x v="14"/>
    <s v="Vicerrectoría Administrativa Financiera "/>
    <s v="AULA T 30 CAP 31 PERSONAS"/>
    <x v="4"/>
    <n v="31"/>
    <n v="78.19"/>
    <d v="2022-05-25T00:00:00"/>
    <x v="0"/>
  </r>
  <r>
    <s v="Áreas_docencia"/>
    <x v="0"/>
    <x v="2"/>
    <x v="10"/>
    <m/>
    <n v="4"/>
    <x v="14"/>
    <s v="Vicerrectoría Administrativa Financiera "/>
    <s v="AULA T 30 CAP 31 PERSONAS"/>
    <x v="4"/>
    <n v="31"/>
    <n v="78.64"/>
    <d v="2022-05-25T00:00:00"/>
    <x v="0"/>
  </r>
  <r>
    <s v="Áreas_docencia"/>
    <x v="0"/>
    <x v="2"/>
    <x v="10"/>
    <m/>
    <n v="4"/>
    <x v="14"/>
    <s v="Vicerrectoría Administrativa Financiera "/>
    <s v="AULA T 30 CAP 31 PERSONAS"/>
    <x v="4"/>
    <n v="31"/>
    <n v="75.12"/>
    <d v="2022-05-25T00:00:00"/>
    <x v="0"/>
  </r>
  <r>
    <s v="Áreas_docencia"/>
    <x v="0"/>
    <x v="2"/>
    <x v="10"/>
    <m/>
    <n v="4"/>
    <x v="14"/>
    <s v="Vicerrectoría Administrativa Financiera "/>
    <s v="MONITORIA DE SISTEMAS "/>
    <x v="4"/>
    <n v="6"/>
    <n v="62.34"/>
    <d v="2022-05-25T00:00:00"/>
    <x v="0"/>
  </r>
  <r>
    <s v="Áreas_Movilidad_Espacios_libres"/>
    <x v="0"/>
    <x v="2"/>
    <x v="10"/>
    <m/>
    <n v="4"/>
    <x v="6"/>
    <s v="Vicerrectoría Administrativa Financiera "/>
    <s v="CIRCULACIONES "/>
    <x v="2"/>
    <n v="0"/>
    <n v="569.33000000000004"/>
    <d v="2022-05-25T00:00:00"/>
    <x v="0"/>
  </r>
  <r>
    <s v="Áreas_administración"/>
    <x v="0"/>
    <x v="2"/>
    <x v="10"/>
    <m/>
    <n v="5"/>
    <x v="4"/>
    <s v="Vicerrectoría Administrativa Financiera "/>
    <s v="CUARTO COMUNICACIONES VOZ Y DATOS "/>
    <x v="2"/>
    <n v="0"/>
    <n v="19.09"/>
    <d v="2022-05-25T00:00:00"/>
    <x v="0"/>
  </r>
  <r>
    <s v="Áreas_bienestar"/>
    <x v="0"/>
    <x v="2"/>
    <x v="10"/>
    <m/>
    <n v="5"/>
    <x v="2"/>
    <s v="Vicerrectoría Administrativa Financiera "/>
    <s v="BAÑOS PROFESORES "/>
    <x v="2"/>
    <n v="6"/>
    <n v="28.83"/>
    <d v="2022-05-25T00:00:00"/>
    <x v="0"/>
  </r>
  <r>
    <s v="Áreas_bienestar"/>
    <x v="0"/>
    <x v="2"/>
    <x v="10"/>
    <m/>
    <n v="5"/>
    <x v="2"/>
    <s v="Vicerrectoría Administrativa Financiera "/>
    <s v="BAÑOS PMR PROFESORES"/>
    <x v="2"/>
    <n v="1"/>
    <n v="8.5299999999999994"/>
    <d v="2022-05-25T00:00:00"/>
    <x v="0"/>
  </r>
  <r>
    <s v="Áreas_bienestar"/>
    <x v="0"/>
    <x v="2"/>
    <x v="10"/>
    <m/>
    <n v="5"/>
    <x v="10"/>
    <s v="Vicerrectoría Administrativa Financiera "/>
    <s v="BAÑOS ESTUDIANTES "/>
    <x v="2"/>
    <n v="6"/>
    <n v="28.66"/>
    <d v="2022-05-25T00:00:00"/>
    <x v="0"/>
  </r>
  <r>
    <s v="Áreas_bienestar"/>
    <x v="0"/>
    <x v="2"/>
    <x v="10"/>
    <m/>
    <n v="5"/>
    <x v="10"/>
    <s v="Vicerrectoría Administrativa Financiera "/>
    <s v="BAÑOS PMR ESTUDIANTES "/>
    <x v="2"/>
    <n v="1"/>
    <n v="9.91"/>
    <d v="2022-05-25T00:00:00"/>
    <x v="0"/>
  </r>
  <r>
    <s v="Áreas_administración"/>
    <x v="0"/>
    <x v="2"/>
    <x v="10"/>
    <m/>
    <n v="5"/>
    <x v="4"/>
    <s v="Vicerrectoría Administrativa Financiera "/>
    <s v="CUARTO ELECTRICO "/>
    <x v="2"/>
    <n v="0"/>
    <n v="5.26"/>
    <d v="2022-05-25T00:00:00"/>
    <x v="0"/>
  </r>
  <r>
    <s v="Áreas_bienestar"/>
    <x v="0"/>
    <x v="2"/>
    <x v="10"/>
    <m/>
    <n v="5"/>
    <x v="12"/>
    <s v="Vicerrectoría Administrativa Financiera "/>
    <s v="DEPOSITO Y ASEO "/>
    <x v="2"/>
    <n v="0"/>
    <n v="7.35"/>
    <d v="2022-05-25T00:00:00"/>
    <x v="0"/>
  </r>
  <r>
    <s v="Áreas_administración"/>
    <x v="0"/>
    <x v="2"/>
    <x v="10"/>
    <m/>
    <n v="5"/>
    <x v="4"/>
    <s v="Vicerrectoría Administrativa Financiera "/>
    <s v="CUARTO ELECTRICO "/>
    <x v="2"/>
    <n v="0"/>
    <n v="6.21"/>
    <d v="2022-05-25T00:00:00"/>
    <x v="0"/>
  </r>
  <r>
    <s v="Áreas_bienestar"/>
    <x v="0"/>
    <x v="2"/>
    <x v="10"/>
    <m/>
    <n v="5"/>
    <x v="12"/>
    <s v="Vicerrectoría Administrativa Financiera "/>
    <s v="DEPOSITO Y ASEO 2"/>
    <x v="2"/>
    <n v="0"/>
    <n v="2.79"/>
    <d v="2022-05-25T00:00:00"/>
    <x v="0"/>
  </r>
  <r>
    <s v="Áreas_administración"/>
    <x v="0"/>
    <x v="2"/>
    <x v="10"/>
    <m/>
    <n v="5"/>
    <x v="4"/>
    <s v="Vicerrectoría Administrativa Financiera "/>
    <s v="CUARTO COMUNICACIONES VOZ Y DATOS 2"/>
    <x v="2"/>
    <n v="0"/>
    <n v="6.86"/>
    <d v="2022-05-25T00:00:00"/>
    <x v="0"/>
  </r>
  <r>
    <s v="Áreas_docencia"/>
    <x v="0"/>
    <x v="2"/>
    <x v="10"/>
    <m/>
    <n v="5"/>
    <x v="17"/>
    <s v="Vicerrectoría Administrativa Financiera "/>
    <s v="SALA DE COMPUTO # 1"/>
    <x v="4"/>
    <n v="39"/>
    <n v="92.07"/>
    <d v="2022-05-25T00:00:00"/>
    <x v="0"/>
  </r>
  <r>
    <s v="Áreas_docencia"/>
    <x v="0"/>
    <x v="2"/>
    <x v="10"/>
    <m/>
    <n v="5"/>
    <x v="14"/>
    <s v="Vicerrectoría Administrativa Financiera "/>
    <s v="AULA T 50 CAP 51 PERSONAS "/>
    <x v="4"/>
    <n v="51"/>
    <n v="121.68"/>
    <d v="2022-05-25T00:00:00"/>
    <x v="0"/>
  </r>
  <r>
    <s v="Áreas_docencia"/>
    <x v="0"/>
    <x v="2"/>
    <x v="10"/>
    <m/>
    <n v="5"/>
    <x v="14"/>
    <s v="Vicerrectoría Administrativa Financiera "/>
    <s v="AULA T 50 CAP 51 PERSONAS "/>
    <x v="4"/>
    <n v="51"/>
    <n v="121.68"/>
    <d v="2022-05-25T00:00:00"/>
    <x v="0"/>
  </r>
  <r>
    <s v="Áreas_docencia"/>
    <x v="0"/>
    <x v="2"/>
    <x v="10"/>
    <m/>
    <n v="5"/>
    <x v="14"/>
    <s v="Vicerrectoría Administrativa Financiera "/>
    <s v="AULA T 50 CAP 51 PERSONAS "/>
    <x v="4"/>
    <n v="51"/>
    <n v="122.68"/>
    <d v="2022-05-25T00:00:00"/>
    <x v="0"/>
  </r>
  <r>
    <s v="Áreas_docencia"/>
    <x v="0"/>
    <x v="2"/>
    <x v="10"/>
    <m/>
    <n v="5"/>
    <x v="17"/>
    <s v="Vicerrectoría Administrativa Financiera "/>
    <s v="SALA DE COMPUTO # 2"/>
    <x v="4"/>
    <n v="49"/>
    <n v="110.28"/>
    <d v="2022-05-25T00:00:00"/>
    <x v="0"/>
  </r>
  <r>
    <s v="Áreas_docencia"/>
    <x v="0"/>
    <x v="2"/>
    <x v="10"/>
    <m/>
    <n v="5"/>
    <x v="14"/>
    <s v="Vicerrectoría Administrativa Financiera "/>
    <s v="AULA T 30 CAP 31 PERSONAS"/>
    <x v="4"/>
    <n v="31"/>
    <n v="76.05"/>
    <d v="2022-05-25T00:00:00"/>
    <x v="0"/>
  </r>
  <r>
    <s v="Áreas_docencia"/>
    <x v="0"/>
    <x v="2"/>
    <x v="10"/>
    <m/>
    <n v="5"/>
    <x v="14"/>
    <s v="Vicerrectoría Administrativa Financiera "/>
    <s v="AULA T 30 CAP 31 PERSONAS"/>
    <x v="4"/>
    <n v="31"/>
    <n v="77.53"/>
    <d v="2022-05-25T00:00:00"/>
    <x v="0"/>
  </r>
  <r>
    <s v="Áreas_docencia"/>
    <x v="0"/>
    <x v="2"/>
    <x v="10"/>
    <m/>
    <n v="5"/>
    <x v="14"/>
    <s v="Vicerrectoría Administrativa Financiera "/>
    <s v="AULA T 30 CAP 31 PERSONAS"/>
    <x v="4"/>
    <n v="31"/>
    <n v="78.19"/>
    <d v="2022-05-25T00:00:00"/>
    <x v="0"/>
  </r>
  <r>
    <s v="Áreas_docencia"/>
    <x v="0"/>
    <x v="2"/>
    <x v="10"/>
    <m/>
    <n v="5"/>
    <x v="14"/>
    <s v="Vicerrectoría Administrativa Financiera "/>
    <s v="AULA T 30 CAP 31 PERSONAS"/>
    <x v="4"/>
    <n v="31"/>
    <n v="78.64"/>
    <d v="2022-05-25T00:00:00"/>
    <x v="0"/>
  </r>
  <r>
    <s v="Áreas_docencia"/>
    <x v="0"/>
    <x v="2"/>
    <x v="10"/>
    <m/>
    <n v="5"/>
    <x v="14"/>
    <s v="Vicerrectoría Administrativa Financiera "/>
    <s v="AULA T 30 CAP 31 PERSONAS"/>
    <x v="4"/>
    <n v="31"/>
    <n v="75.12"/>
    <d v="2022-05-25T00:00:00"/>
    <x v="0"/>
  </r>
  <r>
    <s v="Áreas_Movilidad_Espacios_libres"/>
    <x v="0"/>
    <x v="2"/>
    <x v="10"/>
    <m/>
    <n v="5"/>
    <x v="6"/>
    <s v="Vicerrectoría Administrativa Financiera "/>
    <s v="CIRCULACIONES "/>
    <x v="2"/>
    <n v="0"/>
    <n v="569.33000000000004"/>
    <d v="2022-05-25T00:00:00"/>
    <x v="0"/>
  </r>
  <r>
    <s v="Áreas_bienestar"/>
    <x v="0"/>
    <x v="2"/>
    <x v="10"/>
    <m/>
    <n v="6"/>
    <x v="10"/>
    <s v="Vicerrectoría Administrativa Financiera "/>
    <s v="BAÑOS ESTUDIANTES "/>
    <x v="2"/>
    <n v="6"/>
    <n v="28.66"/>
    <d v="2022-05-25T00:00:00"/>
    <x v="0"/>
  </r>
  <r>
    <s v="Áreas_bienestar"/>
    <x v="0"/>
    <x v="2"/>
    <x v="10"/>
    <m/>
    <n v="6"/>
    <x v="10"/>
    <s v="Vicerrectoría Administrativa Financiera "/>
    <s v="BAÑOS PMR ESTUDIANTES "/>
    <x v="2"/>
    <n v="1"/>
    <n v="9.91"/>
    <d v="2022-05-25T00:00:00"/>
    <x v="0"/>
  </r>
  <r>
    <s v="Áreas_administración"/>
    <x v="0"/>
    <x v="2"/>
    <x v="10"/>
    <m/>
    <n v="6"/>
    <x v="12"/>
    <s v="Vicerrectoría Administrativa Financiera "/>
    <s v="ASEO "/>
    <x v="2"/>
    <n v="0"/>
    <n v="2.11"/>
    <d v="2022-05-25T00:00:00"/>
    <x v="0"/>
  </r>
  <r>
    <s v="Áreas_bienestar"/>
    <x v="0"/>
    <x v="2"/>
    <x v="10"/>
    <m/>
    <n v="6"/>
    <x v="18"/>
    <s v="Vicerrectoría Administrativa Financiera "/>
    <s v="KIOSCO"/>
    <x v="2"/>
    <n v="0"/>
    <n v="27.28"/>
    <d v="2022-05-25T00:00:00"/>
    <x v="0"/>
  </r>
  <r>
    <s v="Áreas_administración"/>
    <x v="0"/>
    <x v="2"/>
    <x v="10"/>
    <m/>
    <n v="6"/>
    <x v="12"/>
    <s v="Vicerrectoría Administrativa Financiera "/>
    <s v="DEPOSITO KIOSCO "/>
    <x v="2"/>
    <n v="0"/>
    <n v="9.34"/>
    <d v="2022-05-25T00:00:00"/>
    <x v="0"/>
  </r>
  <r>
    <s v="Áreas_administración"/>
    <x v="0"/>
    <x v="2"/>
    <x v="10"/>
    <m/>
    <n v="6"/>
    <x v="4"/>
    <s v="Vicerrectoría Administrativa Financiera "/>
    <s v="CUARTO INSPECCION A LA CUBIERTA TIPO 1"/>
    <x v="2"/>
    <n v="0"/>
    <n v="5.74"/>
    <d v="2022-05-25T00:00:00"/>
    <x v="0"/>
  </r>
  <r>
    <s v="Áreas_bienestar"/>
    <x v="0"/>
    <x v="2"/>
    <x v="10"/>
    <m/>
    <n v="6"/>
    <x v="18"/>
    <s v="Vicerrectoría Administrativa Financiera "/>
    <s v="TERRAZA"/>
    <x v="2"/>
    <n v="0"/>
    <n v="221"/>
    <d v="2022-05-25T00:00:00"/>
    <x v="0"/>
  </r>
  <r>
    <s v="Áreas_administración"/>
    <x v="0"/>
    <x v="2"/>
    <x v="10"/>
    <m/>
    <n v="6"/>
    <x v="4"/>
    <s v="Vicerrectoría Administrativa Financiera "/>
    <s v="CUARTO INSPECCION A LA CUBIERTA TIPO 2"/>
    <x v="2"/>
    <n v="0"/>
    <n v="9.59"/>
    <d v="2022-05-25T00:00:00"/>
    <x v="0"/>
  </r>
  <r>
    <s v="Áreas_administración"/>
    <x v="0"/>
    <x v="2"/>
    <x v="10"/>
    <m/>
    <n v="6"/>
    <x v="4"/>
    <s v="Vicerrectoría Administrativa Financiera "/>
    <s v="CUARTO INSPECCION A LA CUBIERTA TIPO 3"/>
    <x v="2"/>
    <n v="0"/>
    <n v="8.2799999999999994"/>
    <d v="2022-05-25T00:00:00"/>
    <x v="0"/>
  </r>
  <r>
    <s v="Áreas_administración"/>
    <x v="0"/>
    <x v="2"/>
    <x v="10"/>
    <m/>
    <n v="6"/>
    <x v="4"/>
    <s v="Vicerrectoría Administrativa Financiera "/>
    <s v="CUARTO INSPECCION ZONAS VERDES TIPO 1"/>
    <x v="2"/>
    <n v="0"/>
    <n v="17.27"/>
    <d v="2022-05-25T00:00:00"/>
    <x v="0"/>
  </r>
  <r>
    <s v="Áreas_administración"/>
    <x v="0"/>
    <x v="2"/>
    <x v="10"/>
    <m/>
    <n v="6"/>
    <x v="4"/>
    <s v="Vicerrectoría Administrativa Financiera "/>
    <s v="CUARTO INSPECCION ZONAS VERDES TIPO 1"/>
    <x v="2"/>
    <n v="0"/>
    <n v="21.36"/>
    <d v="2022-05-25T00:00:00"/>
    <x v="0"/>
  </r>
  <r>
    <s v="Áreas_administración"/>
    <x v="0"/>
    <x v="2"/>
    <x v="10"/>
    <m/>
    <n v="6"/>
    <x v="6"/>
    <s v="Vicerrectoría Administrativa Financiera "/>
    <s v="CIRCULACIONES "/>
    <x v="2"/>
    <n v="0"/>
    <n v="220.87"/>
    <d v="2022-05-25T00:00:00"/>
    <x v="0"/>
  </r>
  <r>
    <s v="Áreas_administración"/>
    <x v="0"/>
    <x v="2"/>
    <x v="10"/>
    <m/>
    <s v="N/A"/>
    <x v="7"/>
    <s v="Vicerrectoría Administrativa Financiera "/>
    <s v="PORTERIA "/>
    <x v="2"/>
    <n v="0"/>
    <n v="14.55"/>
    <d v="2022-05-25T00:00:00"/>
    <x v="0"/>
  </r>
  <r>
    <s v="Áreas_bienestar"/>
    <x v="0"/>
    <x v="2"/>
    <x v="10"/>
    <m/>
    <s v="N/A"/>
    <x v="2"/>
    <s v="Vicerrectoría Administrativa Financiera "/>
    <s v="BAÑO PORTERIA "/>
    <x v="2"/>
    <n v="0"/>
    <n v="3.68"/>
    <d v="2022-05-25T00:00:00"/>
    <x v="0"/>
  </r>
  <r>
    <s v="Áreas_administración"/>
    <x v="0"/>
    <x v="2"/>
    <x v="10"/>
    <m/>
    <s v="N/A"/>
    <x v="4"/>
    <s v="Vicerrectoría Administrativa Financiera "/>
    <s v="CUARTO TECNICO VOZ Y DATOS "/>
    <x v="2"/>
    <n v="0"/>
    <n v="8.69"/>
    <d v="2022-05-25T00:00:00"/>
    <x v="0"/>
  </r>
  <r>
    <s v="Áreas_administración"/>
    <x v="0"/>
    <x v="2"/>
    <x v="10"/>
    <m/>
    <s v="N/A"/>
    <x v="5"/>
    <s v="Vicerrectoría Administrativa Financiera "/>
    <s v="ARCHIVOS RODANTES"/>
    <x v="2"/>
    <n v="0"/>
    <n v="19.11"/>
    <d v="2022-05-25T00:00:00"/>
    <x v="0"/>
  </r>
  <r>
    <s v="Áreas_administración"/>
    <x v="0"/>
    <x v="2"/>
    <x v="10"/>
    <m/>
    <s v="N/A"/>
    <x v="4"/>
    <s v="Vicerrectoría Administrativa Financiera "/>
    <s v="CUARTO ELECTRICO"/>
    <x v="2"/>
    <n v="0"/>
    <n v="12.09"/>
    <d v="2022-05-25T00:00:00"/>
    <x v="0"/>
  </r>
  <r>
    <s v="Áreas_administración"/>
    <x v="0"/>
    <x v="2"/>
    <x v="10"/>
    <m/>
    <s v="N/A"/>
    <x v="12"/>
    <s v="Vicerrectoría Administrativa Financiera "/>
    <s v="DEPOSITO DE ASEO OFICINAS "/>
    <x v="2"/>
    <n v="0"/>
    <n v="5.18"/>
    <d v="2022-05-25T00:00:00"/>
    <x v="0"/>
  </r>
  <r>
    <s v="Áreas_administración"/>
    <x v="0"/>
    <x v="2"/>
    <x v="10"/>
    <m/>
    <s v="N/A"/>
    <x v="4"/>
    <s v="Vicerrectoría Administrativa Financiera "/>
    <s v="CUARTO TECNICO DE COMUNICACIONES "/>
    <x v="2"/>
    <n v="0"/>
    <n v="13.08"/>
    <d v="2022-05-25T00:00:00"/>
    <x v="0"/>
  </r>
  <r>
    <s v="Áreas_Movilidad_Espacios_libres"/>
    <x v="0"/>
    <x v="2"/>
    <x v="10"/>
    <m/>
    <s v="N/A"/>
    <x v="6"/>
    <s v="Vicerrectoría Administrativa Financiera "/>
    <s v="CAFETIN "/>
    <x v="2"/>
    <n v="0"/>
    <n v="4.3"/>
    <d v="2022-05-25T00:00:00"/>
    <x v="0"/>
  </r>
  <r>
    <s v="Áreas_bienestar"/>
    <x v="0"/>
    <x v="2"/>
    <x v="10"/>
    <m/>
    <s v="N/A"/>
    <x v="2"/>
    <s v="Vicerrectoría Administrativa Financiera "/>
    <s v="BAÑO CUARTO TECNICO DE SEGURIDAD Y CONTROL "/>
    <x v="2"/>
    <n v="0"/>
    <n v="5.83"/>
    <d v="2022-05-25T00:00:00"/>
    <x v="0"/>
  </r>
  <r>
    <s v="Áreas_administración"/>
    <x v="0"/>
    <x v="2"/>
    <x v="10"/>
    <m/>
    <s v="N/A"/>
    <x v="4"/>
    <s v="Vicerrectoría Administrativa Financiera "/>
    <s v="CUARTO TECNICO DE SEGURIDAD Y CONTROL "/>
    <x v="2"/>
    <n v="0"/>
    <n v="58.01"/>
    <d v="2022-05-25T00:00:00"/>
    <x v="0"/>
  </r>
  <r>
    <s v="Áreas_administración"/>
    <x v="0"/>
    <x v="2"/>
    <x v="10"/>
    <m/>
    <s v="N/A"/>
    <x v="0"/>
    <s v="Vicerrectoría Administrativa Financiera "/>
    <s v="OFICINAS AUXILIARES CAP 22 PERSONAS "/>
    <x v="2"/>
    <n v="22"/>
    <n v="92.71"/>
    <d v="2022-05-25T00:00:00"/>
    <x v="0"/>
  </r>
  <r>
    <s v="Áreas_administración"/>
    <x v="0"/>
    <x v="2"/>
    <x v="10"/>
    <m/>
    <s v="N/A"/>
    <x v="0"/>
    <s v="Vicerrectoría Administrativa Financiera "/>
    <s v="CAJA "/>
    <x v="2"/>
    <n v="4"/>
    <n v="8.0399999999999991"/>
    <d v="2022-05-25T00:00:00"/>
    <x v="0"/>
  </r>
  <r>
    <s v="Áreas_administración"/>
    <x v="0"/>
    <x v="2"/>
    <x v="10"/>
    <m/>
    <s v="N/A"/>
    <x v="0"/>
    <s v="Vicerrectoría Administrativa Financiera "/>
    <s v="SALON REUNIONES "/>
    <x v="0"/>
    <n v="10"/>
    <n v="12.64"/>
    <d v="2022-05-25T00:00:00"/>
    <x v="0"/>
  </r>
  <r>
    <s v="Áreas_administración"/>
    <x v="0"/>
    <x v="2"/>
    <x v="10"/>
    <m/>
    <s v="N/A"/>
    <x v="9"/>
    <s v="Vicerrectoría Administrativa Financiera "/>
    <s v="RECEPCION Y SALA DE ESPERA CAP 10 PERSONAS "/>
    <x v="0"/>
    <n v="10"/>
    <n v="45.97"/>
    <d v="2022-05-25T00:00:00"/>
    <x v="0"/>
  </r>
  <r>
    <s v="Áreas_administración"/>
    <x v="0"/>
    <x v="2"/>
    <x v="10"/>
    <m/>
    <s v="N/A"/>
    <x v="0"/>
    <s v="Vicerrectoría Administrativa Financiera "/>
    <s v="OFICINA COORDINADOR "/>
    <x v="0"/>
    <n v="0"/>
    <n v="18.34"/>
    <d v="2022-05-25T00:00:00"/>
    <x v="0"/>
  </r>
  <r>
    <s v="Áreas_administración"/>
    <x v="0"/>
    <x v="2"/>
    <x v="10"/>
    <m/>
    <s v="N/A"/>
    <x v="23"/>
    <s v="Vicerrectoría Administrativa Financiera "/>
    <s v="COCINETA"/>
    <x v="0"/>
    <n v="0"/>
    <n v="6.46"/>
    <d v="2022-05-25T00:00:00"/>
    <x v="0"/>
  </r>
  <r>
    <s v="Áreas_Movilidad_Espacios_libres"/>
    <x v="0"/>
    <x v="2"/>
    <x v="10"/>
    <m/>
    <s v="N/A"/>
    <x v="6"/>
    <s v="Vicerrectoría Administrativa Financiera "/>
    <s v="SALA DE JUNTAS CAP 13 PERSONAS "/>
    <x v="0"/>
    <n v="13"/>
    <n v="38.11"/>
    <d v="2022-05-25T00:00:00"/>
    <x v="0"/>
  </r>
  <r>
    <s v="Áreas_administración"/>
    <x v="0"/>
    <x v="2"/>
    <x v="10"/>
    <m/>
    <s v="N/A"/>
    <x v="0"/>
    <s v="Vicerrectoría Administrativa Financiera "/>
    <s v="SECRETARIA CAP 3 PERSONAS"/>
    <x v="0"/>
    <n v="3"/>
    <n v="15.5"/>
    <d v="2022-05-25T00:00:00"/>
    <x v="0"/>
  </r>
  <r>
    <s v="Áreas_administración"/>
    <x v="0"/>
    <x v="2"/>
    <x v="10"/>
    <m/>
    <s v="N/A"/>
    <x v="0"/>
    <s v="Vicerrectoría Administrativa Financiera "/>
    <s v="OFICINA RECTOR "/>
    <x v="0"/>
    <n v="3"/>
    <n v="24.64"/>
    <d v="2022-05-25T00:00:00"/>
    <x v="0"/>
  </r>
  <r>
    <s v="Áreas_administración"/>
    <x v="0"/>
    <x v="2"/>
    <x v="10"/>
    <m/>
    <s v="N/A"/>
    <x v="0"/>
    <s v="Vicerrectoría Administrativa Financiera "/>
    <s v="GUARDAROPA RECTOR "/>
    <x v="0"/>
    <n v="0"/>
    <n v="5.4"/>
    <d v="2022-05-25T00:00:00"/>
    <x v="0"/>
  </r>
  <r>
    <s v="Áreas_bienestar"/>
    <x v="0"/>
    <x v="2"/>
    <x v="10"/>
    <m/>
    <s v="N/A"/>
    <x v="2"/>
    <s v="Vicerrectoría Administrativa Financiera "/>
    <s v="BAÑO OFICINA RECTOR "/>
    <x v="0"/>
    <n v="1"/>
    <n v="4.66"/>
    <d v="2022-05-25T00:00:00"/>
    <x v="0"/>
  </r>
  <r>
    <s v="Áreas_administración"/>
    <x v="0"/>
    <x v="2"/>
    <x v="10"/>
    <m/>
    <s v="N/A"/>
    <x v="0"/>
    <s v="Vicerrectoría Administrativa Financiera "/>
    <s v="OFICINA ADMINISTRADOR "/>
    <x v="0"/>
    <n v="3"/>
    <n v="16.350000000000001"/>
    <d v="2022-05-25T00:00:00"/>
    <x v="0"/>
  </r>
  <r>
    <s v="Áreas_bienestar"/>
    <x v="0"/>
    <x v="2"/>
    <x v="10"/>
    <m/>
    <s v="N/A"/>
    <x v="2"/>
    <s v="Vicerrectoría Administrativa Financiera "/>
    <s v="BAÑO OFICINA ADMINISTRADOR "/>
    <x v="2"/>
    <n v="0"/>
    <n v="2.61"/>
    <d v="2022-05-25T00:00:00"/>
    <x v="0"/>
  </r>
  <r>
    <s v="Áreas_Movilidad_Espacios_libres"/>
    <x v="0"/>
    <x v="2"/>
    <x v="10"/>
    <m/>
    <s v="N/A"/>
    <x v="6"/>
    <s v="Vicerrectoría Administrativa Financiera "/>
    <s v="CIRCULACION ADMINISTRATIVA "/>
    <x v="0"/>
    <n v="0"/>
    <n v="108.47"/>
    <d v="2022-05-25T00:00:00"/>
    <x v="0"/>
  </r>
  <r>
    <s v="Áreas_bienestar"/>
    <x v="0"/>
    <x v="2"/>
    <x v="10"/>
    <m/>
    <s v="N/A"/>
    <x v="2"/>
    <s v="Vicerrectoría Administrativa Financiera "/>
    <s v="BAÑOS HOMBRES TIPO 1"/>
    <x v="2"/>
    <n v="3"/>
    <n v="21.13"/>
    <d v="2022-05-25T00:00:00"/>
    <x v="0"/>
  </r>
  <r>
    <s v="Áreas_bienestar"/>
    <x v="0"/>
    <x v="2"/>
    <x v="10"/>
    <m/>
    <s v="N/A"/>
    <x v="2"/>
    <s v="Vicerrectoría Administrativa Financiera "/>
    <s v="BAÑOS MUJERES TIPO 1"/>
    <x v="2"/>
    <n v="3"/>
    <n v="24.53"/>
    <d v="2022-05-25T00:00:00"/>
    <x v="0"/>
  </r>
  <r>
    <s v="Áreas_administración"/>
    <x v="0"/>
    <x v="2"/>
    <x v="10"/>
    <m/>
    <s v="N/A"/>
    <x v="2"/>
    <s v="Vicerrectoría Administrativa Financiera "/>
    <s v="BAÑO PMR TIPO 1"/>
    <x v="2"/>
    <n v="1"/>
    <n v="7.38"/>
    <d v="2022-05-25T00:00:00"/>
    <x v="0"/>
  </r>
  <r>
    <s v="Áreas_administración"/>
    <x v="0"/>
    <x v="2"/>
    <x v="10"/>
    <m/>
    <s v="N/A"/>
    <x v="12"/>
    <s v="Vicerrectoría Administrativa Financiera "/>
    <s v="ASEO"/>
    <x v="2"/>
    <n v="0"/>
    <n v="2.89"/>
    <d v="2022-05-25T00:00:00"/>
    <x v="0"/>
  </r>
  <r>
    <s v="Áreas_administración"/>
    <x v="0"/>
    <x v="2"/>
    <x v="10"/>
    <m/>
    <s v="N/A"/>
    <x v="23"/>
    <s v="Vicerrectoría Administrativa Financiera "/>
    <s v="RESTAURANTE CAP 228 PERSONAS"/>
    <x v="0"/>
    <n v="228"/>
    <n v="389.73"/>
    <d v="2022-05-25T00:00:00"/>
    <x v="0"/>
  </r>
  <r>
    <s v="Áreas_bienestar"/>
    <x v="0"/>
    <x v="2"/>
    <x v="10"/>
    <m/>
    <s v="N/A"/>
    <x v="2"/>
    <s v="Vicerrectoría Administrativa Financiera "/>
    <s v="BAÑOS TIPO 2"/>
    <x v="2"/>
    <n v="3"/>
    <n v="17.36"/>
    <d v="2022-05-25T00:00:00"/>
    <x v="0"/>
  </r>
  <r>
    <s v="Áreas_bienestar"/>
    <x v="0"/>
    <x v="2"/>
    <x v="10"/>
    <m/>
    <s v="N/A"/>
    <x v="2"/>
    <s v="Vicerrectoría Administrativa Financiera "/>
    <s v="BAÑOS TIPO 2"/>
    <x v="2"/>
    <n v="3"/>
    <n v="17.36"/>
    <d v="2022-05-25T00:00:00"/>
    <x v="0"/>
  </r>
  <r>
    <s v="Áreas_bienestar"/>
    <x v="0"/>
    <x v="2"/>
    <x v="10"/>
    <m/>
    <s v="N/A"/>
    <x v="2"/>
    <s v="Vicerrectoría Administrativa Financiera "/>
    <s v="BAÑO PMR TIPO 2"/>
    <x v="2"/>
    <n v="1"/>
    <n v="8.89"/>
    <d v="2022-05-25T00:00:00"/>
    <x v="0"/>
  </r>
  <r>
    <s v="Áreas_administración"/>
    <x v="0"/>
    <x v="2"/>
    <x v="10"/>
    <m/>
    <s v="N/A"/>
    <x v="4"/>
    <s v="Vicerrectoría Administrativa Financiera "/>
    <s v="CUARTO TECNICO VOZ Y DATOS "/>
    <x v="2"/>
    <n v="0"/>
    <n v="14.59"/>
    <d v="2022-05-25T00:00:00"/>
    <x v="0"/>
  </r>
  <r>
    <s v="Áreas_administración"/>
    <x v="0"/>
    <x v="2"/>
    <x v="10"/>
    <m/>
    <s v="N/A"/>
    <x v="12"/>
    <s v="Vicerrectoría Administrativa Financiera "/>
    <s v="ASEO "/>
    <x v="2"/>
    <n v="0"/>
    <n v="2.6"/>
    <d v="2022-05-25T00:00:00"/>
    <x v="0"/>
  </r>
  <r>
    <s v="Áreas_administración"/>
    <x v="0"/>
    <x v="2"/>
    <x v="10"/>
    <m/>
    <s v="N/A"/>
    <x v="4"/>
    <s v="Vicerrectoría Administrativa Financiera "/>
    <s v="CAURTO DE CONTROL SALA DE CONFERENCIAS"/>
    <x v="2"/>
    <n v="0"/>
    <n v="13.88"/>
    <d v="2022-05-25T00:00:00"/>
    <x v="0"/>
  </r>
  <r>
    <s v="Áreas_administración"/>
    <x v="0"/>
    <x v="2"/>
    <x v="10"/>
    <m/>
    <s v="N/A"/>
    <x v="4"/>
    <s v="Vicerrectoría Administrativa Financiera "/>
    <s v="CONTROL SALA DE CONFERENCIAS "/>
    <x v="2"/>
    <n v="0"/>
    <n v="11.51"/>
    <d v="2022-05-25T00:00:00"/>
    <x v="0"/>
  </r>
  <r>
    <s v="Áreas_administración"/>
    <x v="0"/>
    <x v="2"/>
    <x v="10"/>
    <m/>
    <s v="N/A"/>
    <x v="12"/>
    <s v="Vicerrectoría Administrativa Financiera "/>
    <s v="ASEO"/>
    <x v="2"/>
    <n v="0"/>
    <n v="6.46"/>
    <d v="2022-05-25T00:00:00"/>
    <x v="0"/>
  </r>
  <r>
    <s v="Áreas_bienestar"/>
    <x v="0"/>
    <x v="2"/>
    <x v="10"/>
    <m/>
    <s v="N/A"/>
    <x v="2"/>
    <s v="Vicerrectoría Administrativa Financiera "/>
    <s v="BAÑOS MUJERES TIPO 3 "/>
    <x v="2"/>
    <n v="0"/>
    <n v="19.72"/>
    <d v="2022-05-25T00:00:00"/>
    <x v="0"/>
  </r>
  <r>
    <s v="Áreas_bienestar"/>
    <x v="0"/>
    <x v="2"/>
    <x v="10"/>
    <m/>
    <s v="N/A"/>
    <x v="2"/>
    <s v="Vicerrectoría Administrativa Financiera "/>
    <s v="BAÑOS HOMBRES TIPO 3"/>
    <x v="2"/>
    <n v="0"/>
    <n v="24.34"/>
    <d v="2022-05-25T00:00:00"/>
    <x v="0"/>
  </r>
  <r>
    <s v="Áreas_bienestar"/>
    <x v="0"/>
    <x v="2"/>
    <x v="10"/>
    <m/>
    <s v="N/A"/>
    <x v="2"/>
    <s v="Vicerrectoría Administrativa Financiera "/>
    <s v="BAÑO PMR TIPO 3"/>
    <x v="2"/>
    <n v="0"/>
    <n v="8.1"/>
    <d v="2022-05-25T00:00:00"/>
    <x v="0"/>
  </r>
  <r>
    <s v="Áreas_administración"/>
    <x v="0"/>
    <x v="2"/>
    <x v="10"/>
    <m/>
    <s v="N/A"/>
    <x v="23"/>
    <s v="Vicerrectoría Administrativa Financiera "/>
    <s v="CAFERETIA CAP 254 PERSONAS "/>
    <x v="2"/>
    <n v="254"/>
    <n v="435.18"/>
    <d v="2022-05-25T00:00:00"/>
    <x v="0"/>
  </r>
  <r>
    <s v="Áreas_Movilidad_Espacios_libres"/>
    <x v="0"/>
    <x v="2"/>
    <x v="10"/>
    <m/>
    <s v="N/A"/>
    <x v="6"/>
    <s v="Vicerrectoría Administrativa Financiera "/>
    <s v="CIRCULACIONES "/>
    <x v="2"/>
    <n v="0"/>
    <n v="1550.72"/>
    <d v="2022-05-25T00:00:00"/>
    <x v="0"/>
  </r>
  <r>
    <s v="Áreas_administración"/>
    <x v="0"/>
    <x v="2"/>
    <x v="10"/>
    <m/>
    <s v="N/A"/>
    <x v="29"/>
    <s v="Vicerrectoría Administrativa Financiera "/>
    <s v="PISCINA "/>
    <x v="2"/>
    <n v="0"/>
    <n v="1469.4"/>
    <d v="2022-05-25T00:00:00"/>
    <x v="0"/>
  </r>
  <r>
    <s v="Áreas_administración"/>
    <x v="0"/>
    <x v="2"/>
    <x v="10"/>
    <m/>
    <s v="N/A"/>
    <x v="29"/>
    <s v="Vicerrectoría Administrativa Financiera "/>
    <s v="DEPOSITO IMPLEMENTOS DEPORTIVOS "/>
    <x v="2"/>
    <n v="0"/>
    <n v="8.1300000000000008"/>
    <d v="2022-05-25T00:00:00"/>
    <x v="0"/>
  </r>
  <r>
    <s v="Áreas_administración"/>
    <x v="0"/>
    <x v="2"/>
    <x v="10"/>
    <m/>
    <s v="N/A"/>
    <x v="10"/>
    <s v="Vicerrectoría Administrativa Financiera "/>
    <s v="BATERIA SANITARIA NIÑOS- NIÑAS"/>
    <x v="2"/>
    <n v="0"/>
    <n v="122.66"/>
    <d v="2022-05-25T00:00:00"/>
    <x v="0"/>
  </r>
  <r>
    <s v="Áreas_administración"/>
    <x v="0"/>
    <x v="2"/>
    <x v="10"/>
    <m/>
    <s v="N/A"/>
    <x v="10"/>
    <s v="Vicerrectoría Administrativa Financiera "/>
    <s v="BATERIA SANITARIA HOMBRES- MUJERES"/>
    <x v="2"/>
    <n v="0"/>
    <n v="123.06"/>
    <d v="2022-05-25T00:00:00"/>
    <x v="0"/>
  </r>
  <r>
    <s v="Áreas_administración"/>
    <x v="0"/>
    <x v="2"/>
    <x v="10"/>
    <m/>
    <s v="N/A"/>
    <x v="10"/>
    <s v="Vicerrectoría Administrativa Financiera "/>
    <s v="BAÑO DE INSTRUCTUTORES"/>
    <x v="2"/>
    <n v="0"/>
    <n v="13.25"/>
    <d v="2022-05-25T00:00:00"/>
    <x v="0"/>
  </r>
  <r>
    <s v="Áreas_administración"/>
    <x v="0"/>
    <x v="2"/>
    <x v="10"/>
    <m/>
    <s v="N/A"/>
    <x v="10"/>
    <s v="Vicerrectoría Administrativa Financiera "/>
    <s v="BAÑO PMR"/>
    <x v="2"/>
    <n v="0"/>
    <n v="14.1"/>
    <d v="2022-05-25T00:00:00"/>
    <x v="0"/>
  </r>
  <r>
    <s v="Áreas_administración"/>
    <x v="0"/>
    <x v="2"/>
    <x v="10"/>
    <m/>
    <s v="N/A"/>
    <x v="10"/>
    <s v="Vicerrectoría Administrativa Financiera "/>
    <s v="BAÑO PMR"/>
    <x v="2"/>
    <n v="0"/>
    <n v="14.1"/>
    <d v="2022-05-25T00:00:00"/>
    <x v="0"/>
  </r>
  <r>
    <s v="Áreas_administración"/>
    <x v="0"/>
    <x v="2"/>
    <x v="10"/>
    <m/>
    <s v="N/A"/>
    <x v="9"/>
    <s v="Vicerrectoría Administrativa Financiera "/>
    <s v="HALL, SALA DE ESPERA Y RECEPCION "/>
    <x v="2"/>
    <n v="0"/>
    <n v="90.91"/>
    <d v="2022-05-25T00:00:00"/>
    <x v="0"/>
  </r>
  <r>
    <s v="Áreas_administración"/>
    <x v="0"/>
    <x v="2"/>
    <x v="10"/>
    <m/>
    <s v="N/A"/>
    <x v="0"/>
    <s v="Vicerrectoría Administrativa Financiera "/>
    <s v="PRIMEROS AUXILIOS"/>
    <x v="2"/>
    <n v="0"/>
    <n v="14.77"/>
    <d v="2022-05-25T00:00:00"/>
    <x v="0"/>
  </r>
  <r>
    <s v="Áreas_administración"/>
    <x v="0"/>
    <x v="2"/>
    <x v="10"/>
    <m/>
    <s v="N/A"/>
    <x v="0"/>
    <s v="Vicerrectoría Administrativa Financiera "/>
    <s v="OFICINA ADMINISTRACION "/>
    <x v="2"/>
    <n v="0"/>
    <n v="8.65"/>
    <d v="2022-05-25T00:00:00"/>
    <x v="0"/>
  </r>
  <r>
    <s v="Áreas_administración"/>
    <x v="0"/>
    <x v="2"/>
    <x v="10"/>
    <m/>
    <s v="N/A"/>
    <x v="0"/>
    <s v="Vicerrectoría Administrativa Financiera "/>
    <s v="CONSULTORIO "/>
    <x v="2"/>
    <n v="0"/>
    <n v="9.24"/>
    <d v="2022-05-25T00:00:00"/>
    <x v="0"/>
  </r>
  <r>
    <s v="Áreas_administración"/>
    <x v="0"/>
    <x v="2"/>
    <x v="10"/>
    <m/>
    <s v="N/A"/>
    <x v="11"/>
    <s v="Vicerrectoría Administrativa Financiera "/>
    <s v="ASEO"/>
    <x v="2"/>
    <n v="0"/>
    <n v="2.78"/>
    <d v="2022-05-25T00:00:00"/>
    <x v="0"/>
  </r>
  <r>
    <s v="Áreas_administración"/>
    <x v="0"/>
    <x v="2"/>
    <x v="10"/>
    <m/>
    <s v="N/A"/>
    <x v="4"/>
    <s v="Vicerrectoría Administrativa Financiera "/>
    <s v="CALEFACCION CALENTADORES INDUSTRIALES A GAS"/>
    <x v="2"/>
    <n v="0"/>
    <n v="22.47"/>
    <d v="2022-05-25T00:00:00"/>
    <x v="0"/>
  </r>
  <r>
    <s v="Áreas_administración"/>
    <x v="0"/>
    <x v="2"/>
    <x v="10"/>
    <m/>
    <s v="N/A"/>
    <x v="0"/>
    <s v="Vicerrectoría Administrativa Financiera "/>
    <s v="ESPACIO DISPONIBLE "/>
    <x v="2"/>
    <n v="0"/>
    <n v="21.82"/>
    <d v="2022-05-25T00:00:00"/>
    <x v="0"/>
  </r>
  <r>
    <s v="Áreas_administración"/>
    <x v="0"/>
    <x v="2"/>
    <x v="10"/>
    <m/>
    <s v="N/A"/>
    <x v="6"/>
    <s v="Vicerrectoría Administrativa Financiera "/>
    <s v="CIRCULACIONES"/>
    <x v="2"/>
    <n v="0"/>
    <n v="166.03"/>
    <d v="2022-05-25T00:00:00"/>
    <x v="0"/>
  </r>
  <r>
    <s v="Áreas_administración"/>
    <x v="0"/>
    <x v="2"/>
    <x v="10"/>
    <m/>
    <s v="N/A"/>
    <x v="4"/>
    <s v="Vicerrectoría Administrativa Financiera "/>
    <s v="CUARTO TECNICO "/>
    <x v="2"/>
    <n v="0"/>
    <n v="12.22"/>
    <d v="2022-05-25T00:00:00"/>
    <x v="0"/>
  </r>
  <r>
    <s v="Áreas_administración"/>
    <x v="0"/>
    <x v="2"/>
    <x v="10"/>
    <m/>
    <s v="N/A"/>
    <x v="2"/>
    <s v="Vicerrectoría Administrativa Financiera "/>
    <s v="BAÑOS HOMBRES Y MUJERES "/>
    <x v="2"/>
    <n v="0"/>
    <n v="28.33"/>
    <d v="2022-05-25T00:00:00"/>
    <x v="0"/>
  </r>
  <r>
    <s v="Áreas_administración"/>
    <x v="0"/>
    <x v="2"/>
    <x v="10"/>
    <m/>
    <s v="N/A"/>
    <x v="11"/>
    <s v="Vicerrectoría Administrativa Financiera "/>
    <s v="ASEO "/>
    <x v="2"/>
    <n v="0"/>
    <n v="6.24"/>
    <d v="2022-05-25T00:00:00"/>
    <x v="0"/>
  </r>
  <r>
    <s v="Áreas_administración"/>
    <x v="0"/>
    <x v="2"/>
    <x v="10"/>
    <m/>
    <s v="N/A"/>
    <x v="4"/>
    <s v="Vicerrectoría Administrativa Financiera "/>
    <s v="CUARTO ELECTRICO "/>
    <x v="2"/>
    <n v="0"/>
    <n v="29.62"/>
    <d v="2022-05-25T00:00:00"/>
    <x v="0"/>
  </r>
  <r>
    <s v="Áreas_administración"/>
    <x v="0"/>
    <x v="2"/>
    <x v="10"/>
    <m/>
    <s v="N/A"/>
    <x v="4"/>
    <s v="Vicerrectoría Administrativa Financiera "/>
    <s v="CAURTO TECNICO REDES"/>
    <x v="2"/>
    <n v="0"/>
    <n v="34.270000000000003"/>
    <d v="2022-05-25T00:00:00"/>
    <x v="0"/>
  </r>
  <r>
    <s v="Áreas_administración"/>
    <x v="0"/>
    <x v="2"/>
    <x v="10"/>
    <m/>
    <s v="N/A"/>
    <x v="6"/>
    <s v="Vicerrectoría Administrativa Financiera "/>
    <s v="CIRCULACIONES"/>
    <x v="2"/>
    <n v="0"/>
    <n v="309.87"/>
    <d v="2022-05-25T00:00:00"/>
    <x v="0"/>
  </r>
  <r>
    <s v="Áreas_administración"/>
    <x v="0"/>
    <x v="2"/>
    <x v="10"/>
    <m/>
    <s v="N/A"/>
    <x v="6"/>
    <s v="Vicerrectoría Administrativa Financiera "/>
    <s v="AREA DE GRADERIA "/>
    <x v="2"/>
    <n v="0"/>
    <n v="227.17"/>
    <d v="2022-05-25T00:00:00"/>
    <x v="0"/>
  </r>
  <r>
    <s v="Áreas_administración"/>
    <x v="0"/>
    <x v="2"/>
    <x v="10"/>
    <m/>
    <s v="N/A"/>
    <x v="6"/>
    <s v="Vicerrectoría Administrativa Financiera "/>
    <s v="CIRCULACIONES"/>
    <x v="2"/>
    <n v="0"/>
    <n v="231.32"/>
    <d v="2022-05-25T00:00:00"/>
    <x v="0"/>
  </r>
  <r>
    <s v="Áreas_administración"/>
    <x v="0"/>
    <x v="2"/>
    <x v="10"/>
    <m/>
    <s v="N/A"/>
    <x v="6"/>
    <s v="Vicerrectoría Administrativa Financiera "/>
    <s v="CUARTO TECNICO MANTENIMIENTO CANCHAS "/>
    <x v="2"/>
    <n v="0"/>
    <n v="19.73"/>
    <d v="2022-05-25T00:00:00"/>
    <x v="0"/>
  </r>
  <r>
    <s v="Áreas_administración"/>
    <x v="0"/>
    <x v="2"/>
    <x v="10"/>
    <m/>
    <s v="N/A"/>
    <x v="4"/>
    <s v="Vicerrectoría Administrativa Financiera "/>
    <s v="CUARTO TECNICO"/>
    <x v="2"/>
    <n v="0"/>
    <n v="9.89"/>
    <d v="2022-05-25T00:00:00"/>
    <x v="0"/>
  </r>
  <r>
    <s v="Áreas_administración"/>
    <x v="0"/>
    <x v="2"/>
    <x v="10"/>
    <m/>
    <s v="N/A"/>
    <x v="11"/>
    <s v="Vicerrectoría Administrativa Financiera "/>
    <s v="DEPOSITO Y ASEO"/>
    <x v="2"/>
    <n v="0"/>
    <n v="4.66"/>
    <d v="2022-05-25T00:00:00"/>
    <x v="0"/>
  </r>
  <r>
    <s v="Áreas_administración"/>
    <x v="0"/>
    <x v="2"/>
    <x v="10"/>
    <m/>
    <s v="N/A"/>
    <x v="11"/>
    <s v="Vicerrectoría Administrativa Financiera "/>
    <s v="CUARTO TECNICO GAS"/>
    <x v="2"/>
    <n v="0"/>
    <n v="4.76"/>
    <d v="2022-05-25T00:00:00"/>
    <x v="0"/>
  </r>
  <r>
    <s v="Áreas_administración"/>
    <x v="0"/>
    <x v="2"/>
    <x v="10"/>
    <m/>
    <s v="N/A"/>
    <x v="11"/>
    <s v="Vicerrectoría Administrativa Financiera "/>
    <s v="VESTUARIO LOCKERS Y DUCHAS "/>
    <x v="2"/>
    <n v="0"/>
    <n v="71.680000000000007"/>
    <d v="2022-05-25T00:00:00"/>
    <x v="0"/>
  </r>
  <r>
    <s v="Áreas_administración"/>
    <x v="0"/>
    <x v="2"/>
    <x v="10"/>
    <m/>
    <s v="N/A"/>
    <x v="2"/>
    <s v="Vicerrectoría Administrativa Financiera "/>
    <s v="BAÑOS ALBITROS"/>
    <x v="2"/>
    <n v="0"/>
    <n v="14.48"/>
    <d v="2022-05-25T00:00:00"/>
    <x v="0"/>
  </r>
  <r>
    <s v="Áreas_administración"/>
    <x v="0"/>
    <x v="2"/>
    <x v="10"/>
    <m/>
    <s v="N/A"/>
    <x v="6"/>
    <s v="Vicerrectoría Administrativa Financiera "/>
    <s v="DUCHAS Y LOCKERS ARBITROS"/>
    <x v="2"/>
    <n v="0"/>
    <n v="13.86"/>
    <d v="2022-05-25T00:00:00"/>
    <x v="0"/>
  </r>
  <r>
    <s v="Áreas_Movilidad_Espacios_libres"/>
    <x v="0"/>
    <x v="2"/>
    <x v="10"/>
    <m/>
    <s v="N/A"/>
    <x v="6"/>
    <s v="Vicerrectoría Administrativa Financiera "/>
    <s v="CIRCULACIONES"/>
    <x v="2"/>
    <n v="0"/>
    <n v="258.43"/>
    <d v="2022-05-25T00:00:00"/>
    <x v="0"/>
  </r>
  <r>
    <s v="Áreas_administración"/>
    <x v="0"/>
    <x v="2"/>
    <x v="10"/>
    <m/>
    <s v="N/A"/>
    <x v="29"/>
    <s v="Vicerrectoría Administrativa Financiera "/>
    <s v="AREA DE CANCHA"/>
    <x v="2"/>
    <n v="0"/>
    <n v="739.18"/>
    <d v="2022-05-25T00:00:00"/>
    <x v="0"/>
  </r>
  <r>
    <s v="Áreas_administración"/>
    <x v="0"/>
    <x v="2"/>
    <x v="10"/>
    <m/>
    <s v="N/A"/>
    <x v="29"/>
    <s v="Vicerrectoría Administrativa Financiera "/>
    <s v="BAÑOS MIXTOS DEPORTISTAS POLIDEPORTIVO "/>
    <x v="2"/>
    <n v="0"/>
    <n v="32.64"/>
    <d v="2022-05-25T00:00:00"/>
    <x v="0"/>
  </r>
  <r>
    <s v="Áreas_administración"/>
    <x v="0"/>
    <x v="2"/>
    <x v="10"/>
    <m/>
    <s v="N/A"/>
    <x v="29"/>
    <s v="Vicerrectoría Administrativa Financiera "/>
    <s v="BAÑOS MIXTOS DEPORTISTAS POLIDEPORTIVO "/>
    <x v="2"/>
    <n v="0"/>
    <n v="32.64"/>
    <d v="2022-05-25T00:00:00"/>
    <x v="0"/>
  </r>
  <r>
    <s v="Áreas_administración"/>
    <x v="0"/>
    <x v="2"/>
    <x v="10"/>
    <m/>
    <s v="N/A"/>
    <x v="29"/>
    <s v="Vicerrectoría Administrativa Financiera "/>
    <s v="BAÑOS DEPOTISTAS CANCHAS EXT"/>
    <x v="2"/>
    <n v="0"/>
    <n v="36"/>
    <d v="2022-05-25T00:00:00"/>
    <x v="0"/>
  </r>
  <r>
    <s v="Áreas_administración"/>
    <x v="0"/>
    <x v="2"/>
    <x v="10"/>
    <m/>
    <s v="N/A"/>
    <x v="29"/>
    <s v="Vicerrectoría Administrativa Financiera "/>
    <s v="BAÑOS DEPOTISTAS CANCHAS EXT"/>
    <x v="2"/>
    <n v="0"/>
    <n v="36"/>
    <d v="2022-05-25T00:00:00"/>
    <x v="0"/>
  </r>
  <r>
    <s v="Áreas_administración"/>
    <x v="0"/>
    <x v="2"/>
    <x v="10"/>
    <m/>
    <s v="N/A"/>
    <x v="29"/>
    <s v="Vicerrectoría Administrativa Financiera "/>
    <s v="ASEO TIPO 1"/>
    <x v="2"/>
    <n v="0"/>
    <n v="3.81"/>
    <d v="2022-05-25T00:00:00"/>
    <x v="0"/>
  </r>
  <r>
    <s v="Áreas_administración"/>
    <x v="0"/>
    <x v="2"/>
    <x v="10"/>
    <m/>
    <s v="N/A"/>
    <x v="29"/>
    <s v="Vicerrectoría Administrativa Financiera "/>
    <s v="ASEO TIPO 1"/>
    <x v="2"/>
    <n v="0"/>
    <n v="3.81"/>
    <d v="2022-05-25T00:00:00"/>
    <x v="0"/>
  </r>
  <r>
    <s v="Áreas_administración"/>
    <x v="0"/>
    <x v="2"/>
    <x v="10"/>
    <m/>
    <s v="N/A"/>
    <x v="29"/>
    <s v="Vicerrectoría Administrativa Financiera "/>
    <s v="ASEO TIPO 2"/>
    <x v="2"/>
    <n v="0"/>
    <n v="4.21"/>
    <d v="2022-05-25T00:00:00"/>
    <x v="0"/>
  </r>
  <r>
    <s v="Áreas_administración"/>
    <x v="0"/>
    <x v="2"/>
    <x v="10"/>
    <m/>
    <s v="N/A"/>
    <x v="29"/>
    <s v="Vicerrectoría Administrativa Financiera "/>
    <s v="BAÑO PMR"/>
    <x v="2"/>
    <n v="0"/>
    <n v="8.1"/>
    <d v="2022-05-25T00:00:00"/>
    <x v="0"/>
  </r>
  <r>
    <s v="Áreas_administración"/>
    <x v="0"/>
    <x v="2"/>
    <x v="10"/>
    <m/>
    <s v="N/A"/>
    <x v="29"/>
    <s v="Vicerrectoría Administrativa Financiera "/>
    <s v="VESTIER JUECES"/>
    <x v="2"/>
    <n v="0"/>
    <n v="12.3"/>
    <d v="2022-05-25T00:00:00"/>
    <x v="0"/>
  </r>
  <r>
    <s v="Áreas_administración"/>
    <x v="0"/>
    <x v="2"/>
    <x v="10"/>
    <m/>
    <s v="N/A"/>
    <x v="29"/>
    <s v="Vicerrectoría Administrativa Financiera "/>
    <s v="DEPOSITO DE IMPLEMENTOS DEPORTIVOS TIPO 1"/>
    <x v="2"/>
    <n v="0"/>
    <n v="11"/>
    <d v="2022-05-25T00:00:00"/>
    <x v="0"/>
  </r>
  <r>
    <s v="Áreas_administración"/>
    <x v="0"/>
    <x v="2"/>
    <x v="10"/>
    <m/>
    <s v="N/A"/>
    <x v="29"/>
    <s v="Vicerrectoría Administrativa Financiera "/>
    <s v="DEPOSITO DE IMPLEMENTOS DEPORTIVOS TIPO 2"/>
    <x v="2"/>
    <n v="0"/>
    <n v="19.68"/>
    <d v="2022-05-25T00:00:00"/>
    <x v="0"/>
  </r>
  <r>
    <s v="Áreas_administración"/>
    <x v="0"/>
    <x v="2"/>
    <x v="10"/>
    <m/>
    <s v="N/A"/>
    <x v="29"/>
    <s v="Vicerrectoría Administrativa Financiera "/>
    <s v="CUARTO TECNICO ELECTRICO"/>
    <x v="2"/>
    <n v="0"/>
    <n v="8.73"/>
    <d v="2022-05-25T00:00:00"/>
    <x v="0"/>
  </r>
  <r>
    <s v="Áreas_administración"/>
    <x v="0"/>
    <x v="2"/>
    <x v="10"/>
    <m/>
    <s v="N/A"/>
    <x v="29"/>
    <s v="Vicerrectoría Administrativa Financiera "/>
    <s v="CUARTO TECNICO VOZ Y DATOS "/>
    <x v="2"/>
    <n v="0"/>
    <n v="12.19"/>
    <d v="2022-05-25T00:00:00"/>
    <x v="0"/>
  </r>
  <r>
    <s v="Áreas_administración"/>
    <x v="0"/>
    <x v="2"/>
    <x v="10"/>
    <m/>
    <s v="N/A"/>
    <x v="29"/>
    <s v="Vicerrectoría Administrativa Financiera "/>
    <s v="CUARTO TECNICO HIDRAULICO"/>
    <x v="2"/>
    <n v="0"/>
    <n v="13.04"/>
    <d v="2022-05-25T00:00:00"/>
    <x v="0"/>
  </r>
  <r>
    <s v="Áreas_administración"/>
    <x v="0"/>
    <x v="2"/>
    <x v="10"/>
    <m/>
    <s v="N/A"/>
    <x v="29"/>
    <s v="Vicerrectoría Administrativa Financiera "/>
    <s v="HALL Y CONCENTRACION EQUIPOS "/>
    <x v="2"/>
    <n v="0"/>
    <n v="62.92"/>
    <d v="2022-05-25T00:00:00"/>
    <x v="0"/>
  </r>
  <r>
    <s v="Áreas_administración"/>
    <x v="0"/>
    <x v="2"/>
    <x v="10"/>
    <m/>
    <s v="N/A"/>
    <x v="29"/>
    <s v="Vicerrectoría Administrativa Financiera "/>
    <s v="CIRCULACIONES "/>
    <x v="2"/>
    <n v="0"/>
    <n v="131.97999999999999"/>
    <d v="2022-05-25T00:00:00"/>
    <x v="0"/>
  </r>
  <r>
    <s v="Áreas_administración"/>
    <x v="0"/>
    <x v="2"/>
    <x v="10"/>
    <m/>
    <s v="N/A"/>
    <x v="29"/>
    <s v="Vicerrectoría Administrativa Financiera "/>
    <s v="AREA DE GRADERIA "/>
    <x v="2"/>
    <n v="0"/>
    <n v="90.94"/>
    <d v="2022-05-25T00:00:00"/>
    <x v="0"/>
  </r>
  <r>
    <s v="Áreas_administración"/>
    <x v="0"/>
    <x v="2"/>
    <x v="10"/>
    <m/>
    <s v="N/A"/>
    <x v="29"/>
    <s v="Vicerrectoría Administrativa Financiera "/>
    <s v="TAQUILLA"/>
    <x v="2"/>
    <n v="0"/>
    <n v="12.08"/>
    <d v="2022-05-25T00:00:00"/>
    <x v="0"/>
  </r>
  <r>
    <s v="Áreas_administración"/>
    <x v="0"/>
    <x v="2"/>
    <x v="10"/>
    <m/>
    <s v="N/A"/>
    <x v="29"/>
    <s v="Vicerrectoría Administrativa Financiera "/>
    <s v="ESPACIO DISPONIBLE "/>
    <x v="2"/>
    <n v="0"/>
    <n v="15.02"/>
    <d v="2022-05-25T00:00:00"/>
    <x v="0"/>
  </r>
  <r>
    <s v="Áreas_administración"/>
    <x v="0"/>
    <x v="2"/>
    <x v="10"/>
    <m/>
    <s v="N/A"/>
    <x v="29"/>
    <s v="Vicerrectoría Administrativa Financiera "/>
    <s v="ESPACIO DISPONIBLE "/>
    <x v="2"/>
    <n v="0"/>
    <n v="15.02"/>
    <d v="2022-05-25T00:00:00"/>
    <x v="0"/>
  </r>
  <r>
    <s v="Áreas_administración"/>
    <x v="0"/>
    <x v="2"/>
    <x v="10"/>
    <m/>
    <s v="N/A"/>
    <x v="29"/>
    <s v="Vicerrectoría Administrativa Financiera "/>
    <s v="BATERIA SANITARIA PUBLICA"/>
    <x v="2"/>
    <n v="0"/>
    <n v="22.66"/>
    <d v="2022-05-25T00:00:00"/>
    <x v="0"/>
  </r>
  <r>
    <s v="Áreas_administración"/>
    <x v="0"/>
    <x v="2"/>
    <x v="10"/>
    <m/>
    <s v="N/A"/>
    <x v="29"/>
    <s v="Vicerrectoría Administrativa Financiera "/>
    <s v="BATERIA SANITARIA PUBLICA"/>
    <x v="2"/>
    <n v="0"/>
    <n v="22.66"/>
    <d v="2022-05-25T00:00:00"/>
    <x v="0"/>
  </r>
  <r>
    <s v="Áreas_administración"/>
    <x v="0"/>
    <x v="2"/>
    <x v="10"/>
    <m/>
    <s v="N/A"/>
    <x v="29"/>
    <s v="Vicerrectoría Administrativa Financiera "/>
    <s v="ASEO"/>
    <x v="2"/>
    <n v="0"/>
    <n v="1.63"/>
    <d v="2022-05-25T00:00:00"/>
    <x v="0"/>
  </r>
  <r>
    <s v="Áreas_administración"/>
    <x v="0"/>
    <x v="2"/>
    <x v="10"/>
    <m/>
    <s v="N/A"/>
    <x v="29"/>
    <s v="Vicerrectoría Administrativa Financiera "/>
    <s v="ASEO"/>
    <x v="2"/>
    <n v="0"/>
    <n v="1.63"/>
    <d v="2022-05-25T00:00:00"/>
    <x v="0"/>
  </r>
  <r>
    <s v="Áreas_administración"/>
    <x v="0"/>
    <x v="2"/>
    <x v="10"/>
    <m/>
    <s v="N/A"/>
    <x v="29"/>
    <s v="Vicerrectoría Administrativa Financiera "/>
    <s v="CIRCULACIONES "/>
    <x v="2"/>
    <n v="0"/>
    <n v="207.38"/>
    <d v="2022-05-25T00:00:00"/>
    <x v="0"/>
  </r>
  <r>
    <s v="Áreas_administración"/>
    <x v="0"/>
    <x v="2"/>
    <x v="10"/>
    <m/>
    <s v="N/A"/>
    <x v="29"/>
    <s v="Vicerrectoría Administrativa Financiera "/>
    <s v="AREA DE GRADERIA "/>
    <x v="2"/>
    <n v="0"/>
    <n v="221.21"/>
    <d v="2022-05-25T00:00:00"/>
    <x v="0"/>
  </r>
  <r>
    <s v="Áreas_administración"/>
    <x v="0"/>
    <x v="2"/>
    <x v="10"/>
    <m/>
    <s v="N/A"/>
    <x v="29"/>
    <s v="Vicerrectoría Administrativa Financiera "/>
    <s v="CIRCULACIONES "/>
    <x v="2"/>
    <n v="0"/>
    <n v="142.51"/>
    <d v="2022-05-25T00:00:00"/>
    <x v="0"/>
  </r>
  <r>
    <s v="Áreas_administración"/>
    <x v="0"/>
    <x v="2"/>
    <x v="10"/>
    <m/>
    <s v="N/A"/>
    <x v="29"/>
    <s v="Vicerrectoría Administrativa Financiera "/>
    <s v="PORTERIA "/>
    <x v="2"/>
    <n v="0"/>
    <n v="35.270000000000003"/>
    <d v="2022-05-25T00:00:00"/>
    <x v="0"/>
  </r>
  <r>
    <s v="Áreas_administración"/>
    <x v="0"/>
    <x v="2"/>
    <x v="10"/>
    <m/>
    <s v="N/A"/>
    <x v="29"/>
    <s v="Vicerrectoría Administrativa Financiera "/>
    <s v="SUBESTACION 3"/>
    <x v="2"/>
    <n v="0"/>
    <n v="34.32"/>
    <d v="2022-05-25T00:00:00"/>
    <x v="0"/>
  </r>
  <r>
    <s v="Áreas_administración"/>
    <x v="0"/>
    <x v="2"/>
    <x v="10"/>
    <m/>
    <s v="N/A"/>
    <x v="29"/>
    <s v="Vicerrectoría Administrativa Financiera "/>
    <s v="PLANTA DE TRATAMIENTO AGUA RESIDUAL"/>
    <x v="2"/>
    <n v="0"/>
    <n v="63.503999999999998"/>
    <d v="2022-05-25T00:00:00"/>
    <x v="0"/>
  </r>
  <r>
    <s v="Áreas_administración"/>
    <x v="0"/>
    <x v="2"/>
    <x v="10"/>
    <m/>
    <s v="N/A"/>
    <x v="29"/>
    <s v="Vicerrectoría Administrativa Financiera "/>
    <s v="PLANTA DE TRATAMIENTO AGUA POTABLE"/>
    <x v="2"/>
    <n v="0"/>
    <n v="45.99"/>
    <d v="2022-05-25T00:00:00"/>
    <x v="0"/>
  </r>
  <r>
    <s v="Áreas_administración"/>
    <x v="0"/>
    <x v="2"/>
    <x v="10"/>
    <m/>
    <s v="N/A"/>
    <x v="29"/>
    <s v="Vicerrectoría Administrativa Financiera "/>
    <s v="POZO EYECTOR"/>
    <x v="2"/>
    <n v="0"/>
    <n v="8"/>
    <d v="2022-05-25T00:00:00"/>
    <x v="0"/>
  </r>
  <r>
    <s v="Áreas_administración"/>
    <x v="0"/>
    <x v="2"/>
    <x v="10"/>
    <m/>
    <s v="N/A"/>
    <x v="29"/>
    <s v="Vicerrectoría Administrativa Financiera "/>
    <s v="TANQUE DE REUSO FIBRA DE VIDRIO"/>
    <x v="2"/>
    <n v="0"/>
    <n v="12"/>
    <d v="2022-05-25T00:00:00"/>
    <x v="0"/>
  </r>
  <r>
    <s v="Áreas_administración"/>
    <x v="0"/>
    <x v="2"/>
    <x v="10"/>
    <m/>
    <s v="N/A"/>
    <x v="29"/>
    <s v="Vicerrectoría Administrativa Financiera "/>
    <s v="CASETAS DE EXTRACCIÓN"/>
    <x v="2"/>
    <n v="0"/>
    <n v="19.824999999999999"/>
    <d v="2022-05-25T00:00:00"/>
    <x v="0"/>
  </r>
  <r>
    <s v="Áreas_administración"/>
    <x v="0"/>
    <x v="2"/>
    <x v="10"/>
    <m/>
    <s v="N/A"/>
    <x v="29"/>
    <s v="Vicerrectoría Administrativa Financiera "/>
    <s v="LABORATORIO AGUAS"/>
    <x v="2"/>
    <n v="0"/>
    <n v="65.55"/>
    <d v="2022-05-25T00:00:00"/>
    <x v="0"/>
  </r>
  <r>
    <s v="Áreas_administración"/>
    <x v="0"/>
    <x v="2"/>
    <x v="10"/>
    <m/>
    <s v="N/A"/>
    <x v="29"/>
    <s v="Vicerrectoría Administrativa Financiera "/>
    <s v="CUARTO DE BASURAS, SUBESTACIÓN"/>
    <x v="2"/>
    <n v="0"/>
    <n v="265.38"/>
    <d v="2022-05-25T00:00:00"/>
    <x v="0"/>
  </r>
  <r>
    <s v="Áreas_administración"/>
    <x v="0"/>
    <x v="2"/>
    <x v="10"/>
    <m/>
    <s v="N/A"/>
    <x v="29"/>
    <s v="Vicerrectoría Administrativa Financiera "/>
    <s v="PARQUEADEROS EXTERIORES"/>
    <x v="2"/>
    <n v="0"/>
    <n v="8700.64"/>
    <d v="2022-05-25T00:00:00"/>
    <x v="0"/>
  </r>
  <r>
    <s v="Áreas_administración"/>
    <x v="0"/>
    <x v="2"/>
    <x v="10"/>
    <m/>
    <s v="N/A"/>
    <x v="29"/>
    <s v="Vicerrectoría Administrativa Financiera "/>
    <s v="AREAS VIAS  EXTERNAS"/>
    <x v="2"/>
    <n v="0"/>
    <n v="9679"/>
    <d v="2022-05-25T00:00:00"/>
    <x v="0"/>
  </r>
  <r>
    <s v="Áreas_administración"/>
    <x v="0"/>
    <x v="2"/>
    <x v="10"/>
    <m/>
    <s v="N/A"/>
    <x v="29"/>
    <s v="Vicerrectoría Administrativa Financiera "/>
    <s v="AREAS CIRCULACIONES EXTERNAS"/>
    <x v="2"/>
    <n v="0"/>
    <n v="4667"/>
    <d v="2022-05-25T00:00:00"/>
    <x v="0"/>
  </r>
  <r>
    <s v="Áreas_administración"/>
    <x v="0"/>
    <x v="2"/>
    <x v="10"/>
    <m/>
    <s v="N/A"/>
    <x v="29"/>
    <s v="Vicerrectoría Administrativa Financiera "/>
    <s v="CANCHA DE FUTBOL Y PISTA ATLETICA"/>
    <x v="2"/>
    <n v="28"/>
    <n v="15321.29"/>
    <d v="2022-05-25T00:00:00"/>
    <x v="0"/>
  </r>
  <r>
    <s v="Áreas_administración"/>
    <x v="0"/>
    <x v="2"/>
    <x v="10"/>
    <m/>
    <s v="N/A"/>
    <x v="29"/>
    <s v="Vicerrectoría Administrativa Financiera "/>
    <s v="CANCHAS MULTIFUNCIONALES"/>
    <x v="2"/>
    <n v="20"/>
    <n v="1216"/>
    <d v="2022-05-25T00:00: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2">
  <r>
    <s v="CONSTRUIDA"/>
    <s v="Arriendo"/>
    <x v="0"/>
    <n v="202"/>
    <n v="1"/>
    <x v="0"/>
    <x v="0"/>
    <x v="0"/>
    <s v="Procesos de apoyo"/>
    <n v="5"/>
    <n v="42.93"/>
    <d v="2022-05-10T00:00:00"/>
    <s v="Si"/>
  </r>
  <r>
    <s v="CONSTRUIDA"/>
    <s v="Arriendo"/>
    <x v="0"/>
    <s v="205A"/>
    <n v="1"/>
    <x v="0"/>
    <x v="1"/>
    <x v="1"/>
    <s v="Integral"/>
    <n v="2"/>
    <n v="44.36"/>
    <d v="2022-05-10T00:00:00"/>
    <s v="Si"/>
  </r>
  <r>
    <s v="CONSTRUIDA"/>
    <s v="Arriendo"/>
    <x v="0"/>
    <n v="204"/>
    <n v="1"/>
    <x v="1"/>
    <x v="1"/>
    <x v="2"/>
    <s v="Procesos de apoyo"/>
    <n v="20"/>
    <n v="40.799999999999997"/>
    <d v="2022-05-10T00:00:00"/>
    <s v="Si"/>
  </r>
  <r>
    <s v="CONSTRUIDA"/>
    <s v="Arriendo"/>
    <x v="0"/>
    <s v="205A"/>
    <n v="1"/>
    <x v="2"/>
    <x v="1"/>
    <x v="3"/>
    <s v="N/A"/>
    <n v="1"/>
    <n v="3.57"/>
    <d v="2022-05-10T00:00:00"/>
    <s v="Si"/>
  </r>
  <r>
    <s v="CONSTRUIDA"/>
    <s v="Arriendo"/>
    <x v="0"/>
    <s v="201B"/>
    <n v="1"/>
    <x v="0"/>
    <x v="2"/>
    <x v="4"/>
    <s v="Procesos de apoyo"/>
    <n v="7"/>
    <n v="32.880000000000003"/>
    <d v="2022-05-10T00:00:00"/>
    <s v="Si"/>
  </r>
  <r>
    <s v="CONSTRUIDA"/>
    <s v="Arriendo"/>
    <x v="0"/>
    <n v="206"/>
    <n v="1"/>
    <x v="0"/>
    <x v="3"/>
    <x v="5"/>
    <s v="INVESTIGACIÓN"/>
    <n v="3"/>
    <n v="28.76"/>
    <d v="2022-05-10T00:00:00"/>
    <s v="Si"/>
  </r>
  <r>
    <s v="CONSTRUIDA"/>
    <s v="Arriendo"/>
    <x v="0"/>
    <n v="207"/>
    <n v="1"/>
    <x v="0"/>
    <x v="4"/>
    <x v="6"/>
    <s v="Procesos de apoyo"/>
    <n v="4"/>
    <n v="28.03"/>
    <d v="2022-05-10T00:00:00"/>
    <s v="Si"/>
  </r>
  <r>
    <s v="CONSTRUIDA"/>
    <s v="Arriendo"/>
    <x v="0"/>
    <n v="208"/>
    <n v="1"/>
    <x v="0"/>
    <x v="5"/>
    <x v="7"/>
    <s v="Integral"/>
    <n v="2"/>
    <n v="16.18"/>
    <d v="2022-05-10T00:00:00"/>
    <s v="Si"/>
  </r>
  <r>
    <s v="CONSTRUIDA"/>
    <s v="Arriendo"/>
    <x v="0"/>
    <n v="210"/>
    <n v="1"/>
    <x v="0"/>
    <x v="4"/>
    <x v="8"/>
    <s v="Procesos de apoyo"/>
    <n v="2"/>
    <n v="15.81"/>
    <d v="2022-05-10T00:00:00"/>
    <s v="Si"/>
  </r>
  <r>
    <s v="CONSTRUIDA"/>
    <s v="Arriendo"/>
    <x v="0"/>
    <n v="209"/>
    <n v="1"/>
    <x v="0"/>
    <x v="6"/>
    <x v="9"/>
    <s v="Procesos de apoyo"/>
    <n v="0"/>
    <n v="13.02"/>
    <d v="2022-05-10T00:00:00"/>
    <s v="Si"/>
  </r>
  <r>
    <s v="CONSTRUIDA"/>
    <s v="Arriendo"/>
    <x v="0"/>
    <n v="214"/>
    <n v="1"/>
    <x v="3"/>
    <x v="4"/>
    <x v="10"/>
    <s v="Procesos de apoyo"/>
    <n v="30"/>
    <n v="56.3"/>
    <d v="2022-05-10T00:00:00"/>
    <s v="Si"/>
  </r>
  <r>
    <s v="CONSTRUIDA"/>
    <s v="Arriendo"/>
    <x v="0"/>
    <n v="218"/>
    <n v="1"/>
    <x v="0"/>
    <x v="5"/>
    <x v="11"/>
    <s v="Integral"/>
    <n v="6"/>
    <n v="49.95"/>
    <d v="2022-05-10T00:00:00"/>
    <s v="Si"/>
  </r>
  <r>
    <s v="CONSTRUIDA"/>
    <s v="Arriendo"/>
    <x v="0"/>
    <n v="219"/>
    <n v="1"/>
    <x v="4"/>
    <x v="6"/>
    <x v="12"/>
    <s v="N/A"/>
    <n v="0"/>
    <n v="4.51"/>
    <d v="2022-05-10T00:00:00"/>
    <s v="Si"/>
  </r>
  <r>
    <s v="CONSTRUIDA"/>
    <s v="Arriendo"/>
    <x v="0"/>
    <s v="201A"/>
    <n v="1"/>
    <x v="0"/>
    <x v="7"/>
    <x v="4"/>
    <s v="Procesos de apoyo"/>
    <n v="6"/>
    <n v="34.43"/>
    <d v="2022-05-10T00:00:00"/>
    <s v="Si"/>
  </r>
  <r>
    <s v="CONSTRUIDA"/>
    <s v="Arriendo"/>
    <x v="0"/>
    <s v="201C"/>
    <n v="1"/>
    <x v="5"/>
    <x v="7"/>
    <x v="13"/>
    <s v="Procesos de apoyo"/>
    <n v="2"/>
    <n v="6.24"/>
    <d v="2022-05-10T00:00:00"/>
    <s v="Si"/>
  </r>
  <r>
    <s v="CONSTRUIDA"/>
    <s v="Arriendo"/>
    <x v="0"/>
    <s v="212A"/>
    <n v="1"/>
    <x v="0"/>
    <x v="8"/>
    <x v="4"/>
    <s v="Procesos de apoyo"/>
    <n v="8"/>
    <n v="65.23"/>
    <d v="2022-05-10T00:00:00"/>
    <s v="Si"/>
  </r>
  <r>
    <s v="CONSTRUIDA"/>
    <s v="Arriendo"/>
    <x v="0"/>
    <n v="210"/>
    <n v="1"/>
    <x v="1"/>
    <x v="9"/>
    <x v="14"/>
    <s v="Procesos de apoyo"/>
    <n v="30"/>
    <n v="56.63"/>
    <d v="2022-05-10T00:00:00"/>
    <s v="Si"/>
  </r>
  <r>
    <s v="CONSTRUIDA"/>
    <s v="Arriendo"/>
    <x v="0"/>
    <m/>
    <n v="1"/>
    <x v="2"/>
    <x v="4"/>
    <x v="15"/>
    <s v="N/A"/>
    <n v="4"/>
    <n v="10.64"/>
    <d v="2022-05-10T00:00:00"/>
    <s v="Si"/>
  </r>
  <r>
    <s v="CONSTRUIDA"/>
    <s v="Arriendo"/>
    <x v="0"/>
    <m/>
    <n v="1"/>
    <x v="2"/>
    <x v="4"/>
    <x v="16"/>
    <s v="N/A"/>
    <n v="4"/>
    <n v="9.3800000000000008"/>
    <d v="2022-05-10T00:00:00"/>
    <s v="Si"/>
  </r>
  <r>
    <s v="CONSTRUIDA"/>
    <s v="Arriendo"/>
    <x v="0"/>
    <m/>
    <n v="1"/>
    <x v="6"/>
    <x v="4"/>
    <x v="17"/>
    <s v="N/A"/>
    <n v="0"/>
    <n v="115.23"/>
    <d v="2022-05-10T00:00:00"/>
    <s v="Si"/>
  </r>
  <r>
    <s v="CONSTRUIDA"/>
    <s v="Arriendo"/>
    <x v="0"/>
    <m/>
    <n v="1"/>
    <x v="7"/>
    <x v="4"/>
    <x v="18"/>
    <s v="N/A"/>
    <n v="0"/>
    <n v="65.81"/>
    <d v="2022-05-10T00:00:00"/>
    <s v="Si"/>
  </r>
  <r>
    <s v="CONSTRUIDA"/>
    <s v="Arriendo"/>
    <x v="1"/>
    <m/>
    <n v="1"/>
    <x v="5"/>
    <x v="9"/>
    <x v="19"/>
    <s v="Procesos de apoyo"/>
    <n v="1"/>
    <n v="5.47"/>
    <d v="2022-05-10T00:00:00"/>
    <s v="Si"/>
  </r>
  <r>
    <s v="CONSTRUIDA"/>
    <s v="Arriendo"/>
    <x v="0"/>
    <m/>
    <n v="1"/>
    <x v="8"/>
    <x v="9"/>
    <x v="20"/>
    <s v="Procesos de apoyo"/>
    <n v="2"/>
    <n v="11.88"/>
    <d v="2022-05-10T00:00:00"/>
    <s v="Si"/>
  </r>
  <r>
    <s v="CONSTRUIDA"/>
    <s v="Arriendo"/>
    <x v="0"/>
    <m/>
    <n v="1"/>
    <x v="8"/>
    <x v="9"/>
    <x v="21"/>
    <s v="Procesos de apoyo"/>
    <n v="1"/>
    <n v="12.07"/>
    <d v="2022-05-10T00:00:00"/>
    <s v="Si"/>
  </r>
  <r>
    <s v="CONSTRUIDA"/>
    <s v="Arriendo"/>
    <x v="0"/>
    <m/>
    <n v="1"/>
    <x v="8"/>
    <x v="9"/>
    <x v="22"/>
    <s v="Procesos de apoyo"/>
    <n v="2"/>
    <n v="11.57"/>
    <d v="2022-05-10T00:00:00"/>
    <s v="Si"/>
  </r>
  <r>
    <s v="CONSTRUIDA"/>
    <s v="Arriendo"/>
    <x v="0"/>
    <m/>
    <n v="1"/>
    <x v="9"/>
    <x v="9"/>
    <x v="23"/>
    <s v="Procesos de apoyo"/>
    <n v="6"/>
    <n v="10.26"/>
    <d v="2022-05-10T00:00:00"/>
    <s v="Si"/>
  </r>
  <r>
    <s v="CONSTRUIDA"/>
    <s v="Arriendo"/>
    <x v="0"/>
    <m/>
    <n v="1"/>
    <x v="10"/>
    <x v="9"/>
    <x v="24"/>
    <s v="N/A"/>
    <n v="1"/>
    <n v="2.77"/>
    <d v="2022-05-10T00:00:00"/>
    <s v="Si"/>
  </r>
  <r>
    <s v="CONSTRUIDA"/>
    <s v="Arriendo"/>
    <x v="0"/>
    <m/>
    <n v="1"/>
    <x v="10"/>
    <x v="9"/>
    <x v="25"/>
    <s v="N/A"/>
    <n v="1"/>
    <n v="1.3"/>
    <d v="2022-05-10T00:00:00"/>
    <s v="Si"/>
  </r>
  <r>
    <s v="CONSTRUIDA"/>
    <s v="Arriendo"/>
    <x v="0"/>
    <m/>
    <n v="1"/>
    <x v="10"/>
    <x v="9"/>
    <x v="26"/>
    <s v="N/A"/>
    <n v="1"/>
    <n v="1.51"/>
    <d v="2022-05-10T00:00:00"/>
    <s v="Si"/>
  </r>
  <r>
    <s v="CONSTRUIDA"/>
    <s v="Arriendo"/>
    <x v="0"/>
    <m/>
    <n v="1"/>
    <x v="2"/>
    <x v="9"/>
    <x v="27"/>
    <s v="N/A"/>
    <n v="1"/>
    <n v="4.46"/>
    <d v="2022-05-10T00:00:00"/>
    <s v="Si"/>
  </r>
  <r>
    <s v="CONSTRUIDA"/>
    <s v="Arriendo"/>
    <x v="0"/>
    <m/>
    <n v="1"/>
    <x v="2"/>
    <x v="9"/>
    <x v="28"/>
    <s v="N/A"/>
    <n v="1"/>
    <n v="4.67"/>
    <d v="2022-05-10T00:00:00"/>
    <s v="Si"/>
  </r>
  <r>
    <s v="CONSTRUIDA"/>
    <s v="Arriendo"/>
    <x v="0"/>
    <m/>
    <n v="1"/>
    <x v="11"/>
    <x v="9"/>
    <x v="29"/>
    <s v="N/A"/>
    <n v="0"/>
    <n v="1.06"/>
    <d v="2022-05-10T00:00:00"/>
    <s v="Si"/>
  </r>
  <r>
    <s v="CONSTRUIDA"/>
    <s v="Arriendo"/>
    <x v="0"/>
    <m/>
    <n v="1"/>
    <x v="8"/>
    <x v="9"/>
    <x v="30"/>
    <s v="Procesos de apoyo"/>
    <n v="1"/>
    <n v="12.3"/>
    <d v="2022-05-10T00:00:00"/>
    <s v="Si"/>
  </r>
  <r>
    <s v="CONSTRUIDA"/>
    <s v="Arriendo"/>
    <x v="0"/>
    <m/>
    <n v="1"/>
    <x v="12"/>
    <x v="9"/>
    <x v="31"/>
    <s v="N/A"/>
    <n v="0"/>
    <n v="2.68"/>
    <d v="2022-05-10T00:00:00"/>
    <s v="Si"/>
  </r>
  <r>
    <s v="CONSTRUIDA"/>
    <s v="Arriendo"/>
    <x v="0"/>
    <m/>
    <n v="1"/>
    <x v="12"/>
    <x v="9"/>
    <x v="32"/>
    <s v="N/A"/>
    <n v="0"/>
    <n v="9"/>
    <d v="2022-05-10T00:00:00"/>
    <s v="Si"/>
  </r>
  <r>
    <s v="CONSTRUIDA"/>
    <s v="Arriendo"/>
    <x v="0"/>
    <m/>
    <n v="1"/>
    <x v="8"/>
    <x v="9"/>
    <x v="33"/>
    <s v="Procesos de apoyo"/>
    <n v="2"/>
    <n v="8.4"/>
    <d v="2022-05-10T00:00:00"/>
    <s v="Si"/>
  </r>
  <r>
    <s v="CONSTRUIDA"/>
    <s v="Arriendo"/>
    <x v="0"/>
    <m/>
    <n v="1"/>
    <x v="12"/>
    <x v="10"/>
    <x v="34"/>
    <s v="N/A"/>
    <n v="1"/>
    <n v="58"/>
    <d v="2022-05-10T00:00:00"/>
    <s v="Si"/>
  </r>
  <r>
    <s v="CONSTRUIDA"/>
    <s v="Arriendo"/>
    <x v="0"/>
    <m/>
    <n v="1"/>
    <x v="7"/>
    <x v="4"/>
    <x v="18"/>
    <s v="N/A"/>
    <n v="0"/>
    <n v="28.41"/>
    <d v="2022-05-10T00:00:00"/>
    <s v="Si"/>
  </r>
  <r>
    <s v="CONSTRUIDA"/>
    <s v="Arriendo"/>
    <x v="0"/>
    <m/>
    <n v="1"/>
    <x v="13"/>
    <x v="4"/>
    <x v="35"/>
    <s v="Procesos de apoyo"/>
    <n v="50"/>
    <n v="3138.69"/>
    <d v="2022-05-10T00:00:00"/>
    <s v="Si"/>
  </r>
  <r>
    <s v="CONSTRUIDA"/>
    <s v="Arriendo"/>
    <x v="2"/>
    <s v="B301"/>
    <n v="2"/>
    <x v="0"/>
    <x v="1"/>
    <x v="36"/>
    <s v="Procesos de apoyo"/>
    <n v="5"/>
    <n v="42.98"/>
    <d v="2022-05-13T00:00:00"/>
    <s v="Si"/>
  </r>
  <r>
    <s v="CONSTRUIDA"/>
    <s v="Arriendo"/>
    <x v="2"/>
    <s v="B310"/>
    <n v="2"/>
    <x v="0"/>
    <x v="11"/>
    <x v="37"/>
    <s v="Procesos de apoyo"/>
    <n v="2"/>
    <n v="23.84"/>
    <d v="2022-05-13T00:00:00"/>
    <s v="Si"/>
  </r>
  <r>
    <s v="CONSTRUIDA"/>
    <s v="Arriendo"/>
    <x v="2"/>
    <s v="B311"/>
    <n v="2"/>
    <x v="14"/>
    <x v="12"/>
    <x v="38"/>
    <s v="Procesos de apoyo"/>
    <n v="28"/>
    <n v="32.74"/>
    <d v="2022-05-13T00:00:00"/>
    <s v="Si"/>
  </r>
  <r>
    <s v="CONSTRUIDA"/>
    <s v="Arriendo"/>
    <x v="2"/>
    <s v="B312"/>
    <n v="2"/>
    <x v="14"/>
    <x v="12"/>
    <x v="38"/>
    <s v="Procesos de apoyo"/>
    <n v="43"/>
    <n v="55.89"/>
    <d v="2022-05-13T00:00:00"/>
    <s v="Si"/>
  </r>
  <r>
    <s v="CONSTRUIDA"/>
    <s v="Arriendo"/>
    <x v="2"/>
    <s v="B313"/>
    <n v="2"/>
    <x v="14"/>
    <x v="12"/>
    <x v="38"/>
    <s v="Procesos de apoyo"/>
    <n v="35"/>
    <n v="37.630000000000003"/>
    <d v="2022-05-13T00:00:00"/>
    <s v="Si"/>
  </r>
  <r>
    <s v="CONSTRUIDA"/>
    <s v="Arriendo"/>
    <x v="2"/>
    <s v="B314"/>
    <n v="2"/>
    <x v="14"/>
    <x v="12"/>
    <x v="38"/>
    <s v="Procesos de apoyo"/>
    <n v="55"/>
    <n v="57.91"/>
    <d v="2022-05-13T00:00:00"/>
    <s v="Si"/>
  </r>
  <r>
    <s v="CONSTRUIDA"/>
    <s v="Arriendo"/>
    <x v="2"/>
    <s v="B315"/>
    <n v="2"/>
    <x v="14"/>
    <x v="12"/>
    <x v="38"/>
    <s v="Procesos de apoyo"/>
    <n v="55"/>
    <n v="62.62"/>
    <d v="2022-05-13T00:00:00"/>
    <s v="Si"/>
  </r>
  <r>
    <s v="CONSTRUIDA"/>
    <s v="Arriendo"/>
    <x v="2"/>
    <m/>
    <n v="2"/>
    <x v="0"/>
    <x v="13"/>
    <x v="39"/>
    <s v="Procesos de apoyo"/>
    <n v="40"/>
    <n v="44.16"/>
    <d v="2022-05-13T00:00:00"/>
    <s v="Si"/>
  </r>
  <r>
    <s v="CONSTRUIDA"/>
    <s v="Arriendo"/>
    <x v="2"/>
    <m/>
    <n v="2"/>
    <x v="0"/>
    <x v="13"/>
    <x v="39"/>
    <s v="Procesos de apoyo"/>
    <n v="40"/>
    <n v="43.24"/>
    <d v="2022-05-13T00:00:00"/>
    <s v="Si"/>
  </r>
  <r>
    <s v="CONSTRUIDA"/>
    <s v="Arriendo"/>
    <x v="2"/>
    <m/>
    <n v="2"/>
    <x v="14"/>
    <x v="13"/>
    <x v="40"/>
    <s v="Procesos de apoyo"/>
    <n v="40"/>
    <n v="43.77"/>
    <d v="2022-05-13T00:00:00"/>
    <s v="Si"/>
  </r>
  <r>
    <s v="CONSTRUIDA"/>
    <s v="Arriendo"/>
    <x v="2"/>
    <m/>
    <n v="2"/>
    <x v="14"/>
    <x v="13"/>
    <x v="40"/>
    <s v="Procesos de apoyo"/>
    <n v="46"/>
    <n v="49.25"/>
    <d v="2022-05-13T00:00:00"/>
    <s v="Si"/>
  </r>
  <r>
    <s v="CONSTRUIDA"/>
    <s v="Arriendo"/>
    <x v="2"/>
    <m/>
    <n v="2"/>
    <x v="14"/>
    <x v="13"/>
    <x v="41"/>
    <s v="Procesos de apoyo"/>
    <n v="38"/>
    <n v="37.090000000000003"/>
    <d v="2022-05-13T00:00:00"/>
    <s v="Si"/>
  </r>
  <r>
    <s v="CONSTRUIDA"/>
    <s v="Arriendo"/>
    <x v="2"/>
    <m/>
    <n v="2"/>
    <x v="0"/>
    <x v="13"/>
    <x v="42"/>
    <s v="Procesos de apoyo"/>
    <n v="2"/>
    <n v="14.64"/>
    <d v="2022-05-13T00:00:00"/>
    <s v="Si"/>
  </r>
  <r>
    <m/>
    <m/>
    <x v="2"/>
    <m/>
    <m/>
    <x v="0"/>
    <x v="13"/>
    <x v="43"/>
    <m/>
    <m/>
    <n v="16.933"/>
    <m/>
    <m/>
  </r>
  <r>
    <s v="CONSTRUIDA"/>
    <s v="Arriendo"/>
    <x v="2"/>
    <m/>
    <n v="2"/>
    <x v="4"/>
    <x v="13"/>
    <x v="44"/>
    <s v="Procesos de apoyo"/>
    <n v="1"/>
    <n v="8.42"/>
    <d v="2022-05-13T00:00:00"/>
    <s v="Si"/>
  </r>
  <r>
    <s v="CONSTRUIDA"/>
    <s v="Arriendo"/>
    <x v="2"/>
    <m/>
    <n v="2"/>
    <x v="0"/>
    <x v="13"/>
    <x v="45"/>
    <s v="Procesos de apoyo"/>
    <n v="2"/>
    <n v="25.56"/>
    <d v="2022-05-13T00:00:00"/>
    <s v="Si"/>
  </r>
  <r>
    <s v="CONSTRUIDA"/>
    <s v="Arriendo"/>
    <x v="2"/>
    <m/>
    <n v="2"/>
    <x v="2"/>
    <x v="13"/>
    <x v="46"/>
    <s v="N/A"/>
    <n v="0"/>
    <n v="13.1"/>
    <d v="2022-05-13T00:00:00"/>
    <s v="Si"/>
  </r>
  <r>
    <s v="CONSTRUIDA"/>
    <s v="Arriendo"/>
    <x v="2"/>
    <m/>
    <n v="2"/>
    <x v="0"/>
    <x v="13"/>
    <x v="47"/>
    <s v="Procesos de apoyo"/>
    <n v="10"/>
    <n v="32.049999999999997"/>
    <d v="2022-05-13T00:00:00"/>
    <s v="Si"/>
  </r>
  <r>
    <s v="CONSTRUIDA"/>
    <s v="Arriendo"/>
    <x v="2"/>
    <m/>
    <n v="2"/>
    <x v="0"/>
    <x v="13"/>
    <x v="48"/>
    <s v="Procesos de apoyo"/>
    <m/>
    <n v="9.85"/>
    <m/>
    <m/>
  </r>
  <r>
    <s v="CONSTRUIDA"/>
    <s v="Arriendo"/>
    <x v="2"/>
    <m/>
    <n v="2"/>
    <x v="0"/>
    <x v="13"/>
    <x v="49"/>
    <s v="Procesos de apoyo"/>
    <n v="417"/>
    <n v="17.72"/>
    <m/>
    <m/>
  </r>
  <r>
    <s v="CONSTRUIDA"/>
    <s v="Arriendo"/>
    <x v="2"/>
    <s v="B326"/>
    <n v="2"/>
    <x v="15"/>
    <x v="11"/>
    <x v="50"/>
    <s v="DOCENCIA"/>
    <n v="30"/>
    <n v="56.99"/>
    <d v="2022-05-13T00:00:00"/>
    <s v="Si"/>
  </r>
  <r>
    <s v="CONSTRUIDA"/>
    <s v="Arriendo"/>
    <x v="2"/>
    <s v="B327"/>
    <n v="2"/>
    <x v="0"/>
    <x v="13"/>
    <x v="51"/>
    <s v="DOCENCIA"/>
    <n v="40"/>
    <n v="23.55"/>
    <d v="2022-05-13T00:00:00"/>
    <s v="Si"/>
  </r>
  <r>
    <m/>
    <m/>
    <x v="1"/>
    <m/>
    <m/>
    <x v="0"/>
    <x v="13"/>
    <x v="52"/>
    <m/>
    <m/>
    <n v="23.78"/>
    <m/>
    <m/>
  </r>
  <r>
    <s v="CONSTRUIDA"/>
    <s v="Arriendo"/>
    <x v="2"/>
    <s v="B328"/>
    <n v="2"/>
    <x v="14"/>
    <x v="12"/>
    <x v="38"/>
    <s v="DOCENCIA"/>
    <n v="40"/>
    <n v="57.33"/>
    <d v="2022-05-13T00:00:00"/>
    <s v="Si"/>
  </r>
  <r>
    <s v="CONSTRUIDA"/>
    <s v="Arriendo"/>
    <x v="2"/>
    <s v="B329"/>
    <n v="2"/>
    <x v="14"/>
    <x v="12"/>
    <x v="38"/>
    <s v="DOCENCIA"/>
    <n v="54"/>
    <n v="60.03"/>
    <d v="2022-05-13T00:00:00"/>
    <s v="Si"/>
  </r>
  <r>
    <s v="CONSTRUIDA"/>
    <s v="Arriendo"/>
    <x v="2"/>
    <m/>
    <n v="2"/>
    <x v="16"/>
    <x v="4"/>
    <x v="53"/>
    <s v="Procesos de apoyo"/>
    <n v="20"/>
    <n v="30.38"/>
    <d v="2022-05-13T00:00:00"/>
    <s v="Si"/>
  </r>
  <r>
    <s v="CONSTRUIDA"/>
    <s v="Arriendo"/>
    <x v="2"/>
    <m/>
    <n v="2"/>
    <x v="7"/>
    <x v="4"/>
    <x v="18"/>
    <s v="N/A"/>
    <n v="0"/>
    <n v="19.21"/>
    <d v="2022-05-13T00:00:00"/>
    <s v="Si"/>
  </r>
  <r>
    <s v="CONSTRUIDA"/>
    <s v="Arriendo"/>
    <x v="2"/>
    <m/>
    <n v="2"/>
    <x v="6"/>
    <x v="4"/>
    <x v="17"/>
    <s v="N/A"/>
    <n v="0"/>
    <n v="210.05"/>
    <d v="2022-05-13T00:00:00"/>
    <s v="Si"/>
  </r>
  <r>
    <s v="CONSTRUIDA"/>
    <s v="Arriendo"/>
    <x v="2"/>
    <m/>
    <n v="2"/>
    <x v="6"/>
    <x v="4"/>
    <x v="54"/>
    <s v="N/A"/>
    <n v="0"/>
    <n v="5.65"/>
    <d v="2022-05-13T00:00:00"/>
    <s v="Si"/>
  </r>
  <r>
    <s v="CONSTRUIDA"/>
    <s v="Arriendo"/>
    <x v="2"/>
    <m/>
    <n v="2"/>
    <x v="12"/>
    <x v="14"/>
    <x v="55"/>
    <s v="Integral"/>
    <n v="24"/>
    <n v="34.270000000000003"/>
    <d v="2022-05-13T00:00:00"/>
    <s v="Si"/>
  </r>
  <r>
    <s v="CONSTRUIDA"/>
    <s v="Arriendo"/>
    <x v="2"/>
    <m/>
    <n v="2"/>
    <x v="17"/>
    <x v="12"/>
    <x v="56"/>
    <s v="DOCENCIA"/>
    <n v="30"/>
    <n v="47.13"/>
    <d v="2022-05-13T00:00:00"/>
    <s v="Si"/>
  </r>
  <r>
    <s v="CONSTRUIDA"/>
    <s v="Arriendo"/>
    <x v="2"/>
    <m/>
    <n v="2"/>
    <x v="17"/>
    <x v="12"/>
    <x v="57"/>
    <s v="DOCENCIA"/>
    <n v="24"/>
    <n v="31.63"/>
    <d v="2022-05-13T00:00:00"/>
    <s v="Si"/>
  </r>
  <r>
    <s v="CONSTRUIDA"/>
    <s v="Arriendo"/>
    <x v="2"/>
    <m/>
    <n v="2"/>
    <x v="10"/>
    <x v="4"/>
    <x v="58"/>
    <s v="N/A"/>
    <n v="4"/>
    <n v="11.12"/>
    <d v="2022-05-13T00:00:00"/>
    <s v="Si"/>
  </r>
  <r>
    <s v="CONSTRUIDA"/>
    <s v="Arriendo"/>
    <x v="2"/>
    <m/>
    <n v="2"/>
    <x v="10"/>
    <x v="4"/>
    <x v="59"/>
    <s v="N/A"/>
    <n v="4"/>
    <n v="10.69"/>
    <d v="2022-05-13T00:00:00"/>
    <s v="Si"/>
  </r>
  <r>
    <s v="CONSTRUIDA"/>
    <s v="Arriendo"/>
    <x v="2"/>
    <m/>
    <n v="2"/>
    <x v="2"/>
    <x v="4"/>
    <x v="60"/>
    <s v="N/A"/>
    <n v="1"/>
    <n v="2.3199999999999998"/>
    <d v="2022-05-13T00:00:00"/>
    <s v="Si"/>
  </r>
  <r>
    <s v="CONSTRUIDA"/>
    <s v="Arriendo"/>
    <x v="2"/>
    <m/>
    <n v="2"/>
    <x v="4"/>
    <x v="4"/>
    <x v="61"/>
    <s v="N/A"/>
    <n v="0"/>
    <n v="10.73"/>
    <d v="2022-05-13T00:00:00"/>
    <s v="Si"/>
  </r>
  <r>
    <s v="CONSTRUIDA"/>
    <s v="Arriendo"/>
    <x v="2"/>
    <m/>
    <n v="2"/>
    <x v="0"/>
    <x v="13"/>
    <x v="62"/>
    <s v="Procesos de apoyo"/>
    <n v="2"/>
    <n v="21.81"/>
    <d v="2022-05-13T00:00:00"/>
    <s v="Si"/>
  </r>
  <r>
    <s v="CONSTRUIDA"/>
    <s v="Arriendo"/>
    <x v="2"/>
    <m/>
    <n v="2"/>
    <x v="0"/>
    <x v="13"/>
    <x v="63"/>
    <s v="DOCENCIA"/>
    <n v="2"/>
    <n v="17.649999999999999"/>
    <d v="2022-05-13T00:00:00"/>
    <s v="Si"/>
  </r>
  <r>
    <s v="CONSTRUIDA"/>
    <s v="Arriendo"/>
    <x v="2"/>
    <m/>
    <n v="2"/>
    <x v="18"/>
    <x v="13"/>
    <x v="64"/>
    <s v="N/A"/>
    <n v="0"/>
    <n v="11.07"/>
    <d v="2022-05-13T00:00:00"/>
    <s v="Si"/>
  </r>
  <r>
    <s v="CONSTRUIDA"/>
    <s v="Arriendo"/>
    <x v="2"/>
    <m/>
    <n v="2"/>
    <x v="0"/>
    <x v="13"/>
    <x v="65"/>
    <s v="Procesos de apoyo"/>
    <n v="15"/>
    <n v="19.13"/>
    <d v="2022-05-13T00:00:00"/>
    <s v="Si"/>
  </r>
  <r>
    <s v="CONSTRUIDA"/>
    <s v="Arriendo"/>
    <x v="3"/>
    <m/>
    <n v="2"/>
    <x v="0"/>
    <x v="15"/>
    <x v="66"/>
    <s v="Procesos de apoyo"/>
    <n v="41"/>
    <n v="35.479999999999997"/>
    <d v="2022-05-17T00:00:00"/>
    <s v="Si"/>
  </r>
  <r>
    <s v="CONSTRUIDA"/>
    <s v="Arriendo"/>
    <x v="3"/>
    <m/>
    <n v="2"/>
    <x v="16"/>
    <x v="15"/>
    <x v="67"/>
    <s v="Procesos de apoyo"/>
    <n v="37"/>
    <n v="35.44"/>
    <d v="2022-05-17T00:00:00"/>
    <s v="Si"/>
  </r>
  <r>
    <s v="CONSTRUIDA"/>
    <s v="Arriendo"/>
    <x v="3"/>
    <m/>
    <n v="2"/>
    <x v="0"/>
    <x v="0"/>
    <x v="48"/>
    <s v="Procesos de apoyo"/>
    <n v="36"/>
    <n v="37.26"/>
    <d v="2022-05-17T00:00:00"/>
    <s v="Si"/>
  </r>
  <r>
    <s v="CONSTRUIDA"/>
    <s v="Arriendo"/>
    <x v="3"/>
    <m/>
    <n v="2"/>
    <x v="15"/>
    <x v="11"/>
    <x v="68"/>
    <s v="Procesos de apoyo"/>
    <n v="50"/>
    <n v="86.05"/>
    <d v="2022-05-17T00:00:00"/>
    <s v="Si"/>
  </r>
  <r>
    <s v="CONSTRUIDA"/>
    <s v="Arriendo"/>
    <x v="3"/>
    <m/>
    <n v="2"/>
    <x v="0"/>
    <x v="14"/>
    <x v="69"/>
    <s v="Procesos de apoyo"/>
    <n v="2"/>
    <n v="22.96"/>
    <d v="2022-05-17T00:00:00"/>
    <s v="Si"/>
  </r>
  <r>
    <s v="CONSTRUIDA"/>
    <s v="Arriendo"/>
    <x v="3"/>
    <m/>
    <n v="3"/>
    <x v="0"/>
    <x v="16"/>
    <x v="70"/>
    <s v="Procesos de apoyo"/>
    <n v="9"/>
    <n v="83.43"/>
    <d v="2022-05-17T00:00:00"/>
    <s v="Si"/>
  </r>
  <r>
    <s v="CONSTRUIDA"/>
    <s v="Arriendo"/>
    <x v="3"/>
    <m/>
    <n v="3"/>
    <x v="0"/>
    <x v="10"/>
    <x v="71"/>
    <s v="Procesos de apoyo"/>
    <n v="5"/>
    <n v="27.16"/>
    <d v="2022-05-17T00:00:00"/>
    <s v="Si"/>
  </r>
  <r>
    <s v="CONSTRUIDA"/>
    <s v="Arriendo"/>
    <x v="3"/>
    <s v=" 204 B"/>
    <n v="2"/>
    <x v="16"/>
    <x v="15"/>
    <x v="72"/>
    <s v="Procesos de apoyo"/>
    <n v="10"/>
    <n v="11.5"/>
    <d v="2022-05-17T00:00:00"/>
    <s v="Si"/>
  </r>
  <r>
    <s v="CONSTRUIDA"/>
    <s v="Arriendo"/>
    <x v="3"/>
    <s v="204 A"/>
    <n v="2"/>
    <x v="4"/>
    <x v="6"/>
    <x v="73"/>
    <s v="N/A"/>
    <n v="0"/>
    <n v="5.98"/>
    <d v="2022-05-17T00:00:00"/>
    <s v="Si"/>
  </r>
  <r>
    <s v="CONSTRUIDA"/>
    <s v="Arriendo"/>
    <x v="3"/>
    <s v="204 C"/>
    <n v="2"/>
    <x v="16"/>
    <x v="15"/>
    <x v="74"/>
    <s v="Procesos de apoyo"/>
    <n v="0"/>
    <n v="11.3"/>
    <d v="2022-05-17T00:00:00"/>
    <s v="Si"/>
  </r>
  <r>
    <s v="CONSTRUIDA"/>
    <s v="Arriendo"/>
    <x v="3"/>
    <s v="204 D"/>
    <n v="2"/>
    <x v="16"/>
    <x v="15"/>
    <x v="75"/>
    <s v="Procesos de apoyo"/>
    <n v="15"/>
    <n v="70.56"/>
    <d v="2022-05-17T00:00:00"/>
    <s v="Si"/>
  </r>
  <r>
    <s v="CONSTRUIDA"/>
    <s v="Arriendo"/>
    <x v="3"/>
    <m/>
    <n v="2"/>
    <x v="19"/>
    <x v="12"/>
    <x v="76"/>
    <s v="Procesos de apoyo"/>
    <n v="80"/>
    <n v="110"/>
    <d v="2022-05-17T00:00:00"/>
    <s v="Si"/>
  </r>
  <r>
    <s v="CONSTRUIDA"/>
    <s v="Arriendo"/>
    <x v="3"/>
    <m/>
    <s v="Sotano"/>
    <x v="12"/>
    <x v="0"/>
    <x v="77"/>
    <s v="N/A"/>
    <n v="0"/>
    <n v="44.73"/>
    <d v="2022-05-17T00:00:00"/>
    <s v="Si"/>
  </r>
  <r>
    <s v="CONSTRUIDA"/>
    <s v="Arriendo"/>
    <x v="3"/>
    <m/>
    <s v="Sotano"/>
    <x v="11"/>
    <x v="4"/>
    <x v="29"/>
    <s v="N/A"/>
    <n v="0"/>
    <n v="2.7"/>
    <d v="2022-05-17T00:00:00"/>
    <s v="Si"/>
  </r>
  <r>
    <s v="CONSTRUIDA"/>
    <s v="Arriendo"/>
    <x v="3"/>
    <m/>
    <s v="Sotano"/>
    <x v="10"/>
    <x v="4"/>
    <x v="78"/>
    <s v="N/A"/>
    <n v="2"/>
    <n v="9.25"/>
    <d v="2022-05-17T00:00:00"/>
    <s v="Si"/>
  </r>
  <r>
    <s v="CONSTRUIDA"/>
    <s v="Arriendo"/>
    <x v="3"/>
    <m/>
    <n v="2"/>
    <x v="10"/>
    <x v="4"/>
    <x v="79"/>
    <s v="N/A"/>
    <n v="1"/>
    <n v="3.35"/>
    <d v="2022-05-17T00:00:00"/>
    <s v="Si"/>
  </r>
  <r>
    <s v="CONSTRUIDA"/>
    <s v="Arriendo"/>
    <x v="3"/>
    <m/>
    <n v="2"/>
    <x v="10"/>
    <x v="4"/>
    <x v="80"/>
    <s v="N/A"/>
    <n v="1"/>
    <n v="3.35"/>
    <d v="2022-05-17T00:00:00"/>
    <s v="Si"/>
  </r>
  <r>
    <s v="CONSTRUIDA"/>
    <s v="Arriendo"/>
    <x v="3"/>
    <m/>
    <n v="2"/>
    <x v="6"/>
    <x v="4"/>
    <x v="17"/>
    <s v="N/A"/>
    <n v="0"/>
    <n v="196"/>
    <d v="2022-05-17T00:00:00"/>
    <s v="Si"/>
  </r>
  <r>
    <s v="CONSTRUIDA"/>
    <s v="Arriendo"/>
    <x v="3"/>
    <m/>
    <n v="2"/>
    <x v="7"/>
    <x v="4"/>
    <x v="18"/>
    <s v="N/A"/>
    <n v="0"/>
    <n v="20.55"/>
    <d v="2022-05-17T00:00:00"/>
    <s v="Si"/>
  </r>
  <r>
    <s v="CONSTRUIDA"/>
    <s v="Arriendo"/>
    <x v="3"/>
    <m/>
    <n v="2"/>
    <x v="20"/>
    <x v="4"/>
    <x v="81"/>
    <s v="Procesos de apoyo"/>
    <n v="0"/>
    <n v="23.77"/>
    <d v="2022-05-17T00:00:00"/>
    <s v="Si"/>
  </r>
  <r>
    <s v="CONSTRUIDA"/>
    <s v="Arriendo"/>
    <x v="3"/>
    <m/>
    <n v="3"/>
    <x v="10"/>
    <x v="4"/>
    <x v="82"/>
    <s v="N/A"/>
    <n v="1"/>
    <n v="2.94"/>
    <d v="2022-05-17T00:00:00"/>
    <s v="Si"/>
  </r>
  <r>
    <s v="CONSTRUIDA"/>
    <s v="Arriendo"/>
    <x v="3"/>
    <m/>
    <n v="3"/>
    <x v="10"/>
    <x v="4"/>
    <x v="83"/>
    <s v="N/A"/>
    <n v="1"/>
    <n v="2.19"/>
    <d v="2022-05-17T00:00:00"/>
    <s v="Si"/>
  </r>
  <r>
    <s v="CONSTRUIDA"/>
    <s v="Arriendo"/>
    <x v="3"/>
    <m/>
    <n v="3"/>
    <x v="7"/>
    <x v="4"/>
    <x v="84"/>
    <s v="N/A"/>
    <n v="0"/>
    <n v="31.5"/>
    <d v="2022-05-17T00:00:00"/>
    <s v="Si"/>
  </r>
  <r>
    <s v="CONSTRUIDA"/>
    <s v="Arriendo"/>
    <x v="3"/>
    <m/>
    <n v="2"/>
    <x v="12"/>
    <x v="9"/>
    <x v="85"/>
    <s v="N/A"/>
    <n v="0"/>
    <n v="2.7"/>
    <d v="2022-05-17T00:00:00"/>
    <s v="Si"/>
  </r>
  <r>
    <s v="CONSTRUIDA"/>
    <s v="Arriendo"/>
    <x v="3"/>
    <m/>
    <n v="3"/>
    <x v="12"/>
    <x v="12"/>
    <x v="86"/>
    <s v="N/A"/>
    <n v="0"/>
    <n v="4.8"/>
    <d v="2022-05-17T00:00:00"/>
    <s v="Si"/>
  </r>
  <r>
    <s v="CONSTRUIDA"/>
    <s v="Propiedad"/>
    <x v="4"/>
    <n v="102"/>
    <n v="1"/>
    <x v="3"/>
    <x v="4"/>
    <x v="10"/>
    <s v="Procesos de apoyo"/>
    <n v="25"/>
    <n v="37.090000000000003"/>
    <d v="2022-05-23T00:00:00"/>
    <s v="Si"/>
  </r>
  <r>
    <s v="CONSTRUIDA"/>
    <s v="Propiedad"/>
    <x v="4"/>
    <s v="101A"/>
    <n v="1"/>
    <x v="0"/>
    <x v="0"/>
    <x v="87"/>
    <s v="Procesos de apoyo"/>
    <n v="2"/>
    <n v="10.06"/>
    <d v="2022-05-23T00:00:00"/>
    <s v="Si"/>
  </r>
  <r>
    <s v="CONSTRUIDA"/>
    <s v="Propiedad"/>
    <x v="4"/>
    <s v="101A"/>
    <n v="1"/>
    <x v="0"/>
    <x v="0"/>
    <x v="88"/>
    <s v="Procesos de apoyo"/>
    <n v="3"/>
    <n v="54.95"/>
    <d v="2022-05-23T00:00:00"/>
    <s v="Si"/>
  </r>
  <r>
    <s v="CONSTRUIDA"/>
    <s v="Propiedad"/>
    <x v="4"/>
    <s v="101C"/>
    <n v="1"/>
    <x v="0"/>
    <x v="0"/>
    <x v="89"/>
    <s v="Procesos de apoyo"/>
    <n v="0"/>
    <n v="23.61"/>
    <d v="2022-05-23T00:00:00"/>
    <s v="Si"/>
  </r>
  <r>
    <s v="CONSTRUIDA"/>
    <s v="Propiedad"/>
    <x v="4"/>
    <n v="104"/>
    <n v="1"/>
    <x v="21"/>
    <x v="17"/>
    <x v="90"/>
    <s v="DOCENCIA"/>
    <n v="2"/>
    <n v="14.69"/>
    <d v="2022-05-23T00:00:00"/>
    <s v="Si"/>
  </r>
  <r>
    <s v="CONSTRUIDA"/>
    <s v="Propiedad"/>
    <x v="4"/>
    <m/>
    <n v="1"/>
    <x v="21"/>
    <x v="17"/>
    <x v="91"/>
    <s v="DOCENCIA"/>
    <n v="2"/>
    <n v="5.65"/>
    <d v="2022-05-23T00:00:00"/>
    <s v="No"/>
  </r>
  <r>
    <s v="CONSTRUIDA"/>
    <s v="Propiedad"/>
    <x v="4"/>
    <m/>
    <n v="1"/>
    <x v="21"/>
    <x v="17"/>
    <x v="92"/>
    <s v="DOCENCIA"/>
    <n v="2"/>
    <n v="5.65"/>
    <d v="2022-05-23T00:00:00"/>
    <s v="No"/>
  </r>
  <r>
    <s v="CONSTRUIDA"/>
    <s v="Propiedad"/>
    <x v="4"/>
    <m/>
    <n v="1"/>
    <x v="21"/>
    <x v="17"/>
    <x v="93"/>
    <s v="DOCENCIA"/>
    <n v="2"/>
    <n v="5.65"/>
    <d v="2022-05-23T00:00:00"/>
    <s v="No"/>
  </r>
  <r>
    <s v="CONSTRUIDA"/>
    <s v="Propiedad"/>
    <x v="4"/>
    <m/>
    <n v="1"/>
    <x v="21"/>
    <x v="17"/>
    <x v="94"/>
    <s v="DOCENCIA"/>
    <n v="2"/>
    <n v="5.65"/>
    <d v="2022-05-23T00:00:00"/>
    <s v="No"/>
  </r>
  <r>
    <s v="CONSTRUIDA"/>
    <s v="Propiedad"/>
    <x v="4"/>
    <m/>
    <n v="1"/>
    <x v="21"/>
    <x v="17"/>
    <x v="95"/>
    <s v="DOCENCIA"/>
    <n v="2"/>
    <n v="5.65"/>
    <d v="2022-05-23T00:00:00"/>
    <s v="No"/>
  </r>
  <r>
    <s v="CONSTRUIDA"/>
    <s v="Propiedad"/>
    <x v="4"/>
    <m/>
    <n v="1"/>
    <x v="21"/>
    <x v="17"/>
    <x v="96"/>
    <s v="DOCENCIA"/>
    <n v="2"/>
    <n v="6.42"/>
    <d v="2022-05-23T00:00:00"/>
    <s v="No"/>
  </r>
  <r>
    <s v="CONSTRUIDA"/>
    <s v="Propiedad"/>
    <x v="4"/>
    <m/>
    <n v="1"/>
    <x v="4"/>
    <x v="14"/>
    <x v="97"/>
    <s v="Integral"/>
    <n v="1"/>
    <n v="6.73"/>
    <d v="2022-05-23T00:00:00"/>
    <s v="No"/>
  </r>
  <r>
    <s v="CONSTRUIDA"/>
    <s v="Propiedad"/>
    <x v="4"/>
    <m/>
    <n v="1"/>
    <x v="21"/>
    <x v="17"/>
    <x v="98"/>
    <s v="DOCENCIA"/>
    <n v="1"/>
    <n v="1.34"/>
    <d v="2022-05-23T00:00:00"/>
    <s v="No"/>
  </r>
  <r>
    <s v="CONSTRUIDA"/>
    <s v="Propiedad"/>
    <x v="4"/>
    <m/>
    <n v="1"/>
    <x v="21"/>
    <x v="17"/>
    <x v="99"/>
    <s v="Procesos de apoyo"/>
    <n v="10"/>
    <n v="19.75"/>
    <d v="2022-05-23T00:00:00"/>
    <s v="Si"/>
  </r>
  <r>
    <s v="CONSTRUIDA"/>
    <s v="Propiedad"/>
    <x v="4"/>
    <m/>
    <n v="1"/>
    <x v="21"/>
    <x v="17"/>
    <x v="23"/>
    <s v="Procesos de apoyo"/>
    <n v="15"/>
    <n v="11.3"/>
    <d v="2022-05-23T00:00:00"/>
    <s v="Si"/>
  </r>
  <r>
    <s v="CONSTRUIDA"/>
    <s v="Propiedad"/>
    <x v="4"/>
    <n v="105"/>
    <n v="1"/>
    <x v="21"/>
    <x v="17"/>
    <x v="48"/>
    <s v="DOCENCIA"/>
    <n v="1"/>
    <n v="3.17"/>
    <d v="2022-05-23T00:00:00"/>
    <s v="Si"/>
  </r>
  <r>
    <s v="CONSTRUIDA"/>
    <s v="Propiedad"/>
    <x v="4"/>
    <n v="106"/>
    <n v="1"/>
    <x v="4"/>
    <x v="6"/>
    <x v="100"/>
    <s v="N/A"/>
    <n v="1"/>
    <n v="6.73"/>
    <d v="2022-05-23T00:00:00"/>
    <s v="Si"/>
  </r>
  <r>
    <s v="CONSTRUIDA"/>
    <s v="Propiedad"/>
    <x v="4"/>
    <m/>
    <n v="1"/>
    <x v="5"/>
    <x v="4"/>
    <x v="29"/>
    <s v="Procesos de apoyo"/>
    <n v="1"/>
    <n v="3.8"/>
    <d v="2022-05-23T00:00:00"/>
    <s v="Si"/>
  </r>
  <r>
    <s v="CONSTRUIDA"/>
    <s v="Propiedad"/>
    <x v="5"/>
    <m/>
    <n v="1"/>
    <x v="22"/>
    <x v="4"/>
    <x v="101"/>
    <s v="Procesos de apoyo"/>
    <n v="93"/>
    <n v="234.1"/>
    <d v="2022-05-23T00:00:00"/>
    <s v="Si"/>
  </r>
  <r>
    <s v="CONSTRUIDA"/>
    <s v="Propiedad"/>
    <x v="5"/>
    <m/>
    <n v="1"/>
    <x v="18"/>
    <x v="18"/>
    <x v="102"/>
    <s v="Integral"/>
    <n v="110"/>
    <n v="12.08"/>
    <d v="2022-05-23T00:00:00"/>
    <s v="Si"/>
  </r>
  <r>
    <s v="CONSTRUIDA"/>
    <s v="Propiedad"/>
    <x v="5"/>
    <m/>
    <n v="1"/>
    <x v="18"/>
    <x v="18"/>
    <x v="103"/>
    <s v="Integral"/>
    <n v="2"/>
    <n v="10.61"/>
    <d v="2022-05-23T00:00:00"/>
    <s v="Si"/>
  </r>
  <r>
    <s v="CONSTRUIDA"/>
    <s v="Propiedad"/>
    <x v="5"/>
    <m/>
    <n v="1"/>
    <x v="18"/>
    <x v="18"/>
    <x v="104"/>
    <s v="Integral"/>
    <m/>
    <n v="67.13"/>
    <d v="2022-05-23T00:00:00"/>
    <m/>
  </r>
  <r>
    <s v="CONSTRUIDA"/>
    <s v="Propiedad"/>
    <x v="5"/>
    <m/>
    <n v="1"/>
    <x v="18"/>
    <x v="18"/>
    <x v="105"/>
    <s v="Integral"/>
    <n v="1"/>
    <n v="5.41"/>
    <d v="2022-05-23T00:00:00"/>
    <s v="Si"/>
  </r>
  <r>
    <s v="CONSTRUIDA"/>
    <s v="Propiedad"/>
    <x v="5"/>
    <m/>
    <n v="1"/>
    <x v="18"/>
    <x v="18"/>
    <x v="106"/>
    <s v="Integral"/>
    <n v="1"/>
    <n v="2.71"/>
    <d v="2022-05-23T00:00:00"/>
    <s v="No"/>
  </r>
  <r>
    <s v="CONSTRUIDA"/>
    <s v="Propiedad"/>
    <x v="5"/>
    <m/>
    <n v="1"/>
    <x v="18"/>
    <x v="18"/>
    <x v="103"/>
    <s v="Integral"/>
    <n v="1"/>
    <n v="8.91"/>
    <d v="2022-05-23T00:00:00"/>
    <s v="Si"/>
  </r>
  <r>
    <s v="CONSTRUIDA"/>
    <s v="Propiedad"/>
    <x v="5"/>
    <m/>
    <n v="1"/>
    <x v="0"/>
    <x v="18"/>
    <x v="107"/>
    <s v="Integral"/>
    <n v="1"/>
    <n v="10.6"/>
    <d v="2022-05-23T00:00:00"/>
    <s v="No"/>
  </r>
  <r>
    <s v="CONSTRUIDA"/>
    <s v="Propiedad"/>
    <x v="5"/>
    <m/>
    <n v="1"/>
    <x v="0"/>
    <x v="18"/>
    <x v="108"/>
    <s v="Integral"/>
    <n v="1"/>
    <n v="10.57"/>
    <d v="2022-05-23T00:00:00"/>
    <s v="Si"/>
  </r>
  <r>
    <s v="CONSTRUIDA"/>
    <s v="Propiedad"/>
    <x v="5"/>
    <m/>
    <n v="1"/>
    <x v="0"/>
    <x v="18"/>
    <x v="109"/>
    <s v="Integral"/>
    <n v="2"/>
    <n v="28.55"/>
    <d v="2022-05-23T00:00:00"/>
    <s v="No"/>
  </r>
  <r>
    <s v="CONSTRUIDA"/>
    <s v="Propiedad"/>
    <x v="5"/>
    <m/>
    <n v="1"/>
    <x v="0"/>
    <x v="1"/>
    <x v="110"/>
    <s v="Integral"/>
    <n v="3"/>
    <n v="16.420000000000002"/>
    <d v="2022-05-23T00:00:00"/>
    <s v="Si"/>
  </r>
  <r>
    <s v="CONSTRUIDA"/>
    <s v="Propiedad"/>
    <x v="5"/>
    <m/>
    <n v="1"/>
    <x v="0"/>
    <x v="18"/>
    <x v="111"/>
    <s v="Integral"/>
    <n v="1"/>
    <n v="20.28"/>
    <d v="2022-05-23T00:00:00"/>
    <s v="Si"/>
  </r>
  <r>
    <s v="CONSTRUIDA"/>
    <s v="Propiedad"/>
    <x v="5"/>
    <m/>
    <n v="1"/>
    <x v="18"/>
    <x v="18"/>
    <x v="112"/>
    <s v="Integral"/>
    <n v="51"/>
    <n v="96.12"/>
    <d v="2022-05-23T00:00:00"/>
    <s v="Si"/>
  </r>
  <r>
    <s v="CONSTRUIDA"/>
    <s v="Propiedad"/>
    <x v="5"/>
    <m/>
    <n v="1"/>
    <x v="6"/>
    <x v="18"/>
    <x v="113"/>
    <s v="N/A"/>
    <n v="0"/>
    <n v="97.81"/>
    <d v="2022-05-23T00:00:00"/>
    <s v="Si"/>
  </r>
  <r>
    <s v="CONSTRUIDA"/>
    <s v="Propiedad"/>
    <x v="5"/>
    <m/>
    <n v="1"/>
    <x v="18"/>
    <x v="18"/>
    <x v="114"/>
    <s v="Integral"/>
    <n v="2"/>
    <n v="143.11000000000001"/>
    <d v="2022-05-23T00:00:00"/>
    <s v="Si"/>
  </r>
  <r>
    <s v="CONSTRUIDA"/>
    <s v="Propiedad"/>
    <x v="5"/>
    <m/>
    <n v="1"/>
    <x v="18"/>
    <x v="18"/>
    <x v="115"/>
    <s v="Integral"/>
    <n v="10"/>
    <n v="5.43"/>
    <d v="2022-05-23T00:00:00"/>
    <s v="Si"/>
  </r>
  <r>
    <s v="CONSTRUIDA"/>
    <s v="Propiedad"/>
    <x v="5"/>
    <m/>
    <n v="1"/>
    <x v="18"/>
    <x v="18"/>
    <x v="116"/>
    <s v="Integral"/>
    <n v="34"/>
    <n v="85.47"/>
    <d v="2022-05-23T00:00:00"/>
    <s v="Si"/>
  </r>
  <r>
    <s v="CONSTRUIDA"/>
    <s v="Propiedad"/>
    <x v="5"/>
    <m/>
    <n v="1"/>
    <x v="18"/>
    <x v="18"/>
    <x v="117"/>
    <s v="Integral"/>
    <n v="30"/>
    <n v="74.09"/>
    <d v="2022-05-23T00:00:00"/>
    <s v="Si"/>
  </r>
  <r>
    <s v="CONSTRUIDA"/>
    <s v="Propiedad"/>
    <x v="5"/>
    <m/>
    <n v="1"/>
    <x v="18"/>
    <x v="18"/>
    <x v="118"/>
    <s v="Integral"/>
    <n v="0"/>
    <n v="10.35"/>
    <d v="2022-05-23T00:00:00"/>
    <s v="Si"/>
  </r>
  <r>
    <s v="CONSTRUIDA"/>
    <s v="Propiedad"/>
    <x v="5"/>
    <m/>
    <n v="1"/>
    <x v="18"/>
    <x v="18"/>
    <x v="119"/>
    <s v="Integral"/>
    <n v="12"/>
    <n v="22.81"/>
    <d v="2022-05-23T00:00:00"/>
    <s v="Si"/>
  </r>
  <r>
    <s v="CONSTRUIDA"/>
    <s v="Propiedad"/>
    <x v="5"/>
    <m/>
    <n v="1"/>
    <x v="2"/>
    <x v="4"/>
    <x v="120"/>
    <s v="N/A"/>
    <n v="1"/>
    <n v="1.65"/>
    <d v="2022-05-23T00:00:00"/>
    <s v="Si"/>
  </r>
  <r>
    <s v="CONSTRUIDA"/>
    <s v="Propiedad"/>
    <x v="4"/>
    <m/>
    <n v="1"/>
    <x v="2"/>
    <x v="4"/>
    <x v="121"/>
    <s v="N/A"/>
    <n v="1"/>
    <n v="1.649"/>
    <d v="2022-05-23T00:00:00"/>
    <s v="Si"/>
  </r>
  <r>
    <s v="CONSTRUIDA"/>
    <s v="Propiedad"/>
    <x v="5"/>
    <m/>
    <n v="1"/>
    <x v="2"/>
    <x v="4"/>
    <x v="121"/>
    <s v="N/A"/>
    <n v="1"/>
    <n v="1.649"/>
    <d v="2022-05-23T00:00:00"/>
    <s v="Si"/>
  </r>
  <r>
    <s v="CONSTRUIDA"/>
    <s v="Propiedad"/>
    <x v="4"/>
    <m/>
    <n v="1"/>
    <x v="10"/>
    <x v="14"/>
    <x v="122"/>
    <s v="N/A"/>
    <n v="1"/>
    <n v="4.7"/>
    <d v="2022-05-23T00:00:00"/>
    <s v="Si"/>
  </r>
  <r>
    <s v="CONSTRUIDA"/>
    <s v="Propiedad"/>
    <x v="4"/>
    <m/>
    <n v="1"/>
    <x v="10"/>
    <x v="14"/>
    <x v="123"/>
    <s v="N/A"/>
    <n v="2"/>
    <n v="4.7"/>
    <d v="2022-05-23T00:00:00"/>
    <s v="Si"/>
  </r>
  <r>
    <s v="CONSTRUIDA"/>
    <s v="Propiedad"/>
    <x v="4"/>
    <m/>
    <n v="1"/>
    <x v="10"/>
    <x v="14"/>
    <x v="124"/>
    <s v="N/A"/>
    <n v="1"/>
    <n v="7.52"/>
    <d v="2022-05-23T00:00:00"/>
    <s v="Si"/>
  </r>
  <r>
    <s v="CONSTRUIDA"/>
    <s v="Propiedad"/>
    <x v="4"/>
    <m/>
    <n v="1"/>
    <x v="6"/>
    <x v="4"/>
    <x v="125"/>
    <s v="N/A"/>
    <n v="0"/>
    <n v="115.86"/>
    <d v="2022-05-23T00:00:00"/>
    <s v="Si"/>
  </r>
  <r>
    <s v="CONSTRUIDA"/>
    <s v="Propiedad"/>
    <x v="4"/>
    <m/>
    <n v="1"/>
    <x v="6"/>
    <x v="4"/>
    <x v="126"/>
    <s v="N/A"/>
    <n v="0"/>
    <n v="127.15"/>
    <d v="2022-05-23T00:00:00"/>
    <s v="Si"/>
  </r>
  <r>
    <s v="CONSTRUIDA"/>
    <s v="Propiedad"/>
    <x v="4"/>
    <m/>
    <n v="1"/>
    <x v="20"/>
    <x v="4"/>
    <x v="127"/>
    <s v="Procesos de apoyo"/>
    <n v="0"/>
    <n v="16.2"/>
    <d v="2022-05-23T00:00:00"/>
    <s v="Si"/>
  </r>
  <r>
    <s v="CONSTRUIDA"/>
    <s v="Propiedad"/>
    <x v="4"/>
    <s v="H201"/>
    <n v="2"/>
    <x v="14"/>
    <x v="12"/>
    <x v="128"/>
    <s v="DOCENCIA"/>
    <n v="16"/>
    <n v="31.6"/>
    <d v="2022-05-25T00:00:00"/>
    <s v="No"/>
  </r>
  <r>
    <s v="CONSTRUIDA"/>
    <s v="Propiedad"/>
    <x v="5"/>
    <n v="207"/>
    <n v="2"/>
    <x v="23"/>
    <x v="19"/>
    <x v="129"/>
    <s v="DOCENCIA"/>
    <n v="20"/>
    <n v="50.75"/>
    <d v="2022-05-25T00:00:00"/>
    <s v="No"/>
  </r>
  <r>
    <s v="CONSTRUIDA"/>
    <s v="Propiedad"/>
    <x v="4"/>
    <s v="I208"/>
    <n v="2"/>
    <x v="14"/>
    <x v="12"/>
    <x v="38"/>
    <s v="DOCENCIA"/>
    <n v="22"/>
    <n v="43.78"/>
    <d v="2022-05-25T00:00:00"/>
    <s v="No"/>
  </r>
  <r>
    <s v="CONSTRUIDA"/>
    <s v="Propiedad"/>
    <x v="4"/>
    <s v="I209"/>
    <n v="2"/>
    <x v="14"/>
    <x v="12"/>
    <x v="38"/>
    <s v="DOCENCIA"/>
    <n v="26"/>
    <n v="52.43"/>
    <d v="2022-05-25T00:00:00"/>
    <s v="No"/>
  </r>
  <r>
    <s v="CONSTRUIDA"/>
    <s v="Propiedad"/>
    <x v="4"/>
    <s v="I212"/>
    <n v="2"/>
    <x v="14"/>
    <x v="12"/>
    <x v="38"/>
    <s v="DOCENCIA"/>
    <n v="25"/>
    <n v="50.05"/>
    <d v="2022-05-25T00:00:00"/>
    <s v="No"/>
  </r>
  <r>
    <s v="CONSTRUIDA"/>
    <s v="Propiedad"/>
    <x v="4"/>
    <s v="I213"/>
    <n v="2"/>
    <x v="14"/>
    <x v="12"/>
    <x v="38"/>
    <s v="DOCENCIA"/>
    <n v="27"/>
    <n v="50"/>
    <d v="2022-05-25T00:00:00"/>
    <s v="No"/>
  </r>
  <r>
    <s v="CONSTRUIDA"/>
    <s v="Propiedad"/>
    <x v="4"/>
    <m/>
    <n v="2"/>
    <x v="24"/>
    <x v="3"/>
    <x v="130"/>
    <s v="INVESTIGACIÓN"/>
    <n v="12"/>
    <n v="50.13"/>
    <d v="2022-05-25T00:00:00"/>
    <s v="No"/>
  </r>
  <r>
    <s v="CONSTRUIDA"/>
    <s v="Propiedad"/>
    <x v="5"/>
    <s v="206 E y F"/>
    <n v="2"/>
    <x v="23"/>
    <x v="19"/>
    <x v="131"/>
    <s v="DOCENCIA"/>
    <n v="14"/>
    <n v="33.119999999999997"/>
    <d v="2022-05-25T00:00:00"/>
    <s v="No"/>
  </r>
  <r>
    <s v="CONSTRUIDA"/>
    <s v="Propiedad"/>
    <x v="5"/>
    <s v="206A"/>
    <n v="2"/>
    <x v="0"/>
    <x v="20"/>
    <x v="132"/>
    <s v="DOCENCIA"/>
    <n v="2"/>
    <n v="21.91"/>
    <d v="2022-05-25T00:00:00"/>
    <s v="No"/>
  </r>
  <r>
    <s v="CONSTRUIDA"/>
    <s v="Propiedad"/>
    <x v="5"/>
    <s v="206B"/>
    <n v="2"/>
    <x v="0"/>
    <x v="20"/>
    <x v="133"/>
    <s v="DOCENCIA"/>
    <n v="1"/>
    <n v="10.119999999999999"/>
    <d v="2022-05-25T00:00:00"/>
    <s v="No"/>
  </r>
  <r>
    <s v="CONSTRUIDA"/>
    <s v="Propiedad"/>
    <x v="5"/>
    <s v="206C"/>
    <n v="2"/>
    <x v="0"/>
    <x v="21"/>
    <x v="132"/>
    <s v="DOCENCIA"/>
    <n v="1"/>
    <n v="19.21"/>
    <d v="2022-05-25T00:00:00"/>
    <s v="No"/>
  </r>
  <r>
    <s v="CONSTRUIDA"/>
    <s v="Propiedad"/>
    <x v="5"/>
    <s v="206D"/>
    <n v="2"/>
    <x v="0"/>
    <x v="21"/>
    <x v="134"/>
    <s v="DOCENCIA"/>
    <n v="1"/>
    <n v="16.440000000000001"/>
    <d v="2022-05-25T00:00:00"/>
    <s v="No"/>
  </r>
  <r>
    <s v="CONSTRUIDA"/>
    <s v="Propiedad"/>
    <x v="4"/>
    <m/>
    <n v="2"/>
    <x v="1"/>
    <x v="12"/>
    <x v="135"/>
    <s v="Procesos de apoyo"/>
    <n v="20"/>
    <n v="43.62"/>
    <d v="2022-05-25T00:00:00"/>
    <s v="No"/>
  </r>
  <r>
    <s v="CONSTRUIDA"/>
    <s v="Propiedad"/>
    <x v="4"/>
    <m/>
    <n v="2"/>
    <x v="9"/>
    <x v="21"/>
    <x v="136"/>
    <s v="Procesos de apoyo"/>
    <n v="12"/>
    <n v="17.48"/>
    <d v="2022-05-25T00:00:00"/>
    <s v="No"/>
  </r>
  <r>
    <s v="CONSTRUIDA"/>
    <s v="Propiedad"/>
    <x v="4"/>
    <m/>
    <n v="2"/>
    <x v="0"/>
    <x v="12"/>
    <x v="137"/>
    <s v="Procesos de apoyo"/>
    <n v="2"/>
    <n v="10.130000000000001"/>
    <d v="2022-05-25T00:00:00"/>
    <s v="No"/>
  </r>
  <r>
    <s v="CONSTRUIDA"/>
    <s v="Propiedad"/>
    <x v="4"/>
    <m/>
    <n v="2"/>
    <x v="0"/>
    <x v="12"/>
    <x v="138"/>
    <s v="Procesos de apoyo"/>
    <n v="1"/>
    <n v="10.11"/>
    <d v="2022-05-25T00:00:00"/>
    <s v="No"/>
  </r>
  <r>
    <s v="CONSTRUIDA"/>
    <s v="Propiedad"/>
    <x v="4"/>
    <m/>
    <n v="2"/>
    <x v="0"/>
    <x v="12"/>
    <x v="139"/>
    <s v="Procesos de apoyo"/>
    <n v="1"/>
    <n v="16.66"/>
    <d v="2022-05-25T00:00:00"/>
    <s v="No"/>
  </r>
  <r>
    <s v="CONSTRUIDA"/>
    <s v="Propiedad"/>
    <x v="4"/>
    <m/>
    <n v="2"/>
    <x v="12"/>
    <x v="12"/>
    <x v="140"/>
    <s v="N/A"/>
    <n v="0"/>
    <n v="7.21"/>
    <d v="2022-05-25T00:00:00"/>
    <s v="No"/>
  </r>
  <r>
    <s v="CONSTRUIDA"/>
    <s v="Propiedad"/>
    <x v="4"/>
    <m/>
    <n v="2"/>
    <x v="0"/>
    <x v="12"/>
    <x v="141"/>
    <s v="Procesos de apoyo"/>
    <n v="7"/>
    <n v="19.559999999999999"/>
    <d v="2022-05-25T00:00:00"/>
    <s v="No"/>
  </r>
  <r>
    <s v="CONSTRUIDA"/>
    <s v="Propiedad"/>
    <x v="4"/>
    <m/>
    <n v="2"/>
    <x v="12"/>
    <x v="12"/>
    <x v="142"/>
    <s v="N/A"/>
    <n v="0"/>
    <n v="27.17"/>
    <d v="2022-05-25T00:00:00"/>
    <s v="No"/>
  </r>
  <r>
    <s v="CONSTRUIDA"/>
    <s v="Propiedad"/>
    <x v="4"/>
    <m/>
    <n v="2"/>
    <x v="0"/>
    <x v="12"/>
    <x v="143"/>
    <s v="Procesos de apoyo"/>
    <n v="3"/>
    <n v="11.1"/>
    <d v="2022-05-25T00:00:00"/>
    <s v="No"/>
  </r>
  <r>
    <s v="CONSTRUIDA"/>
    <s v="Propiedad"/>
    <x v="4"/>
    <m/>
    <n v="2"/>
    <x v="0"/>
    <x v="12"/>
    <x v="144"/>
    <s v="DOCENCIA"/>
    <n v="10"/>
    <n v="22.67"/>
    <d v="2022-05-25T00:00:00"/>
    <s v="No"/>
  </r>
  <r>
    <s v="CONSTRUIDA"/>
    <s v="Propiedad"/>
    <x v="4"/>
    <m/>
    <n v="2"/>
    <x v="0"/>
    <x v="12"/>
    <x v="145"/>
    <s v="DOCENCIA"/>
    <n v="3"/>
    <n v="11.2"/>
    <d v="2022-05-25T00:00:00"/>
    <s v="No"/>
  </r>
  <r>
    <s v="CONSTRUIDA"/>
    <s v="Propiedad"/>
    <x v="4"/>
    <m/>
    <n v="2"/>
    <x v="0"/>
    <x v="1"/>
    <x v="146"/>
    <s v="Procesos de apoyo"/>
    <n v="2"/>
    <n v="21.29"/>
    <d v="2022-05-25T00:00:00"/>
    <s v="No"/>
  </r>
  <r>
    <s v="CONSTRUIDA"/>
    <s v="Propiedad"/>
    <x v="4"/>
    <m/>
    <n v="2"/>
    <x v="0"/>
    <x v="22"/>
    <x v="147"/>
    <s v="DOCENCIA"/>
    <n v="17"/>
    <n v="42.18"/>
    <d v="2022-05-25T00:00:00"/>
    <s v="No"/>
  </r>
  <r>
    <s v="CONSTRUIDA"/>
    <s v="Propiedad"/>
    <x v="4"/>
    <m/>
    <n v="2"/>
    <x v="0"/>
    <x v="23"/>
    <x v="148"/>
    <s v="DOCENCIA"/>
    <n v="3"/>
    <n v="9.68"/>
    <d v="2022-05-25T00:00:00"/>
    <s v="No"/>
  </r>
  <r>
    <s v="CONSTRUIDA"/>
    <s v="Propiedad"/>
    <x v="4"/>
    <m/>
    <n v="2"/>
    <x v="0"/>
    <x v="24"/>
    <x v="149"/>
    <s v="DOCENCIA"/>
    <n v="38"/>
    <n v="74.27"/>
    <d v="2022-05-25T00:00:00"/>
    <s v="No"/>
  </r>
  <r>
    <s v="CONSTRUIDA"/>
    <s v="Propiedad"/>
    <x v="4"/>
    <m/>
    <n v="2"/>
    <x v="2"/>
    <x v="4"/>
    <x v="150"/>
    <s v="N/A"/>
    <n v="1"/>
    <n v="3.63"/>
    <d v="2022-05-25T00:00:00"/>
    <s v="No"/>
  </r>
  <r>
    <s v="CONSTRUIDA"/>
    <s v="Propiedad"/>
    <x v="4"/>
    <m/>
    <n v="2"/>
    <x v="2"/>
    <x v="4"/>
    <x v="151"/>
    <s v="N/A"/>
    <n v="1"/>
    <n v="3.63"/>
    <d v="2022-05-25T00:00:00"/>
    <s v="No"/>
  </r>
  <r>
    <s v="CONSTRUIDA"/>
    <s v="Propiedad"/>
    <x v="4"/>
    <m/>
    <n v="2"/>
    <x v="2"/>
    <x v="4"/>
    <x v="152"/>
    <s v="N/A"/>
    <n v="1"/>
    <n v="1.6"/>
    <d v="2022-05-25T00:00:00"/>
    <s v="No"/>
  </r>
  <r>
    <s v="CONSTRUIDA"/>
    <s v="Propiedad"/>
    <x v="4"/>
    <m/>
    <n v="2"/>
    <x v="2"/>
    <x v="4"/>
    <x v="153"/>
    <s v="N/A"/>
    <n v="1"/>
    <n v="1.6"/>
    <d v="2022-05-25T00:00:00"/>
    <s v="No"/>
  </r>
  <r>
    <s v="CONSTRUIDA"/>
    <s v="Propiedad"/>
    <x v="4"/>
    <m/>
    <n v="2"/>
    <x v="10"/>
    <x v="4"/>
    <x v="58"/>
    <s v="N/A"/>
    <n v="1"/>
    <n v="8.26"/>
    <d v="2022-05-25T00:00:00"/>
    <s v="Si"/>
  </r>
  <r>
    <s v="CONSTRUIDA"/>
    <s v="Propiedad"/>
    <x v="4"/>
    <m/>
    <n v="2"/>
    <x v="20"/>
    <x v="14"/>
    <x v="154"/>
    <s v="Procesos de apoyo"/>
    <n v="0"/>
    <n v="16.190000000000001"/>
    <d v="2022-05-25T00:00:00"/>
    <s v="Si"/>
  </r>
  <r>
    <s v="CONSTRUIDA"/>
    <s v="Propiedad"/>
    <x v="4"/>
    <m/>
    <n v="2"/>
    <x v="6"/>
    <x v="4"/>
    <x v="155"/>
    <s v="N/A"/>
    <n v="0"/>
    <n v="277.39999999999998"/>
    <d v="2022-05-25T00:00:00"/>
    <s v="Si"/>
  </r>
  <r>
    <s v="CONSTRUIDA"/>
    <s v="Propiedad"/>
    <x v="4"/>
    <m/>
    <n v="2"/>
    <x v="16"/>
    <x v="4"/>
    <x v="156"/>
    <s v="Procesos de apoyo"/>
    <n v="0"/>
    <n v="28.09"/>
    <d v="2022-05-25T00:00:00"/>
    <s v="No"/>
  </r>
  <r>
    <s v="CONSTRUIDA"/>
    <s v="Propiedad"/>
    <x v="5"/>
    <m/>
    <n v="2"/>
    <x v="12"/>
    <x v="10"/>
    <x v="157"/>
    <s v="N/A"/>
    <n v="0"/>
    <n v="6.7"/>
    <d v="2022-05-25T00:00:00"/>
    <s v="No"/>
  </r>
  <r>
    <s v="CONSTRUIDA"/>
    <s v="Propiedad"/>
    <x v="5"/>
    <m/>
    <n v="2"/>
    <x v="11"/>
    <x v="4"/>
    <x v="29"/>
    <s v="N/A"/>
    <n v="0"/>
    <n v="3.03"/>
    <d v="2022-05-25T00:00:00"/>
    <s v="No"/>
  </r>
  <r>
    <s v="CONSTRUIDA"/>
    <s v="Propiedad"/>
    <x v="5"/>
    <m/>
    <n v="2"/>
    <x v="4"/>
    <x v="6"/>
    <x v="100"/>
    <s v="N/A"/>
    <n v="0"/>
    <n v="7.41"/>
    <d v="2022-05-25T00:00:00"/>
    <s v="No"/>
  </r>
  <r>
    <s v="CONSTRUIDA"/>
    <s v="Propiedad"/>
    <x v="5"/>
    <m/>
    <n v="2"/>
    <x v="18"/>
    <x v="18"/>
    <x v="158"/>
    <s v="Integral"/>
    <n v="25"/>
    <n v="29.44"/>
    <d v="2022-05-25T00:00:00"/>
    <s v="No"/>
  </r>
  <r>
    <s v="CONSTRUIDA"/>
    <s v="Propiedad"/>
    <x v="5"/>
    <m/>
    <n v="2"/>
    <x v="18"/>
    <x v="18"/>
    <x v="159"/>
    <s v="Integral"/>
    <n v="35"/>
    <n v="64.39"/>
    <d v="2022-05-25T00:00:00"/>
    <s v="No"/>
  </r>
  <r>
    <s v="CONSTRUIDA"/>
    <s v="Propiedad"/>
    <x v="5"/>
    <m/>
    <n v="2"/>
    <x v="18"/>
    <x v="18"/>
    <x v="160"/>
    <s v="Integral"/>
    <n v="20"/>
    <n v="40.06"/>
    <d v="2022-05-25T00:00:00"/>
    <s v="No"/>
  </r>
  <r>
    <s v="CONSTRUIDA"/>
    <s v="Propiedad"/>
    <x v="5"/>
    <m/>
    <n v="2"/>
    <x v="18"/>
    <x v="18"/>
    <x v="161"/>
    <s v="Integral"/>
    <n v="16"/>
    <n v="59.41"/>
    <d v="2022-05-25T00:00:00"/>
    <s v="No"/>
  </r>
  <r>
    <s v="CONSTRUIDA"/>
    <s v="Propiedad"/>
    <x v="5"/>
    <m/>
    <n v="2"/>
    <x v="18"/>
    <x v="18"/>
    <x v="162"/>
    <s v="Procesos de apoyo"/>
    <n v="1"/>
    <n v="3.5"/>
    <d v="2022-05-25T00:00:00"/>
    <s v="No"/>
  </r>
  <r>
    <s v="CONSTRUIDA"/>
    <s v="Propiedad"/>
    <x v="5"/>
    <m/>
    <n v="2"/>
    <x v="18"/>
    <x v="18"/>
    <x v="163"/>
    <s v="Procesos de apoyo"/>
    <n v="0"/>
    <n v="12.38"/>
    <d v="2022-05-25T00:00:00"/>
    <s v="Si"/>
  </r>
  <r>
    <s v="CONSTRUIDA"/>
    <s v="Propiedad"/>
    <x v="4"/>
    <s v="301A"/>
    <n v="3"/>
    <x v="0"/>
    <x v="4"/>
    <x v="164"/>
    <s v="DOCENCIA"/>
    <n v="7"/>
    <n v="19.09"/>
    <d v="2022-05-30T00:00:00"/>
    <s v="No"/>
  </r>
  <r>
    <s v="CONSTRUIDA"/>
    <s v="Propiedad"/>
    <x v="4"/>
    <s v="301B"/>
    <n v="3"/>
    <x v="0"/>
    <x v="25"/>
    <x v="165"/>
    <s v="DOCENCIA"/>
    <n v="1"/>
    <n v="10.56"/>
    <d v="2022-05-30T00:00:00"/>
    <s v="No"/>
  </r>
  <r>
    <s v="CONSTRUIDA"/>
    <s v="Propiedad"/>
    <x v="4"/>
    <s v="301C"/>
    <n v="3"/>
    <x v="0"/>
    <x v="25"/>
    <x v="166"/>
    <s v="DOCENCIA"/>
    <n v="1"/>
    <n v="12.9"/>
    <d v="2022-05-30T00:00:00"/>
    <s v="No"/>
  </r>
  <r>
    <s v="CONSTRUIDA"/>
    <s v="Propiedad"/>
    <x v="4"/>
    <s v="301D"/>
    <n v="3"/>
    <x v="23"/>
    <x v="25"/>
    <x v="167"/>
    <s v="DOCENCIA"/>
    <n v="6"/>
    <n v="27.63"/>
    <d v="2022-05-30T00:00:00"/>
    <s v="No"/>
  </r>
  <r>
    <s v="CONSTRUIDA"/>
    <s v="Propiedad"/>
    <x v="4"/>
    <m/>
    <n v="3"/>
    <x v="2"/>
    <x v="25"/>
    <x v="168"/>
    <s v="DOCENCIA"/>
    <n v="1"/>
    <n v="2.21"/>
    <d v="2022-05-30T00:00:00"/>
    <s v="No"/>
  </r>
  <r>
    <s v="CONSTRUIDA"/>
    <s v="Propiedad"/>
    <x v="4"/>
    <m/>
    <n v="3"/>
    <x v="2"/>
    <x v="25"/>
    <x v="169"/>
    <s v="DOCENCIA"/>
    <n v="1"/>
    <n v="4.1100000000000003"/>
    <d v="2022-05-30T00:00:00"/>
    <s v="No"/>
  </r>
  <r>
    <s v="CONSTRUIDA"/>
    <s v="Propiedad"/>
    <x v="4"/>
    <s v="H302"/>
    <n v="3"/>
    <x v="14"/>
    <x v="12"/>
    <x v="170"/>
    <s v="DOCENCIA"/>
    <n v="32"/>
    <n v="77.489999999999995"/>
    <d v="2022-05-30T00:00:00"/>
    <s v="No"/>
  </r>
  <r>
    <s v="CONSTRUIDA"/>
    <s v="Propiedad"/>
    <x v="4"/>
    <s v="H305"/>
    <n v="3"/>
    <x v="14"/>
    <x v="12"/>
    <x v="170"/>
    <s v="DOCENCIA"/>
    <n v="32"/>
    <n v="74.83"/>
    <d v="2022-05-30T00:00:00"/>
    <s v="No"/>
  </r>
  <r>
    <s v="CONSTRUIDA"/>
    <s v="Propiedad"/>
    <x v="4"/>
    <s v="H306"/>
    <n v="3"/>
    <x v="14"/>
    <x v="12"/>
    <x v="38"/>
    <s v="DOCENCIA"/>
    <n v="64"/>
    <n v="74.98"/>
    <d v="2022-05-30T00:00:00"/>
    <s v="No"/>
  </r>
  <r>
    <s v="CONSTRUIDA"/>
    <s v="Propiedad"/>
    <x v="4"/>
    <m/>
    <n v="3"/>
    <x v="12"/>
    <x v="26"/>
    <x v="171"/>
    <s v="N/A"/>
    <n v="0"/>
    <n v="5.89"/>
    <d v="2022-05-30T00:00:00"/>
    <s v="No"/>
  </r>
  <r>
    <s v="CONSTRUIDA"/>
    <s v="Propiedad"/>
    <x v="4"/>
    <m/>
    <n v="3"/>
    <x v="4"/>
    <x v="6"/>
    <x v="61"/>
    <s v="N/A"/>
    <n v="0"/>
    <n v="5.74"/>
    <d v="2022-05-30T00:00:00"/>
    <s v="No"/>
  </r>
  <r>
    <s v="CONSTRUIDA"/>
    <s v="Propiedad"/>
    <x v="5"/>
    <m/>
    <n v="3"/>
    <x v="12"/>
    <x v="4"/>
    <x v="172"/>
    <s v="N/A"/>
    <n v="0"/>
    <n v="3.37"/>
    <d v="2022-05-30T00:00:00"/>
    <s v="No"/>
  </r>
  <r>
    <s v="CONSTRUIDA"/>
    <s v="Propiedad"/>
    <x v="5"/>
    <m/>
    <n v="3"/>
    <x v="12"/>
    <x v="10"/>
    <x v="173"/>
    <s v="N/A"/>
    <n v="0"/>
    <n v="6.86"/>
    <d v="2022-05-30T00:00:00"/>
    <s v="No"/>
  </r>
  <r>
    <s v="CONSTRUIDA"/>
    <s v="Propiedad"/>
    <x v="4"/>
    <m/>
    <n v="3"/>
    <x v="5"/>
    <x v="14"/>
    <x v="105"/>
    <s v="Procesos de apoyo"/>
    <n v="0"/>
    <n v="6.6"/>
    <d v="2022-05-30T00:00:00"/>
    <s v="No"/>
  </r>
  <r>
    <s v="CONSTRUIDA"/>
    <s v="Propiedad"/>
    <x v="4"/>
    <m/>
    <n v="3"/>
    <x v="10"/>
    <x v="4"/>
    <x v="174"/>
    <s v="N/A"/>
    <n v="2"/>
    <n v="8.6300000000000008"/>
    <d v="2022-05-30T00:00:00"/>
    <s v="Si"/>
  </r>
  <r>
    <s v="CONSTRUIDA"/>
    <s v="Propiedad"/>
    <x v="4"/>
    <m/>
    <n v="3"/>
    <x v="10"/>
    <x v="4"/>
    <x v="175"/>
    <s v="N/A"/>
    <n v="2"/>
    <n v="7.71"/>
    <d v="2022-05-30T00:00:00"/>
    <s v="Si"/>
  </r>
  <r>
    <s v="CONSTRUIDA"/>
    <s v="Propiedad"/>
    <x v="4"/>
    <m/>
    <n v="3"/>
    <x v="20"/>
    <x v="14"/>
    <x v="176"/>
    <s v="Procesos de apoyo"/>
    <n v="0"/>
    <n v="16.89"/>
    <d v="2022-05-30T00:00:00"/>
    <s v="Si"/>
  </r>
  <r>
    <s v="CONSTRUIDA"/>
    <s v="Propiedad"/>
    <x v="4"/>
    <m/>
    <n v="3"/>
    <x v="16"/>
    <x v="14"/>
    <x v="177"/>
    <s v="Procesos de apoyo"/>
    <n v="8"/>
    <n v="7.57"/>
    <d v="2022-05-30T00:00:00"/>
    <s v="Si"/>
  </r>
  <r>
    <s v="CONSTRUIDA"/>
    <s v="Propiedad"/>
    <x v="5"/>
    <s v="I307"/>
    <n v="3"/>
    <x v="0"/>
    <x v="3"/>
    <x v="178"/>
    <s v="INVESTIGACIÓN"/>
    <n v="3"/>
    <n v="21.78"/>
    <d v="2022-05-30T00:00:00"/>
    <s v="No"/>
  </r>
  <r>
    <s v="CONSTRUIDA"/>
    <s v="Propiedad"/>
    <x v="5"/>
    <s v="I308"/>
    <n v="3"/>
    <x v="14"/>
    <x v="12"/>
    <x v="38"/>
    <s v="DOCENCIA"/>
    <n v="28"/>
    <n v="40.33"/>
    <d v="2022-05-30T00:00:00"/>
    <s v="No"/>
  </r>
  <r>
    <s v="CONSTRUIDA"/>
    <s v="Propiedad"/>
    <x v="5"/>
    <s v="I309"/>
    <n v="3"/>
    <x v="14"/>
    <x v="12"/>
    <x v="38"/>
    <s v="DOCENCIA"/>
    <n v="42"/>
    <n v="63.57"/>
    <d v="2022-05-30T00:00:00"/>
    <s v="No"/>
  </r>
  <r>
    <s v="CONSTRUIDA"/>
    <s v="Propiedad"/>
    <x v="5"/>
    <s v="I310"/>
    <n v="3"/>
    <x v="14"/>
    <x v="12"/>
    <x v="38"/>
    <s v="DOCENCIA"/>
    <n v="30"/>
    <n v="38.020000000000003"/>
    <d v="2022-05-30T00:00:00"/>
    <s v="No"/>
  </r>
  <r>
    <s v="CONSTRUIDA"/>
    <s v="Propiedad"/>
    <x v="5"/>
    <s v="I311"/>
    <n v="3"/>
    <x v="14"/>
    <x v="12"/>
    <x v="38"/>
    <s v="DOCENCIA"/>
    <n v="36"/>
    <n v="34.590000000000003"/>
    <d v="2022-05-30T00:00:00"/>
    <s v="No"/>
  </r>
  <r>
    <s v="CONSTRUIDA"/>
    <s v="Propiedad"/>
    <x v="5"/>
    <s v="I312"/>
    <n v="3"/>
    <x v="14"/>
    <x v="12"/>
    <x v="38"/>
    <s v="DOCENCIA"/>
    <n v="48"/>
    <n v="55.03"/>
    <d v="2022-05-30T00:00:00"/>
    <s v="No"/>
  </r>
  <r>
    <s v="CONSTRUIDA"/>
    <s v="Propiedad"/>
    <x v="5"/>
    <s v="I315"/>
    <n v="3"/>
    <x v="14"/>
    <x v="12"/>
    <x v="38"/>
    <s v="DOCENCIA"/>
    <n v="48"/>
    <n v="49.99"/>
    <d v="2022-05-30T00:00:00"/>
    <s v="No"/>
  </r>
  <r>
    <s v="CONSTRUIDA"/>
    <s v="Propiedad"/>
    <x v="5"/>
    <s v="I316"/>
    <n v="3"/>
    <x v="14"/>
    <x v="12"/>
    <x v="38"/>
    <s v="DOCENCIA"/>
    <n v="48"/>
    <n v="49.5"/>
    <d v="2022-05-30T00:00:00"/>
    <s v="No"/>
  </r>
  <r>
    <s v="CONSTRUIDA"/>
    <s v="Propiedad"/>
    <x v="5"/>
    <s v="I317"/>
    <n v="3"/>
    <x v="14"/>
    <x v="12"/>
    <x v="38"/>
    <s v="DOCENCIA"/>
    <n v="45"/>
    <n v="50.13"/>
    <d v="2022-05-30T00:00:00"/>
    <s v="No"/>
  </r>
  <r>
    <s v="CONSTRUIDA"/>
    <s v="Propiedad"/>
    <x v="5"/>
    <s v="318B"/>
    <n v="3"/>
    <x v="0"/>
    <x v="27"/>
    <x v="179"/>
    <s v="DOCENCIA"/>
    <n v="1"/>
    <n v="16.18"/>
    <d v="2022-05-30T00:00:00"/>
    <s v="No"/>
  </r>
  <r>
    <s v="CONSTRUIDA"/>
    <s v="Propiedad"/>
    <x v="5"/>
    <s v="318C"/>
    <n v="3"/>
    <x v="23"/>
    <x v="27"/>
    <x v="180"/>
    <s v="DOCENCIA"/>
    <n v="12"/>
    <n v="39.51"/>
    <d v="2022-05-30T00:00:00"/>
    <s v="No"/>
  </r>
  <r>
    <s v="CONSTRUIDA"/>
    <s v="Propiedad"/>
    <x v="5"/>
    <s v="318D"/>
    <n v="3"/>
    <x v="0"/>
    <x v="27"/>
    <x v="181"/>
    <s v="Procesos de apoyo"/>
    <n v="1"/>
    <n v="10.29"/>
    <d v="2022-05-30T00:00:00"/>
    <s v="No"/>
  </r>
  <r>
    <s v="CONSTRUIDA"/>
    <s v="Propiedad"/>
    <x v="5"/>
    <s v="318E"/>
    <n v="3"/>
    <x v="0"/>
    <x v="27"/>
    <x v="182"/>
    <s v="DOCENCIA"/>
    <n v="1"/>
    <n v="10.27"/>
    <d v="2022-05-30T00:00:00"/>
    <s v="No"/>
  </r>
  <r>
    <s v="CONSTRUIDA"/>
    <s v="Propiedad"/>
    <x v="5"/>
    <s v="318F"/>
    <n v="3"/>
    <x v="0"/>
    <x v="27"/>
    <x v="183"/>
    <s v="DOCENCIA"/>
    <n v="1"/>
    <n v="15.92"/>
    <d v="2022-05-30T00:00:00"/>
    <s v="No"/>
  </r>
  <r>
    <s v="CONSTRUIDA"/>
    <s v="Propiedad"/>
    <x v="5"/>
    <s v="318F"/>
    <n v="3"/>
    <x v="9"/>
    <x v="27"/>
    <x v="184"/>
    <s v="Procesos de apoyo"/>
    <n v="6"/>
    <n v="9.94"/>
    <d v="2022-05-30T00:00:00"/>
    <s v="No"/>
  </r>
  <r>
    <s v="CONSTRUIDA"/>
    <s v="Propiedad"/>
    <x v="5"/>
    <m/>
    <n v="3"/>
    <x v="2"/>
    <x v="4"/>
    <x v="185"/>
    <s v="N/A"/>
    <n v="1"/>
    <n v="1.44"/>
    <d v="2022-05-30T00:00:00"/>
    <s v="No"/>
  </r>
  <r>
    <s v="CONSTRUIDA"/>
    <s v="Propiedad"/>
    <x v="5"/>
    <m/>
    <n v="3"/>
    <x v="2"/>
    <x v="4"/>
    <x v="186"/>
    <s v="N/A"/>
    <n v="1"/>
    <n v="1.44"/>
    <d v="2022-05-30T00:00:00"/>
    <s v="No"/>
  </r>
  <r>
    <s v="CONSTRUIDA"/>
    <s v="Propiedad"/>
    <x v="5"/>
    <m/>
    <n v="3"/>
    <x v="6"/>
    <x v="4"/>
    <x v="187"/>
    <s v="N/A"/>
    <n v="95"/>
    <n v="191.23"/>
    <d v="2022-05-30T00:00:00"/>
    <s v="No"/>
  </r>
  <r>
    <s v="CONSTRUIDA"/>
    <s v="Propiedad"/>
    <x v="4"/>
    <s v="H401"/>
    <n v="4"/>
    <x v="14"/>
    <x v="12"/>
    <x v="38"/>
    <s v="DOCENCIA"/>
    <n v="30"/>
    <n v="36.450000000000003"/>
    <d v="2022-06-02T00:00:00"/>
    <s v="No"/>
  </r>
  <r>
    <s v="CONSTRUIDA"/>
    <s v="Propiedad"/>
    <x v="4"/>
    <s v="H402"/>
    <n v="4"/>
    <x v="14"/>
    <x v="12"/>
    <x v="188"/>
    <s v="DOCENCIA"/>
    <n v="24"/>
    <n v="55.06"/>
    <d v="2022-06-02T00:00:00"/>
    <s v="No"/>
  </r>
  <r>
    <s v="CONSTRUIDA"/>
    <s v="Propiedad"/>
    <x v="4"/>
    <s v="H403"/>
    <n v="4"/>
    <x v="14"/>
    <x v="12"/>
    <x v="188"/>
    <s v="DOCENCIA"/>
    <n v="30"/>
    <n v="79.86"/>
    <d v="2022-06-02T00:00:00"/>
    <s v="No"/>
  </r>
  <r>
    <s v="CONSTRUIDA"/>
    <s v="Propiedad"/>
    <x v="4"/>
    <s v="H404"/>
    <n v="4"/>
    <x v="12"/>
    <x v="10"/>
    <x v="189"/>
    <s v="N/A"/>
    <n v="0"/>
    <n v="5.89"/>
    <d v="2022-06-02T00:00:00"/>
    <s v="No"/>
  </r>
  <r>
    <s v="CONSTRUIDA"/>
    <s v="Propiedad"/>
    <x v="4"/>
    <s v="H405"/>
    <n v="4"/>
    <x v="4"/>
    <x v="6"/>
    <x v="61"/>
    <s v="N/A"/>
    <n v="0"/>
    <n v="5.74"/>
    <d v="2022-06-02T00:00:00"/>
    <s v="No"/>
  </r>
  <r>
    <s v="CONSTRUIDA"/>
    <s v="Propiedad"/>
    <x v="4"/>
    <s v="H406"/>
    <n v="4"/>
    <x v="14"/>
    <x v="12"/>
    <x v="170"/>
    <s v="DOCENCIA"/>
    <n v="32"/>
    <n v="72.81"/>
    <d v="2022-06-02T00:00:00"/>
    <s v="No"/>
  </r>
  <r>
    <s v="CONSTRUIDA"/>
    <s v="Propiedad"/>
    <x v="4"/>
    <s v="H407"/>
    <n v="4"/>
    <x v="14"/>
    <x v="12"/>
    <x v="170"/>
    <s v="DOCENCIA"/>
    <n v="40"/>
    <n v="75.099999999999994"/>
    <d v="2022-06-02T00:00:00"/>
    <s v="No"/>
  </r>
  <r>
    <s v="CONSTRUIDA"/>
    <s v="Propiedad"/>
    <x v="4"/>
    <s v="H408"/>
    <n v="4"/>
    <x v="0"/>
    <x v="12"/>
    <x v="190"/>
    <s v="DOCENCIA"/>
    <n v="5"/>
    <n v="21.78"/>
    <d v="2022-06-02T00:00:00"/>
    <s v="No"/>
  </r>
  <r>
    <s v="CONSTRUIDA"/>
    <s v="Propiedad"/>
    <x v="4"/>
    <s v="H409"/>
    <n v="4"/>
    <x v="14"/>
    <x v="12"/>
    <x v="38"/>
    <s v="DOCENCIA"/>
    <n v="38"/>
    <n v="39.729999999999997"/>
    <d v="2022-06-02T00:00:00"/>
    <s v="No"/>
  </r>
  <r>
    <s v="CONSTRUIDA"/>
    <s v="Propiedad"/>
    <x v="4"/>
    <m/>
    <n v="4"/>
    <x v="10"/>
    <x v="4"/>
    <x v="174"/>
    <s v="N/A"/>
    <n v="2"/>
    <n v="8.6300000000000008"/>
    <d v="2022-06-02T00:00:00"/>
    <s v="Si"/>
  </r>
  <r>
    <s v="CONSTRUIDA"/>
    <s v="Propiedad"/>
    <x v="4"/>
    <m/>
    <n v="4"/>
    <x v="10"/>
    <x v="4"/>
    <x v="175"/>
    <s v="N/A"/>
    <n v="2"/>
    <n v="7.71"/>
    <d v="2022-06-02T00:00:00"/>
    <s v="Si"/>
  </r>
  <r>
    <s v="CONSTRUIDA"/>
    <s v="Propiedad"/>
    <x v="4"/>
    <m/>
    <n v="4"/>
    <x v="20"/>
    <x v="14"/>
    <x v="176"/>
    <s v="Procesos de apoyo"/>
    <n v="0"/>
    <n v="16.89"/>
    <d v="2022-06-02T00:00:00"/>
    <s v="Si"/>
  </r>
  <r>
    <s v="CONSTRUIDA"/>
    <s v="Propiedad"/>
    <x v="4"/>
    <m/>
    <n v="4"/>
    <x v="0"/>
    <x v="4"/>
    <x v="191"/>
    <s v="Procesos de apoyo"/>
    <n v="2"/>
    <n v="15.15"/>
    <d v="2022-06-02T00:00:00"/>
    <s v="Si"/>
  </r>
  <r>
    <s v="CONSTRUIDA"/>
    <s v="Propiedad"/>
    <x v="4"/>
    <m/>
    <n v="4"/>
    <x v="16"/>
    <x v="4"/>
    <x v="192"/>
    <s v="Procesos de apoyo"/>
    <n v="8"/>
    <n v="7.62"/>
    <d v="2022-06-02T00:00:00"/>
    <s v="Si"/>
  </r>
  <r>
    <s v="CONSTRUIDA"/>
    <s v="Propiedad"/>
    <x v="5"/>
    <s v="H410"/>
    <n v="4"/>
    <x v="14"/>
    <x v="12"/>
    <x v="170"/>
    <s v="DOCENCIA"/>
    <n v="45"/>
    <n v="63.47"/>
    <d v="2022-06-02T00:00:00"/>
    <s v="No"/>
  </r>
  <r>
    <s v="CONSTRUIDA"/>
    <s v="Propiedad"/>
    <x v="5"/>
    <s v="I411"/>
    <n v="4"/>
    <x v="14"/>
    <x v="12"/>
    <x v="38"/>
    <s v="DOCENCIA"/>
    <n v="28"/>
    <n v="38.020000000000003"/>
    <d v="2022-06-02T00:00:00"/>
    <s v="No"/>
  </r>
  <r>
    <s v="CONSTRUIDA"/>
    <s v="Propiedad"/>
    <x v="5"/>
    <s v="I412"/>
    <n v="4"/>
    <x v="14"/>
    <x v="12"/>
    <x v="38"/>
    <s v="DOCENCIA"/>
    <n v="30"/>
    <n v="41.63"/>
    <d v="2022-06-02T00:00:00"/>
    <s v="No"/>
  </r>
  <r>
    <s v="CONSTRUIDA"/>
    <s v="Propiedad"/>
    <x v="5"/>
    <s v="I413"/>
    <n v="4"/>
    <x v="14"/>
    <x v="12"/>
    <x v="38"/>
    <s v="DOCENCIA"/>
    <n v="48"/>
    <n v="55.03"/>
    <d v="2022-06-02T00:00:00"/>
    <s v="No"/>
  </r>
  <r>
    <s v="CONSTRUIDA"/>
    <s v="Propiedad"/>
    <x v="5"/>
    <s v="I416"/>
    <n v="4"/>
    <x v="14"/>
    <x v="12"/>
    <x v="38"/>
    <s v="DOCENCIA"/>
    <n v="48"/>
    <n v="49.99"/>
    <d v="2022-06-02T00:00:00"/>
    <s v="No"/>
  </r>
  <r>
    <s v="CONSTRUIDA"/>
    <s v="Propiedad"/>
    <x v="5"/>
    <s v="I417"/>
    <n v="4"/>
    <x v="14"/>
    <x v="12"/>
    <x v="38"/>
    <s v="DOCENCIA"/>
    <n v="48"/>
    <n v="49.5"/>
    <d v="2022-06-02T00:00:00"/>
    <s v="No"/>
  </r>
  <r>
    <s v="CONSTRUIDA"/>
    <s v="Propiedad"/>
    <x v="5"/>
    <s v="I418"/>
    <n v="4"/>
    <x v="14"/>
    <x v="12"/>
    <x v="38"/>
    <s v="DOCENCIA"/>
    <n v="45"/>
    <n v="50.13"/>
    <d v="2022-06-02T00:00:00"/>
    <s v="No"/>
  </r>
  <r>
    <s v="CONSTRUIDA"/>
    <s v="Propiedad"/>
    <x v="5"/>
    <s v="I419"/>
    <n v="4"/>
    <x v="0"/>
    <x v="28"/>
    <x v="193"/>
    <s v="DOCENCIA"/>
    <n v="3"/>
    <n v="15.34"/>
    <d v="2022-06-02T00:00:00"/>
    <s v="No"/>
  </r>
  <r>
    <s v="CONSTRUIDA"/>
    <s v="Propiedad"/>
    <x v="5"/>
    <s v="I420"/>
    <n v="4"/>
    <x v="0"/>
    <x v="28"/>
    <x v="132"/>
    <s v="DOCENCIA"/>
    <n v="3"/>
    <n v="16.66"/>
    <d v="2022-06-02T00:00:00"/>
    <s v="No"/>
  </r>
  <r>
    <s v="CONSTRUIDA"/>
    <s v="Propiedad"/>
    <x v="5"/>
    <s v="I421"/>
    <n v="4"/>
    <x v="0"/>
    <x v="29"/>
    <x v="194"/>
    <s v="DOCENCIA"/>
    <n v="3"/>
    <n v="10.57"/>
    <d v="2022-06-02T00:00:00"/>
    <s v="No"/>
  </r>
  <r>
    <s v="CONSTRUIDA"/>
    <s v="Propiedad"/>
    <x v="5"/>
    <m/>
    <n v="4"/>
    <x v="0"/>
    <x v="29"/>
    <x v="195"/>
    <s v="DOCENCIA"/>
    <n v="3"/>
    <n v="7.59"/>
    <d v="2022-06-02T00:00:00"/>
    <s v="No"/>
  </r>
  <r>
    <s v="CONSTRUIDA"/>
    <s v="Propiedad"/>
    <x v="5"/>
    <m/>
    <n v="4"/>
    <x v="23"/>
    <x v="29"/>
    <x v="196"/>
    <s v="DOCENCIA"/>
    <n v="18"/>
    <n v="39.15"/>
    <d v="2022-06-02T00:00:00"/>
    <s v="No"/>
  </r>
  <r>
    <s v="CONSTRUIDA"/>
    <s v="Propiedad"/>
    <x v="5"/>
    <m/>
    <n v="4"/>
    <x v="9"/>
    <x v="29"/>
    <x v="197"/>
    <s v="Procesos de apoyo"/>
    <n v="5"/>
    <n v="11.75"/>
    <d v="2022-06-02T00:00:00"/>
    <s v="No"/>
  </r>
  <r>
    <s v="CONSTRUIDA"/>
    <s v="Propiedad"/>
    <x v="5"/>
    <m/>
    <n v="4"/>
    <x v="12"/>
    <x v="10"/>
    <x v="198"/>
    <s v="N/A"/>
    <n v="0"/>
    <n v="5.09"/>
    <d v="2022-06-02T00:00:00"/>
    <s v="No"/>
  </r>
  <r>
    <s v="CONSTRUIDA"/>
    <s v="Propiedad"/>
    <x v="5"/>
    <m/>
    <n v="4"/>
    <x v="12"/>
    <x v="30"/>
    <x v="199"/>
    <s v="N/A"/>
    <n v="0"/>
    <n v="5.14"/>
    <d v="2022-06-02T00:00:00"/>
    <s v="No"/>
  </r>
  <r>
    <s v="CONSTRUIDA"/>
    <s v="Propiedad"/>
    <x v="5"/>
    <m/>
    <n v="4"/>
    <x v="2"/>
    <x v="31"/>
    <x v="200"/>
    <s v="N/A"/>
    <n v="1"/>
    <n v="1.44"/>
    <d v="2022-06-02T00:00:00"/>
    <s v="No"/>
  </r>
  <r>
    <s v="CONSTRUIDA"/>
    <s v="Propiedad"/>
    <x v="5"/>
    <m/>
    <n v="4"/>
    <x v="2"/>
    <x v="4"/>
    <x v="201"/>
    <s v="N/A"/>
    <n v="1"/>
    <n v="1.44"/>
    <d v="2022-06-02T00:00:00"/>
    <s v="No"/>
  </r>
  <r>
    <s v="CONSTRUIDA"/>
    <s v="Propiedad"/>
    <x v="5"/>
    <m/>
    <n v="4"/>
    <x v="20"/>
    <x v="4"/>
    <x v="202"/>
    <s v="Procesos de apoyo"/>
    <n v="0"/>
    <n v="10.92"/>
    <d v="2022-06-02T00:00:00"/>
    <s v="No"/>
  </r>
  <r>
    <s v="CONSTRUIDA"/>
    <s v="Propiedad"/>
    <x v="5"/>
    <m/>
    <n v="4"/>
    <x v="6"/>
    <x v="4"/>
    <x v="203"/>
    <s v="N/A"/>
    <n v="0"/>
    <n v="189.14"/>
    <d v="2022-06-02T00:00:00"/>
    <s v="No"/>
  </r>
  <r>
    <s v="CONSTRUIDA"/>
    <s v="Propiedad"/>
    <x v="4"/>
    <s v="H501"/>
    <n v="5"/>
    <x v="14"/>
    <x v="12"/>
    <x v="38"/>
    <s v="DOCENCIA"/>
    <n v="30"/>
    <n v="36.450000000000003"/>
    <d v="2022-06-06T00:00:00"/>
    <s v="No"/>
  </r>
  <r>
    <s v="CONSTRUIDA"/>
    <s v="Propiedad"/>
    <x v="4"/>
    <s v="H502"/>
    <n v="5"/>
    <x v="14"/>
    <x v="12"/>
    <x v="170"/>
    <s v="DOCENCIA"/>
    <n v="24"/>
    <n v="55.06"/>
    <d v="2022-06-06T00:00:00"/>
    <s v="No"/>
  </r>
  <r>
    <s v="CONSTRUIDA"/>
    <s v="Propiedad"/>
    <x v="4"/>
    <s v="H503"/>
    <n v="5"/>
    <x v="14"/>
    <x v="12"/>
    <x v="170"/>
    <s v="DOCENCIA"/>
    <n v="30"/>
    <n v="79.86"/>
    <d v="2022-06-06T00:00:00"/>
    <s v="No"/>
  </r>
  <r>
    <s v="CONSTRUIDA"/>
    <s v="Propiedad"/>
    <x v="4"/>
    <s v="H505"/>
    <n v="5"/>
    <x v="14"/>
    <x v="12"/>
    <x v="170"/>
    <s v="DOCENCIA"/>
    <n v="32"/>
    <n v="72.81"/>
    <d v="2022-06-06T00:00:00"/>
    <s v="No"/>
  </r>
  <r>
    <s v="CONSTRUIDA"/>
    <s v="Propiedad"/>
    <x v="4"/>
    <s v="H506"/>
    <n v="5"/>
    <x v="14"/>
    <x v="12"/>
    <x v="38"/>
    <s v="DOCENCIA"/>
    <n v="40"/>
    <n v="75.099999999999994"/>
    <d v="2022-06-06T00:00:00"/>
    <s v="No"/>
  </r>
  <r>
    <s v="CONSTRUIDA"/>
    <s v="Propiedad"/>
    <x v="4"/>
    <s v="H508"/>
    <n v="5"/>
    <x v="0"/>
    <x v="6"/>
    <x v="204"/>
    <s v="Procesos de apoyo"/>
    <n v="3"/>
    <n v="33.15"/>
    <d v="2022-06-06T00:00:00"/>
    <s v="No"/>
  </r>
  <r>
    <s v="CONSTRUIDA"/>
    <s v="Propiedad"/>
    <x v="4"/>
    <m/>
    <n v="5"/>
    <x v="0"/>
    <x v="32"/>
    <x v="205"/>
    <s v="DOCENCIA"/>
    <n v="4"/>
    <n v="20.73"/>
    <d v="2022-06-06T00:00:00"/>
    <s v="No"/>
  </r>
  <r>
    <s v="CONSTRUIDA"/>
    <s v="Propiedad"/>
    <x v="5"/>
    <m/>
    <n v="5"/>
    <x v="17"/>
    <x v="33"/>
    <x v="206"/>
    <s v="Procesos de apoyo"/>
    <n v="10"/>
    <n v="50.99"/>
    <d v="2022-06-06T00:00:00"/>
    <s v="No"/>
  </r>
  <r>
    <s v="CONSTRUIDA"/>
    <s v="Propiedad"/>
    <x v="4"/>
    <m/>
    <n v="5"/>
    <x v="10"/>
    <x v="4"/>
    <x v="174"/>
    <s v="N/A"/>
    <n v="2"/>
    <n v="8.6300000000000008"/>
    <d v="2022-06-06T00:00:00"/>
    <s v="Si"/>
  </r>
  <r>
    <s v="CONSTRUIDA"/>
    <s v="Propiedad"/>
    <x v="4"/>
    <m/>
    <n v="5"/>
    <x v="10"/>
    <x v="4"/>
    <x v="175"/>
    <s v="N/A"/>
    <n v="2"/>
    <n v="7.71"/>
    <d v="2022-06-06T00:00:00"/>
    <s v="Si"/>
  </r>
  <r>
    <s v="CONSTRUIDA"/>
    <s v="Propiedad"/>
    <x v="4"/>
    <m/>
    <n v="5"/>
    <x v="20"/>
    <x v="14"/>
    <x v="176"/>
    <s v="Procesos de apoyo"/>
    <n v="0"/>
    <n v="16.89"/>
    <d v="2022-06-06T00:00:00"/>
    <s v="Si"/>
  </r>
  <r>
    <s v="CONSTRUIDA"/>
    <s v="Propiedad"/>
    <x v="5"/>
    <n v="509"/>
    <n v="5"/>
    <x v="17"/>
    <x v="34"/>
    <x v="207"/>
    <s v="DOCENCIA"/>
    <n v="10"/>
    <n v="55.56"/>
    <d v="2022-06-06T00:00:00"/>
    <s v="No"/>
  </r>
  <r>
    <s v="CONSTRUIDA"/>
    <s v="Propiedad"/>
    <x v="5"/>
    <n v="510"/>
    <n v="5"/>
    <x v="14"/>
    <x v="12"/>
    <x v="208"/>
    <s v="DOCENCIA"/>
    <n v="46"/>
    <n v="44.46"/>
    <d v="2022-06-06T00:00:00"/>
    <s v="No"/>
  </r>
  <r>
    <s v="CONSTRUIDA"/>
    <s v="Propiedad"/>
    <x v="5"/>
    <n v="511"/>
    <n v="5"/>
    <x v="17"/>
    <x v="34"/>
    <x v="209"/>
    <s v="DOCENCIA"/>
    <n v="20"/>
    <n v="9.0299999999999994"/>
    <d v="2022-06-06T00:00:00"/>
    <s v="No"/>
  </r>
  <r>
    <s v="CONSTRUIDA"/>
    <s v="Propiedad"/>
    <x v="4"/>
    <m/>
    <n v="5"/>
    <x v="25"/>
    <x v="34"/>
    <x v="210"/>
    <s v="Procesos de apoyo"/>
    <n v="3"/>
    <n v="9.18"/>
    <d v="2022-06-06T00:00:00"/>
    <s v="No"/>
  </r>
  <r>
    <s v="CONSTRUIDA"/>
    <s v="Propiedad"/>
    <x v="5"/>
    <n v="512"/>
    <n v="5"/>
    <x v="26"/>
    <x v="34"/>
    <x v="211"/>
    <s v="DOCENCIA"/>
    <n v="50"/>
    <n v="84.17"/>
    <d v="2022-06-06T00:00:00"/>
    <s v="No"/>
  </r>
  <r>
    <s v="CONSTRUIDA"/>
    <s v="Propiedad"/>
    <x v="5"/>
    <n v="514"/>
    <n v="5"/>
    <x v="0"/>
    <x v="35"/>
    <x v="212"/>
    <s v="DOCENCIA"/>
    <n v="2"/>
    <n v="17.62"/>
    <d v="2022-06-06T00:00:00"/>
    <s v="No"/>
  </r>
  <r>
    <s v="CONSTRUIDA"/>
    <s v="Propiedad"/>
    <x v="5"/>
    <n v="515"/>
    <n v="5"/>
    <x v="23"/>
    <x v="35"/>
    <x v="213"/>
    <s v="DOCENCIA"/>
    <n v="27"/>
    <n v="54.11"/>
    <d v="2022-06-06T00:00:00"/>
    <s v="No"/>
  </r>
  <r>
    <s v="CONSTRUIDA"/>
    <s v="Propiedad"/>
    <x v="5"/>
    <n v="516"/>
    <n v="5"/>
    <x v="23"/>
    <x v="34"/>
    <x v="214"/>
    <s v="DOCENCIA"/>
    <n v="29"/>
    <n v="54.89"/>
    <d v="2022-06-06T00:00:00"/>
    <s v="No"/>
  </r>
  <r>
    <s v="CONSTRUIDA"/>
    <s v="Propiedad"/>
    <x v="5"/>
    <n v="517"/>
    <n v="5"/>
    <x v="0"/>
    <x v="34"/>
    <x v="133"/>
    <s v="DOCENCIA"/>
    <n v="5"/>
    <n v="12.1"/>
    <d v="2022-06-06T00:00:00"/>
    <s v="No"/>
  </r>
  <r>
    <s v="CONSTRUIDA"/>
    <s v="Propiedad"/>
    <x v="5"/>
    <n v="517"/>
    <n v="5"/>
    <x v="0"/>
    <x v="34"/>
    <x v="215"/>
    <s v="DOCENCIA"/>
    <n v="5"/>
    <n v="13.55"/>
    <d v="2022-06-06T00:00:00"/>
    <s v="No"/>
  </r>
  <r>
    <s v="CONSTRUIDA"/>
    <s v="Propiedad"/>
    <x v="5"/>
    <n v="517"/>
    <n v="5"/>
    <x v="0"/>
    <x v="34"/>
    <x v="216"/>
    <s v="DOCENCIA"/>
    <n v="5"/>
    <n v="4.13"/>
    <d v="2022-06-06T00:00:00"/>
    <s v="No"/>
  </r>
  <r>
    <s v="CONSTRUIDA"/>
    <s v="Propiedad"/>
    <x v="5"/>
    <n v="517"/>
    <n v="5"/>
    <x v="0"/>
    <x v="34"/>
    <x v="132"/>
    <s v="DOCENCIA"/>
    <n v="5"/>
    <n v="17.62"/>
    <d v="2022-06-06T00:00:00"/>
    <s v="No"/>
  </r>
  <r>
    <s v="CONSTRUIDA"/>
    <s v="Propiedad"/>
    <x v="5"/>
    <n v="518"/>
    <n v="5"/>
    <x v="0"/>
    <x v="35"/>
    <x v="217"/>
    <s v="DOCENCIA"/>
    <n v="2"/>
    <n v="16.96"/>
    <d v="2022-06-06T00:00:00"/>
    <s v="No"/>
  </r>
  <r>
    <s v="CONSTRUIDA"/>
    <s v="Propiedad"/>
    <x v="5"/>
    <n v="519"/>
    <n v="5"/>
    <x v="0"/>
    <x v="36"/>
    <x v="218"/>
    <s v="DOCENCIA"/>
    <n v="1"/>
    <n v="19.95"/>
    <d v="2022-06-06T00:00:00"/>
    <s v="No"/>
  </r>
  <r>
    <s v="CONSTRUIDA"/>
    <s v="Propiedad"/>
    <x v="5"/>
    <m/>
    <n v="5"/>
    <x v="0"/>
    <x v="36"/>
    <x v="219"/>
    <s v="DOCENCIA"/>
    <n v="1"/>
    <n v="8.01"/>
    <d v="2022-06-06T00:00:00"/>
    <s v="No"/>
  </r>
  <r>
    <s v="CONSTRUIDA"/>
    <s v="Propiedad"/>
    <x v="5"/>
    <n v="520"/>
    <n v="5"/>
    <x v="0"/>
    <x v="35"/>
    <x v="220"/>
    <s v="DOCENCIA"/>
    <n v="1"/>
    <n v="18.27"/>
    <d v="2022-06-06T00:00:00"/>
    <s v="No"/>
  </r>
  <r>
    <s v="CONSTRUIDA"/>
    <s v="Propiedad"/>
    <x v="5"/>
    <s v="502A"/>
    <n v="5"/>
    <x v="12"/>
    <x v="4"/>
    <x v="221"/>
    <s v="N/A"/>
    <n v="0"/>
    <n v="5.63"/>
    <d v="2022-06-06T00:00:00"/>
    <s v="No"/>
  </r>
  <r>
    <s v="CONSTRUIDA"/>
    <s v="Propiedad"/>
    <x v="4"/>
    <s v="502B"/>
    <n v="5"/>
    <x v="4"/>
    <x v="6"/>
    <x v="100"/>
    <s v="N/A"/>
    <n v="0"/>
    <n v="6.8"/>
    <d v="2022-06-06T00:00:00"/>
    <s v="No"/>
  </r>
  <r>
    <s v="CONSTRUIDA"/>
    <s v="Propiedad"/>
    <x v="4"/>
    <s v="502A"/>
    <n v="5"/>
    <x v="4"/>
    <x v="6"/>
    <x v="100"/>
    <s v="N/A"/>
    <n v="0"/>
    <n v="6.85"/>
    <d v="2022-06-06T00:00:00"/>
    <s v="No"/>
  </r>
  <r>
    <s v="CONSTRUIDA"/>
    <s v="Propiedad"/>
    <x v="5"/>
    <s v="512A"/>
    <n v="5"/>
    <x v="12"/>
    <x v="4"/>
    <x v="222"/>
    <s v="N/A"/>
    <n v="0"/>
    <n v="4.17"/>
    <d v="2022-06-06T00:00:00"/>
    <s v="No"/>
  </r>
  <r>
    <s v="CONSTRUIDA"/>
    <s v="Propiedad"/>
    <x v="5"/>
    <s v="518A"/>
    <n v="5"/>
    <x v="0"/>
    <x v="35"/>
    <x v="223"/>
    <s v="DOCENCIA"/>
    <n v="3"/>
    <n v="19.41"/>
    <d v="2022-06-06T00:00:00"/>
    <s v="No"/>
  </r>
  <r>
    <s v="CONSTRUIDA"/>
    <s v="Propiedad"/>
    <x v="5"/>
    <m/>
    <n v="5"/>
    <x v="6"/>
    <x v="4"/>
    <x v="224"/>
    <s v="N/A"/>
    <n v="40"/>
    <n v="121.68"/>
    <d v="2022-06-06T00:00:00"/>
    <s v="No"/>
  </r>
  <r>
    <s v="CONSTRUIDA"/>
    <s v="Propiedad"/>
    <x v="4"/>
    <n v="600"/>
    <n v="6"/>
    <x v="0"/>
    <x v="12"/>
    <x v="225"/>
    <s v="Procesos de apoyo"/>
    <n v="2"/>
    <n v="10.79"/>
    <d v="2022-06-06T00:00:00"/>
    <s v="No"/>
  </r>
  <r>
    <s v="CONSTRUIDA"/>
    <s v="Propiedad"/>
    <x v="4"/>
    <s v="600a"/>
    <n v="6"/>
    <x v="12"/>
    <x v="12"/>
    <x v="221"/>
    <s v="N/A"/>
    <n v="0"/>
    <n v="5.58"/>
    <d v="2022-06-06T00:00:00"/>
    <s v="No"/>
  </r>
  <r>
    <s v="CONSTRUIDA"/>
    <s v="Propiedad"/>
    <x v="4"/>
    <m/>
    <n v="6"/>
    <x v="17"/>
    <x v="12"/>
    <x v="226"/>
    <s v="DOCENCIA"/>
    <n v="37"/>
    <n v="94.38"/>
    <d v="2022-06-06T00:00:00"/>
    <s v="No"/>
  </r>
  <r>
    <s v="CONSTRUIDA"/>
    <s v="Propiedad"/>
    <x v="4"/>
    <m/>
    <n v="6"/>
    <x v="0"/>
    <x v="37"/>
    <x v="227"/>
    <s v="DOCENCIA"/>
    <n v="1"/>
    <n v="10.79"/>
    <d v="2022-06-06T00:00:00"/>
    <s v="No"/>
  </r>
  <r>
    <s v="CONSTRUIDA"/>
    <s v="Propiedad"/>
    <x v="4"/>
    <m/>
    <n v="6"/>
    <x v="0"/>
    <x v="37"/>
    <x v="228"/>
    <s v="Procesos de apoyo"/>
    <n v="1"/>
    <n v="7.87"/>
    <d v="2022-06-06T00:00:00"/>
    <s v="No"/>
  </r>
  <r>
    <s v="CONSTRUIDA"/>
    <s v="Propiedad"/>
    <x v="4"/>
    <m/>
    <n v="6"/>
    <x v="4"/>
    <x v="6"/>
    <x v="100"/>
    <s v="N/A"/>
    <n v="0"/>
    <n v="7.91"/>
    <d v="2022-06-06T00:00:00"/>
    <s v="No"/>
  </r>
  <r>
    <s v="CONSTRUIDA"/>
    <s v="Propiedad"/>
    <x v="4"/>
    <n v="602"/>
    <n v="6"/>
    <x v="12"/>
    <x v="4"/>
    <x v="229"/>
    <s v="N/A"/>
    <n v="0"/>
    <n v="7.74"/>
    <d v="2022-06-06T00:00:00"/>
    <s v="No"/>
  </r>
  <r>
    <s v="CONSTRUIDA"/>
    <s v="Propiedad"/>
    <x v="4"/>
    <n v="603"/>
    <n v="6"/>
    <x v="4"/>
    <x v="14"/>
    <x v="230"/>
    <s v="N/A"/>
    <n v="0"/>
    <n v="7.17"/>
    <d v="2022-06-06T00:00:00"/>
    <s v="No"/>
  </r>
  <r>
    <s v="CONSTRUIDA"/>
    <s v="Propiedad"/>
    <x v="4"/>
    <m/>
    <n v="6"/>
    <x v="6"/>
    <x v="4"/>
    <x v="231"/>
    <s v="N/A"/>
    <n v="0"/>
    <n v="46.46"/>
    <d v="2022-06-06T00:00:00"/>
    <s v="Si"/>
  </r>
  <r>
    <s v="CONSTRUIDA"/>
    <s v="Propiedad"/>
    <x v="5"/>
    <m/>
    <n v="6"/>
    <x v="27"/>
    <x v="4"/>
    <x v="232"/>
    <s v="Procesos de apoyo"/>
    <n v="2"/>
    <n v="15.82"/>
    <d v="2022-06-06T00:00:00"/>
    <s v="No"/>
  </r>
  <r>
    <s v="CONSTRUIDA"/>
    <s v="Propiedad"/>
    <x v="5"/>
    <m/>
    <n v="6"/>
    <x v="27"/>
    <x v="4"/>
    <x v="232"/>
    <s v="Procesos de apoyo"/>
    <n v="1"/>
    <n v="4.68"/>
    <d v="2022-06-06T00:00:00"/>
    <s v="No"/>
  </r>
  <r>
    <s v="CONSTRUIDA"/>
    <s v="Propiedad"/>
    <x v="5"/>
    <m/>
    <n v="6"/>
    <x v="16"/>
    <x v="4"/>
    <x v="233"/>
    <s v="Procesos de apoyo"/>
    <n v="60"/>
    <n v="240.74"/>
    <d v="2022-06-06T00:00:00"/>
    <s v="Si"/>
  </r>
  <r>
    <s v="CONSTRUIDA"/>
    <s v="Propiedad"/>
    <x v="6"/>
    <m/>
    <s v="Sotano"/>
    <x v="6"/>
    <x v="4"/>
    <x v="234"/>
    <s v="N/A"/>
    <n v="0"/>
    <n v="398.16"/>
    <m/>
    <s v="No"/>
  </r>
  <r>
    <s v="CONSTRUIDA"/>
    <s v="Propiedad"/>
    <x v="6"/>
    <m/>
    <s v="Sotano"/>
    <x v="13"/>
    <x v="31"/>
    <x v="235"/>
    <s v="N/A"/>
    <n v="38"/>
    <n v="477"/>
    <m/>
    <m/>
  </r>
  <r>
    <s v="CONSTRUIDA"/>
    <s v="Propiedad"/>
    <x v="6"/>
    <m/>
    <s v="Sotano"/>
    <x v="13"/>
    <x v="31"/>
    <x v="236"/>
    <s v="N/A"/>
    <n v="0"/>
    <n v="395.39"/>
    <d v="2022-01-29T00:00:00"/>
    <m/>
  </r>
  <r>
    <s v="CONSTRUIDA"/>
    <s v="Propiedad"/>
    <x v="3"/>
    <m/>
    <s v="Sotano"/>
    <x v="0"/>
    <x v="38"/>
    <x v="237"/>
    <s v="N/A"/>
    <m/>
    <m/>
    <d v="2022-06-07T00:00:00"/>
    <s v="No"/>
  </r>
  <r>
    <s v="CONSTRUIDA"/>
    <s v="Propiedad"/>
    <x v="4"/>
    <m/>
    <s v="Sotano"/>
    <x v="0"/>
    <x v="39"/>
    <x v="237"/>
    <s v="N/A"/>
    <m/>
    <m/>
    <d v="2022-06-07T00:00:00"/>
    <s v="No"/>
  </r>
  <r>
    <s v="CONSTRUIDA"/>
    <s v="Propiedad"/>
    <x v="6"/>
    <m/>
    <s v="Sotano"/>
    <x v="5"/>
    <x v="14"/>
    <x v="238"/>
    <s v="Procesos de apoyo"/>
    <n v="1"/>
    <n v="62.43"/>
    <d v="2021-07-16T00:00:00"/>
    <s v="No"/>
  </r>
  <r>
    <s v="CONSTRUIDA"/>
    <s v="Propiedad"/>
    <x v="6"/>
    <m/>
    <s v="Sotano"/>
    <x v="5"/>
    <x v="14"/>
    <x v="239"/>
    <s v="Procesos de apoyo"/>
    <n v="1"/>
    <n v="10.85"/>
    <d v="2021-07-16T00:00:00"/>
    <s v="No"/>
  </r>
  <r>
    <s v="CONSTRUIDA"/>
    <s v="Propiedad"/>
    <x v="6"/>
    <m/>
    <s v="Sotano"/>
    <x v="5"/>
    <x v="14"/>
    <x v="240"/>
    <s v="Procesos de apoyo"/>
    <n v="1"/>
    <n v="10.85"/>
    <d v="2021-07-16T00:00:00"/>
    <s v="No"/>
  </r>
  <r>
    <s v="CONSTRUIDA"/>
    <s v="Propiedad"/>
    <x v="6"/>
    <m/>
    <s v="Sotano"/>
    <x v="5"/>
    <x v="14"/>
    <x v="241"/>
    <s v="Procesos de apoyo"/>
    <n v="1"/>
    <n v="13.18"/>
    <d v="2021-07-16T00:00:00"/>
    <s v="No"/>
  </r>
  <r>
    <s v="CONSTRUIDA"/>
    <s v="Propiedad"/>
    <x v="6"/>
    <m/>
    <s v="Sotano"/>
    <x v="4"/>
    <x v="14"/>
    <x v="242"/>
    <s v="Procesos de apoyo"/>
    <n v="1"/>
    <n v="23.71"/>
    <d v="2021-07-16T00:00:00"/>
    <s v="No"/>
  </r>
  <r>
    <s v="CONSTRUIDA"/>
    <s v="Propiedad"/>
    <x v="6"/>
    <m/>
    <s v="Sotano"/>
    <x v="4"/>
    <x v="14"/>
    <x v="243"/>
    <s v="N/A"/>
    <n v="0"/>
    <n v="13.12"/>
    <d v="2021-07-16T00:00:00"/>
    <s v="No"/>
  </r>
  <r>
    <s v="CONSTRUIDA"/>
    <s v="Propiedad"/>
    <x v="6"/>
    <m/>
    <s v="Sotano"/>
    <x v="4"/>
    <x v="14"/>
    <x v="244"/>
    <s v="N/A"/>
    <n v="0"/>
    <n v="24.71"/>
    <d v="2021-07-16T00:00:00"/>
    <s v="No"/>
  </r>
  <r>
    <s v="CONSTRUIDA"/>
    <s v="Propiedad"/>
    <x v="6"/>
    <m/>
    <s v="Sotano"/>
    <x v="4"/>
    <x v="14"/>
    <x v="245"/>
    <s v="N/A"/>
    <n v="0"/>
    <n v="24.65"/>
    <d v="2021-07-16T00:00:00"/>
    <s v="No"/>
  </r>
  <r>
    <s v="CONSTRUIDA"/>
    <s v="Propiedad"/>
    <x v="6"/>
    <m/>
    <s v="Sotano"/>
    <x v="5"/>
    <x v="4"/>
    <x v="246"/>
    <s v="Procesos de apoyo"/>
    <n v="1"/>
    <n v="4.51"/>
    <d v="2021-07-16T00:00:00"/>
    <s v="No"/>
  </r>
  <r>
    <s v="CONSTRUIDA"/>
    <s v="Propiedad"/>
    <x v="6"/>
    <m/>
    <s v="Sotano"/>
    <x v="12"/>
    <x v="40"/>
    <x v="247"/>
    <s v="N/A"/>
    <n v="0"/>
    <n v="52.25"/>
    <d v="2021-07-16T00:00:00"/>
    <s v="No"/>
  </r>
  <r>
    <s v="CONSTRUIDA"/>
    <s v="Propiedad"/>
    <x v="6"/>
    <m/>
    <s v="Sotano"/>
    <x v="12"/>
    <x v="40"/>
    <x v="248"/>
    <s v="N/A"/>
    <n v="0"/>
    <n v="11.31"/>
    <d v="2021-07-16T00:00:00"/>
    <s v="No"/>
  </r>
  <r>
    <s v="CONSTRUIDA"/>
    <s v="Propiedad"/>
    <x v="6"/>
    <m/>
    <s v="Sotano"/>
    <x v="12"/>
    <x v="40"/>
    <x v="249"/>
    <s v="N/A"/>
    <n v="0"/>
    <n v="15.51"/>
    <d v="2021-07-16T00:00:00"/>
    <s v="No"/>
  </r>
  <r>
    <s v="CONSTRUIDA"/>
    <s v="Propiedad"/>
    <x v="6"/>
    <m/>
    <s v="Sotano"/>
    <x v="12"/>
    <x v="40"/>
    <x v="250"/>
    <s v="N/A"/>
    <n v="0"/>
    <n v="7.96"/>
    <d v="2021-07-16T00:00:00"/>
    <s v="No"/>
  </r>
  <r>
    <m/>
    <s v="Propiedad"/>
    <x v="6"/>
    <m/>
    <s v="Sotano"/>
    <x v="20"/>
    <x v="14"/>
    <x v="251"/>
    <s v="N/A"/>
    <n v="0"/>
    <n v="8.32"/>
    <d v="2021-07-16T00:00:00"/>
    <s v="Si"/>
  </r>
  <r>
    <m/>
    <s v="Propiedad"/>
    <x v="6"/>
    <m/>
    <s v="Sotano"/>
    <x v="20"/>
    <x v="14"/>
    <x v="252"/>
    <s v="N/A"/>
    <n v="0"/>
    <n v="12.92"/>
    <d v="2021-07-16T00:00:00"/>
    <s v="Si"/>
  </r>
  <r>
    <s v="CONSTRUIDA"/>
    <s v="Propiedad"/>
    <x v="6"/>
    <m/>
    <s v="Sotano"/>
    <x v="11"/>
    <x v="4"/>
    <x v="253"/>
    <s v="N/A"/>
    <n v="0"/>
    <n v="10.28"/>
    <d v="2021-07-16T00:00:00"/>
    <s v="No"/>
  </r>
  <r>
    <s v="CONSTRUIDA"/>
    <s v="Propiedad"/>
    <x v="6"/>
    <n v="100"/>
    <s v="M1"/>
    <x v="4"/>
    <x v="14"/>
    <x v="254"/>
    <s v="Procesos de apoyo"/>
    <n v="3"/>
    <n v="40"/>
    <d v="2021-07-14T00:00:00"/>
    <s v="No"/>
  </r>
  <r>
    <s v="CONSTRUIDA"/>
    <s v="Propiedad"/>
    <x v="6"/>
    <n v="101"/>
    <s v="M1"/>
    <x v="14"/>
    <x v="29"/>
    <x v="170"/>
    <s v="DOCENCIA"/>
    <n v="36"/>
    <n v="128"/>
    <d v="2021-07-14T00:00:00"/>
    <s v="No"/>
  </r>
  <r>
    <s v="CONSTRUIDA"/>
    <s v="Propiedad"/>
    <x v="6"/>
    <n v="102"/>
    <s v="M1"/>
    <x v="26"/>
    <x v="35"/>
    <x v="255"/>
    <s v="DOCENCIA"/>
    <n v="31"/>
    <n v="63.63"/>
    <d v="2021-07-14T00:00:00"/>
    <s v="No"/>
  </r>
  <r>
    <s v="CONSTRUIDA"/>
    <s v="Propiedad"/>
    <x v="6"/>
    <m/>
    <s v="M1"/>
    <x v="10"/>
    <x v="4"/>
    <x v="256"/>
    <s v="N/A"/>
    <n v="2"/>
    <n v="20.32"/>
    <d v="2021-07-14T00:00:00"/>
    <s v="Si"/>
  </r>
  <r>
    <s v="CONSTRUIDA"/>
    <s v="Propiedad"/>
    <x v="6"/>
    <m/>
    <s v="M1"/>
    <x v="10"/>
    <x v="4"/>
    <x v="257"/>
    <s v="N/A"/>
    <n v="5"/>
    <n v="19.37"/>
    <d v="2021-07-14T00:00:00"/>
    <s v="Si"/>
  </r>
  <r>
    <s v="CONSTRUIDA"/>
    <s v="Propiedad"/>
    <x v="6"/>
    <m/>
    <s v="M1"/>
    <x v="10"/>
    <x v="4"/>
    <x v="258"/>
    <s v="N/A"/>
    <n v="1"/>
    <n v="4"/>
    <d v="2021-07-14T00:00:00"/>
    <s v="No"/>
  </r>
  <r>
    <s v="CONSTRUIDA"/>
    <s v="Propiedad"/>
    <x v="6"/>
    <m/>
    <s v="M1"/>
    <x v="6"/>
    <x v="41"/>
    <x v="259"/>
    <s v="N/A"/>
    <n v="1"/>
    <n v="12.78"/>
    <d v="2021-07-14T00:00:00"/>
    <s v="Si"/>
  </r>
  <r>
    <s v="CONSTRUIDA"/>
    <s v="Propiedad"/>
    <x v="6"/>
    <m/>
    <s v="M1"/>
    <x v="0"/>
    <x v="41"/>
    <x v="260"/>
    <s v="Procesos de apoyo"/>
    <n v="18"/>
    <n v="45.1"/>
    <d v="2021-07-14T00:00:00"/>
    <s v="No"/>
  </r>
  <r>
    <s v="CONSTRUIDA"/>
    <s v="Propiedad"/>
    <x v="6"/>
    <m/>
    <s v="M1"/>
    <x v="0"/>
    <x v="4"/>
    <x v="261"/>
    <s v="Procesos de apoyo"/>
    <n v="4"/>
    <n v="8.08"/>
    <d v="2021-07-14T00:00:00"/>
    <s v="No"/>
  </r>
  <r>
    <s v="CONSTRUIDA"/>
    <s v="Propiedad"/>
    <x v="6"/>
    <m/>
    <s v="M1"/>
    <x v="0"/>
    <x v="4"/>
    <x v="262"/>
    <s v="Procesos de apoyo"/>
    <n v="1"/>
    <n v="7.84"/>
    <d v="2021-07-14T00:00:00"/>
    <s v="No"/>
  </r>
  <r>
    <s v="CONSTRUIDA"/>
    <s v="Propiedad"/>
    <x v="6"/>
    <m/>
    <s v="M1"/>
    <x v="0"/>
    <x v="4"/>
    <x v="263"/>
    <s v="Procesos de apoyo"/>
    <n v="7"/>
    <n v="13.96"/>
    <d v="2021-07-14T00:00:00"/>
    <s v="No"/>
  </r>
  <r>
    <s v="CONSTRUIDA"/>
    <s v="Propiedad"/>
    <x v="6"/>
    <m/>
    <s v="M1"/>
    <x v="0"/>
    <x v="42"/>
    <x v="264"/>
    <s v="Procesos de apoyo"/>
    <n v="4"/>
    <n v="9.1"/>
    <d v="2021-07-14T00:00:00"/>
    <s v="No"/>
  </r>
  <r>
    <s v="CONSTRUIDA"/>
    <s v="Propiedad"/>
    <x v="6"/>
    <m/>
    <s v="M1"/>
    <x v="2"/>
    <x v="4"/>
    <x v="265"/>
    <s v="N/A"/>
    <n v="1"/>
    <n v="3.49"/>
    <d v="2021-07-14T00:00:00"/>
    <s v="No"/>
  </r>
  <r>
    <s v="CONSTRUIDA"/>
    <s v="Propiedad"/>
    <x v="6"/>
    <m/>
    <s v="M1"/>
    <x v="24"/>
    <x v="3"/>
    <x v="266"/>
    <s v="INVESTIGACIÓN"/>
    <n v="22"/>
    <n v="90.9"/>
    <d v="2021-07-14T00:00:00"/>
    <s v="No"/>
  </r>
  <r>
    <s v="CONSTRUIDA"/>
    <s v="Propiedad"/>
    <x v="6"/>
    <m/>
    <s v="M1"/>
    <x v="24"/>
    <x v="3"/>
    <x v="267"/>
    <s v="Procesos de apoyo"/>
    <n v="4"/>
    <n v="15.84"/>
    <d v="2021-07-14T00:00:00"/>
    <s v="No"/>
  </r>
  <r>
    <s v="CONSTRUIDA"/>
    <s v="Propiedad"/>
    <x v="6"/>
    <m/>
    <s v="M1"/>
    <x v="24"/>
    <x v="3"/>
    <x v="268"/>
    <s v="INVESTIGACIÓN"/>
    <n v="9"/>
    <n v="39.42"/>
    <d v="2021-07-14T00:00:00"/>
    <s v="No"/>
  </r>
  <r>
    <s v="CONSTRUIDA"/>
    <s v="Propiedad"/>
    <x v="6"/>
    <m/>
    <s v="M1"/>
    <x v="12"/>
    <x v="4"/>
    <x v="269"/>
    <s v="INVESTIGACIÓN"/>
    <n v="2"/>
    <n v="19.41"/>
    <d v="2021-07-14T00:00:00"/>
    <s v="No"/>
  </r>
  <r>
    <s v="CONSTRUIDA"/>
    <s v="Propiedad"/>
    <x v="6"/>
    <m/>
    <s v="M1"/>
    <x v="11"/>
    <x v="14"/>
    <x v="270"/>
    <s v="N/A"/>
    <n v="3"/>
    <n v="65.25"/>
    <m/>
    <m/>
  </r>
  <r>
    <s v="CONSTRUIDA"/>
    <s v="Propiedad"/>
    <x v="6"/>
    <m/>
    <s v="M1"/>
    <x v="11"/>
    <x v="14"/>
    <x v="271"/>
    <s v="N/A"/>
    <n v="0"/>
    <n v="14.62"/>
    <d v="2021-07-14T00:00:00"/>
    <s v="No"/>
  </r>
  <r>
    <s v="CONSTRUIDA"/>
    <s v="Propiedad"/>
    <x v="6"/>
    <m/>
    <s v="M1"/>
    <x v="11"/>
    <x v="14"/>
    <x v="272"/>
    <s v="N/A"/>
    <n v="1"/>
    <n v="12.15"/>
    <d v="2021-07-14T00:00:00"/>
    <s v="No"/>
  </r>
  <r>
    <s v="CONSTRUIDA"/>
    <s v="Propiedad"/>
    <x v="6"/>
    <m/>
    <s v="M1"/>
    <x v="4"/>
    <x v="6"/>
    <x v="273"/>
    <s v="N/A"/>
    <n v="0"/>
    <n v="11.24"/>
    <d v="2021-07-14T00:00:00"/>
    <s v="Si"/>
  </r>
  <r>
    <s v="CONSTRUIDA"/>
    <s v="Propiedad"/>
    <x v="6"/>
    <m/>
    <s v="M1"/>
    <x v="6"/>
    <x v="4"/>
    <x v="274"/>
    <s v="N/A"/>
    <n v="0"/>
    <n v="132"/>
    <d v="2021-07-14T00:00:00"/>
    <s v="No"/>
  </r>
  <r>
    <s v="CONSTRUIDA"/>
    <s v="Propiedad"/>
    <x v="6"/>
    <m/>
    <s v="M1"/>
    <x v="12"/>
    <x v="14"/>
    <x v="275"/>
    <s v="N/A"/>
    <n v="0"/>
    <n v="47.69"/>
    <d v="2021-07-14T00:00:00"/>
    <s v="No"/>
  </r>
  <r>
    <s v="CONSTRUIDA"/>
    <s v="Propiedad"/>
    <x v="6"/>
    <m/>
    <s v="M1"/>
    <x v="5"/>
    <x v="6"/>
    <x v="276"/>
    <s v="Procesos de apoyo"/>
    <n v="2"/>
    <n v="10.64"/>
    <d v="2021-07-14T00:00:00"/>
    <s v="No"/>
  </r>
  <r>
    <s v="CONSTRUIDA"/>
    <s v="Propiedad"/>
    <x v="6"/>
    <m/>
    <n v="1"/>
    <x v="7"/>
    <x v="4"/>
    <x v="277"/>
    <s v="N/A"/>
    <n v="0"/>
    <n v="36"/>
    <d v="2021-07-14T00:00:00"/>
    <s v="Si"/>
  </r>
  <r>
    <s v="CONSTRUIDA"/>
    <s v="Propiedad"/>
    <x v="6"/>
    <m/>
    <n v="1"/>
    <x v="0"/>
    <x v="43"/>
    <x v="278"/>
    <s v="Procesos de apoyo"/>
    <n v="10"/>
    <n v="80.52"/>
    <d v="2021-07-14T00:00:00"/>
    <s v="Si"/>
  </r>
  <r>
    <s v="CONSTRUIDA"/>
    <s v="Propiedad"/>
    <x v="6"/>
    <m/>
    <n v="1"/>
    <x v="6"/>
    <x v="4"/>
    <x v="279"/>
    <s v="N/A"/>
    <n v="45"/>
    <n v="135.34"/>
    <d v="2021-07-14T00:00:00"/>
    <s v="Si"/>
  </r>
  <r>
    <s v="CONSTRUIDA"/>
    <s v="Propiedad"/>
    <x v="6"/>
    <m/>
    <n v="1"/>
    <x v="10"/>
    <x v="4"/>
    <x v="280"/>
    <s v="N/A"/>
    <n v="3"/>
    <n v="19.68"/>
    <d v="2021-07-14T00:00:00"/>
    <s v="Si"/>
  </r>
  <r>
    <s v="CONSTRUIDA"/>
    <s v="Propiedad"/>
    <x v="6"/>
    <m/>
    <n v="1"/>
    <x v="10"/>
    <x v="4"/>
    <x v="281"/>
    <s v="N/A"/>
    <n v="4"/>
    <n v="17.62"/>
    <d v="2021-07-15T00:00:00"/>
    <s v="Si"/>
  </r>
  <r>
    <s v="CONSTRUIDA"/>
    <s v="Propiedad"/>
    <x v="6"/>
    <m/>
    <n v="1"/>
    <x v="10"/>
    <x v="4"/>
    <x v="282"/>
    <s v="N/A"/>
    <n v="1"/>
    <n v="4.1500000000000004"/>
    <d v="2021-07-15T00:00:00"/>
    <s v="Si"/>
  </r>
  <r>
    <s v="CONSTRUIDA"/>
    <s v="Propiedad"/>
    <x v="6"/>
    <m/>
    <n v="1"/>
    <x v="11"/>
    <x v="4"/>
    <x v="283"/>
    <s v="N/A"/>
    <n v="0"/>
    <n v="1.71"/>
    <m/>
    <s v="Si"/>
  </r>
  <r>
    <s v="CONSTRUIDA"/>
    <s v="Propiedad"/>
    <x v="6"/>
    <m/>
    <n v="1"/>
    <x v="7"/>
    <x v="4"/>
    <x v="284"/>
    <s v="N/A"/>
    <n v="28"/>
    <n v="56.51"/>
    <d v="2021-07-15T00:00:00"/>
    <s v="Si"/>
  </r>
  <r>
    <s v="CONSTRUIDA"/>
    <s v="Propiedad"/>
    <x v="6"/>
    <m/>
    <n v="1"/>
    <x v="6"/>
    <x v="4"/>
    <x v="285"/>
    <s v="N/A"/>
    <n v="0"/>
    <n v="72.94"/>
    <d v="2021-07-15T00:00:00"/>
    <s v="Si"/>
  </r>
  <r>
    <s v="CONSTRUIDA"/>
    <s v="Propiedad"/>
    <x v="6"/>
    <m/>
    <n v="1"/>
    <x v="0"/>
    <x v="33"/>
    <x v="286"/>
    <s v="Procesos de apoyo"/>
    <n v="5"/>
    <n v="62.29"/>
    <d v="2021-07-15T00:00:00"/>
    <s v="Si"/>
  </r>
  <r>
    <s v="CONSTRUIDA"/>
    <s v="Propiedad"/>
    <x v="6"/>
    <m/>
    <n v="1"/>
    <x v="6"/>
    <x v="4"/>
    <x v="287"/>
    <s v="N/A"/>
    <n v="23"/>
    <n v="71.56"/>
    <d v="2021-07-15T00:00:00"/>
    <s v="Si"/>
  </r>
  <r>
    <s v="CONSTRUIDA"/>
    <s v="Propiedad"/>
    <x v="6"/>
    <m/>
    <n v="1"/>
    <x v="20"/>
    <x v="4"/>
    <x v="288"/>
    <s v="Procesos de apoyo"/>
    <n v="0"/>
    <n v="17.82"/>
    <d v="2021-07-15T00:00:00"/>
    <s v="Si"/>
  </r>
  <r>
    <s v="CONSTRUIDA"/>
    <s v="Propiedad"/>
    <x v="6"/>
    <m/>
    <n v="1"/>
    <x v="20"/>
    <x v="4"/>
    <x v="289"/>
    <s v="Procesos de apoyo"/>
    <n v="0"/>
    <n v="15.38"/>
    <d v="2021-07-15T00:00:00"/>
    <s v="Si"/>
  </r>
  <r>
    <s v="CONSTRUIDA"/>
    <s v="Propiedad"/>
    <x v="6"/>
    <m/>
    <n v="1"/>
    <x v="20"/>
    <x v="4"/>
    <x v="290"/>
    <s v="Procesos de apoyo"/>
    <n v="0"/>
    <n v="92.95"/>
    <d v="2021-07-15T00:00:00"/>
    <s v="Si"/>
  </r>
  <r>
    <s v="CONSTRUIDA"/>
    <s v="Propiedad"/>
    <x v="6"/>
    <m/>
    <n v="1"/>
    <x v="28"/>
    <x v="4"/>
    <x v="291"/>
    <s v="Procesos de apoyo"/>
    <n v="0"/>
    <n v="33.86"/>
    <d v="2021-07-15T00:00:00"/>
    <s v="Si"/>
  </r>
  <r>
    <s v="CONSTRUIDA"/>
    <s v="Propiedad"/>
    <x v="6"/>
    <m/>
    <n v="1"/>
    <x v="11"/>
    <x v="14"/>
    <x v="292"/>
    <s v="Procesos de apoyo"/>
    <n v="0"/>
    <n v="46.83"/>
    <d v="2021-07-15T00:00:00"/>
    <m/>
  </r>
  <r>
    <s v="CONSTRUIDA"/>
    <s v="Propiedad"/>
    <x v="6"/>
    <m/>
    <n v="1"/>
    <x v="6"/>
    <x v="4"/>
    <x v="293"/>
    <s v="Procesos de apoyo"/>
    <n v="29"/>
    <n v="87.39"/>
    <d v="2021-07-15T00:00:00"/>
    <s v="Si"/>
  </r>
  <r>
    <s v="CONSTRUIDA"/>
    <s v="Propiedad"/>
    <x v="6"/>
    <m/>
    <n v="1"/>
    <x v="19"/>
    <x v="12"/>
    <x v="294"/>
    <s v="Procesos de apoyo"/>
    <n v="268"/>
    <n v="382.5"/>
    <d v="2021-07-15T00:00:00"/>
    <s v="Si"/>
  </r>
  <r>
    <s v="CONSTRUIDA"/>
    <s v="Propiedad"/>
    <x v="6"/>
    <m/>
    <n v="1"/>
    <x v="19"/>
    <x v="12"/>
    <x v="295"/>
    <s v="Procesos de apoyo"/>
    <n v="140"/>
    <n v="154.08000000000001"/>
    <d v="2021-07-15T00:00:00"/>
    <s v="Si"/>
  </r>
  <r>
    <s v="CONSTRUIDA"/>
    <s v="Propiedad"/>
    <x v="6"/>
    <m/>
    <s v="M2"/>
    <x v="0"/>
    <x v="31"/>
    <x v="296"/>
    <s v="DOCENCIA"/>
    <n v="2"/>
    <n v="19.940000000000001"/>
    <d v="2021-07-15T00:00:00"/>
    <s v="No"/>
  </r>
  <r>
    <s v="CONSTRUIDA"/>
    <s v="Propiedad"/>
    <x v="6"/>
    <m/>
    <s v="M2"/>
    <x v="0"/>
    <x v="39"/>
    <x v="297"/>
    <s v="DOCENCIA"/>
    <n v="5"/>
    <n v="17.96"/>
    <d v="2021-07-15T00:00:00"/>
    <s v="No"/>
  </r>
  <r>
    <s v="CONSTRUIDA"/>
    <s v="Propiedad"/>
    <x v="6"/>
    <m/>
    <s v="M2"/>
    <x v="27"/>
    <x v="39"/>
    <x v="298"/>
    <s v="DOCENCIA"/>
    <n v="40"/>
    <n v="87.99"/>
    <d v="2021-07-15T00:00:00"/>
    <s v="No"/>
  </r>
  <r>
    <s v="CONSTRUIDA"/>
    <s v="Propiedad"/>
    <x v="6"/>
    <m/>
    <s v="M2"/>
    <x v="4"/>
    <x v="6"/>
    <x v="100"/>
    <s v="N/A"/>
    <n v="0"/>
    <n v="8.6300000000000008"/>
    <d v="2021-07-15T00:00:00"/>
    <s v="No"/>
  </r>
  <r>
    <s v="CONSTRUIDA"/>
    <s v="Propiedad"/>
    <x v="6"/>
    <m/>
    <s v="M2"/>
    <x v="2"/>
    <x v="4"/>
    <x v="299"/>
    <s v="N/A"/>
    <n v="1"/>
    <n v="2.75"/>
    <d v="2021-07-15T00:00:00"/>
    <s v="No"/>
  </r>
  <r>
    <s v="CONSTRUIDA"/>
    <s v="Propiedad"/>
    <x v="6"/>
    <m/>
    <s v="M2"/>
    <x v="2"/>
    <x v="4"/>
    <x v="300"/>
    <s v="N/A"/>
    <n v="1"/>
    <n v="2.6"/>
    <d v="2021-07-15T00:00:00"/>
    <s v="No"/>
  </r>
  <r>
    <s v="CONSTRUIDA"/>
    <s v="Propiedad"/>
    <x v="6"/>
    <m/>
    <s v="M2"/>
    <x v="0"/>
    <x v="39"/>
    <x v="301"/>
    <s v="DOCENCIA"/>
    <n v="1"/>
    <n v="12.99"/>
    <d v="2021-07-15T00:00:00"/>
    <s v="No"/>
  </r>
  <r>
    <s v="CONSTRUIDA"/>
    <s v="Propiedad"/>
    <x v="6"/>
    <m/>
    <s v="M2"/>
    <x v="0"/>
    <x v="39"/>
    <x v="302"/>
    <s v="DOCENCIA"/>
    <n v="1"/>
    <n v="13.6"/>
    <d v="2021-07-15T00:00:00"/>
    <s v="No"/>
  </r>
  <r>
    <s v="CONSTRUIDA"/>
    <s v="Propiedad"/>
    <x v="6"/>
    <m/>
    <s v="M2"/>
    <x v="0"/>
    <x v="39"/>
    <x v="303"/>
    <s v="DOCENCIA"/>
    <n v="1"/>
    <n v="13.78"/>
    <d v="2021-07-15T00:00:00"/>
    <s v="No"/>
  </r>
  <r>
    <s v="CONSTRUIDA"/>
    <s v="Propiedad"/>
    <x v="6"/>
    <m/>
    <s v="M2"/>
    <x v="0"/>
    <x v="39"/>
    <x v="304"/>
    <s v="Procesos de apoyo"/>
    <n v="4"/>
    <n v="9.14"/>
    <d v="2021-07-15T00:00:00"/>
    <s v="No"/>
  </r>
  <r>
    <s v="CONSTRUIDA"/>
    <s v="Propiedad"/>
    <x v="6"/>
    <m/>
    <s v="M3"/>
    <x v="0"/>
    <x v="39"/>
    <x v="305"/>
    <m/>
    <m/>
    <n v="13.76"/>
    <m/>
    <m/>
  </r>
  <r>
    <s v="CONSTRUIDA"/>
    <s v="Propiedad"/>
    <x v="6"/>
    <m/>
    <s v="M2"/>
    <x v="20"/>
    <x v="4"/>
    <x v="306"/>
    <s v="Procesos de apoyo"/>
    <n v="0"/>
    <n v="18.13"/>
    <d v="2021-07-15T00:00:00"/>
    <s v="Si"/>
  </r>
  <r>
    <s v="CONSTRUIDA"/>
    <s v="Propiedad"/>
    <x v="6"/>
    <m/>
    <s v="M2"/>
    <x v="20"/>
    <x v="4"/>
    <x v="307"/>
    <s v="Procesos de apoyo"/>
    <n v="0"/>
    <n v="15.78"/>
    <d v="2021-07-15T00:00:00"/>
    <s v="Si"/>
  </r>
  <r>
    <s v="CONSTRUIDA"/>
    <s v="Propiedad"/>
    <x v="6"/>
    <m/>
    <s v="M2"/>
    <x v="6"/>
    <x v="4"/>
    <x v="308"/>
    <s v="N/A"/>
    <n v="0"/>
    <n v="14.97"/>
    <d v="2021-07-15T00:00:00"/>
    <s v="No"/>
  </r>
  <r>
    <s v="CONSTRUIDA"/>
    <s v="Propiedad"/>
    <x v="6"/>
    <m/>
    <s v="M2"/>
    <x v="6"/>
    <x v="4"/>
    <x v="309"/>
    <s v="N/A"/>
    <n v="0"/>
    <n v="67.84"/>
    <d v="2021-07-15T00:00:00"/>
    <s v="No"/>
  </r>
  <r>
    <s v="CONSTRUIDA"/>
    <s v="Propiedad"/>
    <x v="6"/>
    <m/>
    <n v="2"/>
    <x v="6"/>
    <x v="4"/>
    <x v="310"/>
    <s v="Procesos de apoyo"/>
    <n v="0"/>
    <n v="297"/>
    <d v="2021-07-15T00:00:00"/>
    <s v="Si"/>
  </r>
  <r>
    <s v="CONSTRUIDA"/>
    <s v="Propiedad"/>
    <x v="6"/>
    <m/>
    <n v="2"/>
    <x v="0"/>
    <x v="44"/>
    <x v="311"/>
    <s v="Procesos de apoyo"/>
    <n v="1"/>
    <n v="8.23"/>
    <m/>
    <s v="No"/>
  </r>
  <r>
    <s v="CONSTRUIDA"/>
    <s v="Propiedad"/>
    <x v="6"/>
    <m/>
    <n v="2"/>
    <x v="0"/>
    <x v="44"/>
    <x v="312"/>
    <s v="Procesos de apoyo"/>
    <n v="1"/>
    <n v="10"/>
    <d v="2021-07-15T00:00:00"/>
    <s v="No"/>
  </r>
  <r>
    <s v="CONSTRUIDA"/>
    <s v="Propiedad"/>
    <x v="6"/>
    <m/>
    <n v="2"/>
    <x v="0"/>
    <x v="44"/>
    <x v="313"/>
    <s v="Procesos de apoyo"/>
    <n v="1"/>
    <n v="10.38"/>
    <d v="2021-07-15T00:00:00"/>
    <s v="No"/>
  </r>
  <r>
    <s v="CONSTRUIDA"/>
    <s v="Propiedad"/>
    <x v="6"/>
    <m/>
    <n v="2"/>
    <x v="0"/>
    <x v="44"/>
    <x v="314"/>
    <s v="Procesos de apoyo"/>
    <n v="15"/>
    <n v="43.32"/>
    <d v="2021-07-15T00:00:00"/>
    <s v="No"/>
  </r>
  <r>
    <s v="CONSTRUIDA"/>
    <s v="Propiedad"/>
    <x v="6"/>
    <m/>
    <n v="2"/>
    <x v="0"/>
    <x v="44"/>
    <x v="315"/>
    <s v="Procesos de apoyo"/>
    <n v="1"/>
    <n v="8.9499999999999993"/>
    <d v="2021-07-15T00:00:00"/>
    <s v="No"/>
  </r>
  <r>
    <s v="CONSTRUIDA"/>
    <s v="Propiedad"/>
    <x v="6"/>
    <m/>
    <n v="2"/>
    <x v="0"/>
    <x v="44"/>
    <x v="316"/>
    <s v="Procesos de apoyo"/>
    <n v="20"/>
    <n v="28"/>
    <d v="2021-07-15T00:00:00"/>
    <s v="No"/>
  </r>
  <r>
    <s v="CONSTRUIDA"/>
    <s v="Propiedad"/>
    <x v="6"/>
    <m/>
    <n v="2"/>
    <x v="16"/>
    <x v="4"/>
    <x v="317"/>
    <s v="Procesos de apoyo"/>
    <n v="16"/>
    <n v="266.72000000000003"/>
    <d v="2021-07-15T00:00:00"/>
    <s v="Si"/>
  </r>
  <r>
    <s v="CONSTRUIDA"/>
    <s v="Propiedad"/>
    <x v="6"/>
    <m/>
    <n v="2"/>
    <x v="22"/>
    <x v="4"/>
    <x v="101"/>
    <s v="Procesos de apoyo"/>
    <n v="2"/>
    <n v="14.27"/>
    <d v="2021-07-15T00:00:00"/>
    <s v="No"/>
  </r>
  <r>
    <s v="CONSTRUIDA"/>
    <s v="Propiedad"/>
    <x v="6"/>
    <m/>
    <n v="2"/>
    <x v="22"/>
    <x v="4"/>
    <x v="318"/>
    <s v="Procesos de apoyo"/>
    <n v="1"/>
    <n v="2.65"/>
    <d v="2021-07-15T00:00:00"/>
    <s v="No"/>
  </r>
  <r>
    <s v="CONSTRUIDA"/>
    <s v="Propiedad"/>
    <x v="6"/>
    <m/>
    <n v="2"/>
    <x v="10"/>
    <x v="4"/>
    <x v="319"/>
    <s v="N/A"/>
    <n v="2"/>
    <n v="17.43"/>
    <d v="2021-07-15T00:00:00"/>
    <s v="Si"/>
  </r>
  <r>
    <s v="CONSTRUIDA"/>
    <s v="Propiedad"/>
    <x v="6"/>
    <m/>
    <n v="2"/>
    <x v="10"/>
    <x v="4"/>
    <x v="320"/>
    <s v="N/A"/>
    <n v="3"/>
    <n v="15.65"/>
    <d v="2021-07-15T00:00:00"/>
    <s v="Si"/>
  </r>
  <r>
    <s v="CONSTRUIDA"/>
    <s v="Propiedad"/>
    <x v="6"/>
    <m/>
    <n v="2"/>
    <x v="10"/>
    <x v="4"/>
    <x v="26"/>
    <s v="N/A"/>
    <n v="1"/>
    <n v="3.64"/>
    <d v="2021-07-15T00:00:00"/>
    <s v="No"/>
  </r>
  <r>
    <s v="CONSTRUIDA"/>
    <s v="Propiedad"/>
    <x v="6"/>
    <m/>
    <n v="2"/>
    <x v="11"/>
    <x v="4"/>
    <x v="321"/>
    <s v="N/A"/>
    <n v="0"/>
    <n v="1.29"/>
    <m/>
    <s v="No"/>
  </r>
  <r>
    <s v="CONSTRUIDA"/>
    <s v="Propiedad"/>
    <x v="6"/>
    <m/>
    <n v="2"/>
    <x v="11"/>
    <x v="4"/>
    <x v="322"/>
    <s v="N/A"/>
    <n v="0"/>
    <n v="1.71"/>
    <m/>
    <s v="No"/>
  </r>
  <r>
    <s v="CONSTRUIDA"/>
    <s v="Propiedad"/>
    <x v="6"/>
    <m/>
    <n v="2"/>
    <x v="6"/>
    <x v="4"/>
    <x v="17"/>
    <s v="N/A"/>
    <n v="0"/>
    <n v="114.56"/>
    <m/>
    <s v="No"/>
  </r>
  <r>
    <s v="CONSTRUIDA"/>
    <s v="Propiedad"/>
    <x v="6"/>
    <n v="201"/>
    <n v="2"/>
    <x v="14"/>
    <x v="45"/>
    <x v="323"/>
    <s v="DOCENCIA"/>
    <n v="65"/>
    <n v="66.069999999999993"/>
    <d v="2021-07-15T00:00:00"/>
    <s v="No"/>
  </r>
  <r>
    <s v="CONSTRUIDA"/>
    <s v="Propiedad"/>
    <x v="6"/>
    <n v="202"/>
    <n v="2"/>
    <x v="15"/>
    <x v="11"/>
    <x v="324"/>
    <s v="DOCENCIA"/>
    <n v="30"/>
    <n v="63.6"/>
    <d v="2021-07-15T00:00:00"/>
    <s v="No"/>
  </r>
  <r>
    <s v="CONSTRUIDA"/>
    <s v="Propiedad"/>
    <x v="6"/>
    <n v="301"/>
    <n v="3"/>
    <x v="14"/>
    <x v="12"/>
    <x v="38"/>
    <s v="DOCENCIA"/>
    <n v="25"/>
    <n v="64.599999999999994"/>
    <d v="2021-07-15T00:00:00"/>
    <s v="No"/>
  </r>
  <r>
    <s v="CONSTRUIDA"/>
    <s v="Propiedad"/>
    <x v="6"/>
    <n v="302"/>
    <n v="3"/>
    <x v="15"/>
    <x v="11"/>
    <x v="325"/>
    <s v="DOCENCIA"/>
    <n v="44"/>
    <n v="88.64"/>
    <d v="2021-07-15T00:00:00"/>
    <s v="No"/>
  </r>
  <r>
    <s v="CONSTRUIDA"/>
    <s v="Propiedad"/>
    <x v="6"/>
    <n v="303"/>
    <n v="3"/>
    <x v="15"/>
    <x v="11"/>
    <x v="326"/>
    <s v="DOCENCIA"/>
    <n v="41"/>
    <n v="83.35"/>
    <d v="2021-07-15T00:00:00"/>
    <s v="No"/>
  </r>
  <r>
    <s v="CONSTRUIDA"/>
    <s v="Propiedad"/>
    <x v="6"/>
    <n v="304"/>
    <n v="3"/>
    <x v="15"/>
    <x v="11"/>
    <x v="327"/>
    <s v="DOCENCIA"/>
    <n v="41"/>
    <n v="82.06"/>
    <d v="2021-07-15T00:00:00"/>
    <s v="No"/>
  </r>
  <r>
    <s v="CONSTRUIDA"/>
    <s v="Propiedad"/>
    <x v="6"/>
    <n v="305"/>
    <n v="3"/>
    <x v="15"/>
    <x v="11"/>
    <x v="328"/>
    <s v="DOCENCIA"/>
    <n v="34"/>
    <n v="68.599999999999994"/>
    <d v="2021-07-15T00:00:00"/>
    <s v="No"/>
  </r>
  <r>
    <s v="CONSTRUIDA"/>
    <s v="Propiedad"/>
    <x v="6"/>
    <n v="306"/>
    <n v="3"/>
    <x v="15"/>
    <x v="11"/>
    <x v="329"/>
    <s v="DOCENCIA"/>
    <n v="46"/>
    <n v="107.27"/>
    <d v="2021-07-15T00:00:00"/>
    <s v="No"/>
  </r>
  <r>
    <s v="CONSTRUIDA"/>
    <s v="Propiedad"/>
    <x v="6"/>
    <m/>
    <n v="3"/>
    <x v="4"/>
    <x v="40"/>
    <x v="330"/>
    <s v="N/A"/>
    <n v="0"/>
    <n v="43.82"/>
    <d v="2021-07-15T00:00:00"/>
    <s v="No"/>
  </r>
  <r>
    <s v="CONSTRUIDA"/>
    <s v="Propiedad"/>
    <x v="6"/>
    <m/>
    <n v="3"/>
    <x v="4"/>
    <x v="6"/>
    <x v="331"/>
    <s v="N/A"/>
    <n v="0"/>
    <n v="9.66"/>
    <d v="2021-07-15T00:00:00"/>
    <s v="No"/>
  </r>
  <r>
    <s v="CONSTRUIDA"/>
    <s v="Propiedad"/>
    <x v="6"/>
    <m/>
    <n v="3"/>
    <x v="15"/>
    <x v="11"/>
    <x v="332"/>
    <s v="DOCENCIA"/>
    <n v="37"/>
    <n v="75.819999999999993"/>
    <d v="2021-07-15T00:00:00"/>
    <s v="No"/>
  </r>
  <r>
    <s v="CONSTRUIDA"/>
    <s v="Propiedad"/>
    <x v="6"/>
    <m/>
    <n v="3"/>
    <x v="0"/>
    <x v="11"/>
    <x v="333"/>
    <s v="Procesos de apoyo"/>
    <n v="4"/>
    <n v="55.8"/>
    <d v="2021-07-15T00:00:00"/>
    <s v="No"/>
  </r>
  <r>
    <s v="CONSTRUIDA"/>
    <s v="Propiedad"/>
    <x v="6"/>
    <m/>
    <n v="3"/>
    <x v="0"/>
    <x v="11"/>
    <x v="334"/>
    <s v="Procesos de apoyo"/>
    <n v="5"/>
    <n v="17.73"/>
    <d v="2021-07-15T00:00:00"/>
    <s v="No"/>
  </r>
  <r>
    <s v="CONSTRUIDA"/>
    <s v="Propiedad"/>
    <x v="6"/>
    <m/>
    <n v="3"/>
    <x v="6"/>
    <x v="4"/>
    <x v="335"/>
    <s v="N/A"/>
    <n v="70"/>
    <n v="245.93"/>
    <d v="2021-07-15T00:00:00"/>
    <s v="Si"/>
  </r>
  <r>
    <s v="CONSTRUIDA"/>
    <s v="Propiedad"/>
    <x v="6"/>
    <m/>
    <n v="3"/>
    <x v="10"/>
    <x v="4"/>
    <x v="336"/>
    <s v="N/A"/>
    <n v="2"/>
    <n v="15.82"/>
    <d v="2021-07-15T00:00:00"/>
    <s v="Si"/>
  </r>
  <r>
    <s v="CONSTRUIDA"/>
    <s v="Propiedad"/>
    <x v="6"/>
    <m/>
    <n v="3"/>
    <x v="10"/>
    <x v="4"/>
    <x v="337"/>
    <s v="N/A"/>
    <n v="7"/>
    <n v="20.440000000000001"/>
    <d v="2021-07-15T00:00:00"/>
    <s v="Si"/>
  </r>
  <r>
    <s v="CONSTRUIDA"/>
    <s v="Propiedad"/>
    <x v="6"/>
    <m/>
    <n v="3"/>
    <x v="10"/>
    <x v="4"/>
    <x v="338"/>
    <s v="N/A"/>
    <n v="1"/>
    <n v="3.75"/>
    <d v="2021-07-15T00:00:00"/>
    <s v="No"/>
  </r>
  <r>
    <s v="CONSTRUIDA"/>
    <s v="Propiedad"/>
    <x v="6"/>
    <m/>
    <n v="3"/>
    <x v="11"/>
    <x v="4"/>
    <x v="29"/>
    <s v="N/A"/>
    <n v="1"/>
    <n v="1.37"/>
    <d v="2021-07-15T00:00:00"/>
    <s v="No"/>
  </r>
  <r>
    <s v="CONSTRUIDA"/>
    <s v="Propiedad"/>
    <x v="6"/>
    <m/>
    <n v="3"/>
    <x v="4"/>
    <x v="14"/>
    <x v="339"/>
    <s v="N/A"/>
    <n v="0"/>
    <n v="2.04"/>
    <d v="2021-07-15T00:00:00"/>
    <s v="No"/>
  </r>
  <r>
    <s v="CONSTRUIDA"/>
    <s v="Propiedad"/>
    <x v="6"/>
    <m/>
    <n v="3"/>
    <x v="20"/>
    <x v="4"/>
    <x v="340"/>
    <s v="Procesos de apoyo"/>
    <n v="0"/>
    <n v="17.82"/>
    <d v="2021-07-16T00:00:00"/>
    <s v="Si"/>
  </r>
  <r>
    <s v="CONSTRUIDA"/>
    <s v="Propiedad"/>
    <x v="6"/>
    <m/>
    <n v="3"/>
    <x v="20"/>
    <x v="4"/>
    <x v="341"/>
    <s v="Procesos de apoyo"/>
    <n v="0"/>
    <n v="15.38"/>
    <d v="2021-07-16T00:00:00"/>
    <s v="Si"/>
  </r>
  <r>
    <s v="CONSTRUIDA"/>
    <s v="Propiedad"/>
    <x v="6"/>
    <m/>
    <n v="3"/>
    <x v="11"/>
    <x v="4"/>
    <x v="342"/>
    <s v="N/A"/>
    <n v="0"/>
    <n v="1.74"/>
    <d v="2021-07-15T00:00:00"/>
    <s v="No"/>
  </r>
  <r>
    <s v="CONSTRUIDA"/>
    <s v="Propiedad"/>
    <x v="6"/>
    <m/>
    <n v="3"/>
    <x v="4"/>
    <x v="6"/>
    <x v="343"/>
    <s v="N/A"/>
    <n v="0"/>
    <n v="8.74"/>
    <d v="2021-07-15T00:00:00"/>
    <s v="No"/>
  </r>
  <r>
    <s v="CONSTRUIDA"/>
    <s v="Propiedad"/>
    <x v="6"/>
    <n v="401"/>
    <n v="4"/>
    <x v="14"/>
    <x v="12"/>
    <x v="38"/>
    <s v="DOCENCIA"/>
    <n v="25"/>
    <n v="64.599999999999994"/>
    <d v="2021-07-16T00:00:00"/>
    <s v="No"/>
  </r>
  <r>
    <s v="CONSTRUIDA"/>
    <s v="Propiedad"/>
    <x v="6"/>
    <n v="402"/>
    <n v="4"/>
    <x v="14"/>
    <x v="12"/>
    <x v="38"/>
    <s v="DOCENCIA"/>
    <n v="44"/>
    <n v="88.64"/>
    <d v="2021-07-16T00:00:00"/>
    <s v="No"/>
  </r>
  <r>
    <s v="CONSTRUIDA"/>
    <s v="Propiedad"/>
    <x v="6"/>
    <n v="403"/>
    <n v="4"/>
    <x v="14"/>
    <x v="12"/>
    <x v="38"/>
    <s v="DOCENCIA"/>
    <n v="41"/>
    <n v="83.35"/>
    <d v="2021-07-16T00:00:00"/>
    <s v="No"/>
  </r>
  <r>
    <s v="CONSTRUIDA"/>
    <s v="Propiedad"/>
    <x v="6"/>
    <n v="404"/>
    <n v="4"/>
    <x v="15"/>
    <x v="11"/>
    <x v="344"/>
    <s v="DOCENCIA"/>
    <n v="41"/>
    <n v="82.06"/>
    <d v="2021-07-16T00:00:00"/>
    <s v="No"/>
  </r>
  <r>
    <s v="CONSTRUIDA"/>
    <s v="Propiedad"/>
    <x v="6"/>
    <n v="405"/>
    <n v="4"/>
    <x v="15"/>
    <x v="11"/>
    <x v="345"/>
    <s v="DOCENCIA"/>
    <n v="34"/>
    <n v="68.599999999999994"/>
    <d v="2021-07-16T00:00:00"/>
    <s v="No"/>
  </r>
  <r>
    <s v="CONSTRUIDA"/>
    <s v="Propiedad"/>
    <x v="6"/>
    <n v="406"/>
    <n v="4"/>
    <x v="14"/>
    <x v="12"/>
    <x v="170"/>
    <s v="DOCENCIA"/>
    <n v="45"/>
    <n v="112.74"/>
    <d v="2021-07-16T00:00:00"/>
    <s v="No"/>
  </r>
  <r>
    <s v="CONSTRUIDA"/>
    <s v="Propiedad"/>
    <x v="6"/>
    <n v="407"/>
    <n v="4"/>
    <x v="14"/>
    <x v="12"/>
    <x v="38"/>
    <s v="DOCENCIA"/>
    <n v="24"/>
    <n v="48.03"/>
    <d v="2021-07-16T00:00:00"/>
    <s v="No"/>
  </r>
  <r>
    <s v="CONSTRUIDA"/>
    <s v="Propiedad"/>
    <x v="6"/>
    <n v="408"/>
    <n v="4"/>
    <x v="14"/>
    <x v="12"/>
    <x v="38"/>
    <s v="DOCENCIA"/>
    <n v="22"/>
    <n v="44.5"/>
    <d v="2021-07-16T00:00:00"/>
    <s v="No"/>
  </r>
  <r>
    <s v="CONSTRUIDA"/>
    <s v="Propiedad"/>
    <x v="6"/>
    <n v="409"/>
    <n v="4"/>
    <x v="14"/>
    <x v="12"/>
    <x v="38"/>
    <s v="DOCENCIA"/>
    <n v="21"/>
    <n v="43.7"/>
    <d v="2021-07-16T00:00:00"/>
    <s v="No"/>
  </r>
  <r>
    <s v="CONSTRUIDA"/>
    <s v="Propiedad"/>
    <x v="6"/>
    <n v="410"/>
    <n v="4"/>
    <x v="14"/>
    <x v="12"/>
    <x v="38"/>
    <s v="DOCENCIA"/>
    <n v="21"/>
    <n v="41.87"/>
    <d v="2021-07-16T00:00:00"/>
    <s v="No"/>
  </r>
  <r>
    <s v="CONSTRUIDA"/>
    <s v="Propiedad"/>
    <x v="6"/>
    <m/>
    <n v="4"/>
    <x v="20"/>
    <x v="14"/>
    <x v="340"/>
    <s v="Procesos de apoyo"/>
    <n v="0"/>
    <n v="17.82"/>
    <d v="2021-07-16T00:00:00"/>
    <s v="Si"/>
  </r>
  <r>
    <s v="CONSTRUIDA"/>
    <s v="Propiedad"/>
    <x v="6"/>
    <m/>
    <n v="4"/>
    <x v="20"/>
    <x v="14"/>
    <x v="341"/>
    <s v="Procesos de apoyo"/>
    <n v="0"/>
    <n v="15.38"/>
    <d v="2021-07-16T00:00:00"/>
    <s v="Si"/>
  </r>
  <r>
    <s v="CONSTRUIDA"/>
    <s v="Propiedad"/>
    <x v="6"/>
    <m/>
    <n v="4"/>
    <x v="6"/>
    <x v="4"/>
    <x v="203"/>
    <s v="N/A"/>
    <n v="70"/>
    <n v="245.93"/>
    <d v="2021-07-16T00:00:00"/>
    <s v="Si"/>
  </r>
  <r>
    <s v="CONSTRUIDA"/>
    <s v="Propiedad"/>
    <x v="6"/>
    <m/>
    <n v="4"/>
    <x v="10"/>
    <x v="4"/>
    <x v="346"/>
    <s v="N/A"/>
    <n v="2"/>
    <n v="15.82"/>
    <d v="2021-07-16T00:00:00"/>
    <s v="Si"/>
  </r>
  <r>
    <s v="CONSTRUIDA"/>
    <s v="Propiedad"/>
    <x v="6"/>
    <m/>
    <n v="4"/>
    <x v="10"/>
    <x v="4"/>
    <x v="347"/>
    <s v="N/A"/>
    <n v="7"/>
    <n v="20.440000000000001"/>
    <d v="2021-07-16T00:00:00"/>
    <s v="Si"/>
  </r>
  <r>
    <s v="CONSTRUIDA"/>
    <s v="Propiedad"/>
    <x v="6"/>
    <m/>
    <n v="4"/>
    <x v="10"/>
    <x v="4"/>
    <x v="348"/>
    <s v="N/A"/>
    <n v="1"/>
    <n v="3.75"/>
    <d v="2021-07-16T00:00:00"/>
    <s v="No"/>
  </r>
  <r>
    <s v="CONSTRUIDA"/>
    <s v="Propiedad"/>
    <x v="6"/>
    <m/>
    <n v="4"/>
    <x v="11"/>
    <x v="4"/>
    <x v="349"/>
    <s v="N/A"/>
    <n v="1"/>
    <n v="1.37"/>
    <d v="2021-07-16T00:00:00"/>
    <s v="No"/>
  </r>
  <r>
    <s v="CONSTRUIDA"/>
    <s v="Propiedad"/>
    <x v="6"/>
    <m/>
    <n v="4"/>
    <x v="4"/>
    <x v="14"/>
    <x v="339"/>
    <s v="N/A"/>
    <n v="0"/>
    <n v="2.04"/>
    <d v="2021-07-16T00:00:00"/>
    <s v="No"/>
  </r>
  <r>
    <s v="CONSTRUIDA"/>
    <s v="Propiedad"/>
    <x v="6"/>
    <m/>
    <n v="4"/>
    <x v="11"/>
    <x v="4"/>
    <x v="342"/>
    <s v="N/A"/>
    <n v="0"/>
    <n v="1.74"/>
    <d v="2021-07-16T00:00:00"/>
    <s v="No"/>
  </r>
  <r>
    <s v="CONSTRUIDA"/>
    <s v="Propiedad"/>
    <x v="6"/>
    <m/>
    <n v="4"/>
    <x v="4"/>
    <x v="6"/>
    <x v="350"/>
    <s v="N/A"/>
    <n v="0"/>
    <n v="8.74"/>
    <d v="2021-07-16T00:00:00"/>
    <s v="No"/>
  </r>
  <r>
    <s v="CONSTRUIDA"/>
    <s v="Propiedad"/>
    <x v="6"/>
    <n v="501"/>
    <n v="5"/>
    <x v="14"/>
    <x v="12"/>
    <x v="38"/>
    <s v="DOCENCIA"/>
    <n v="25"/>
    <n v="47.9"/>
    <d v="2021-07-16T00:00:00"/>
    <s v="No"/>
  </r>
  <r>
    <s v="CONSTRUIDA"/>
    <s v="Propiedad"/>
    <x v="6"/>
    <n v="502"/>
    <n v="5"/>
    <x v="14"/>
    <x v="12"/>
    <x v="38"/>
    <s v="DOCENCIA"/>
    <n v="25"/>
    <n v="42"/>
    <d v="2021-07-16T00:00:00"/>
    <s v="No"/>
  </r>
  <r>
    <s v="CONSTRUIDA"/>
    <s v="Propiedad"/>
    <x v="6"/>
    <n v="503"/>
    <n v="5"/>
    <x v="14"/>
    <x v="12"/>
    <x v="38"/>
    <s v="DOCENCIA"/>
    <n v="25"/>
    <n v="48.73"/>
    <d v="2021-07-16T00:00:00"/>
    <s v="No"/>
  </r>
  <r>
    <s v="CONSTRUIDA"/>
    <s v="Propiedad"/>
    <x v="6"/>
    <n v="504"/>
    <n v="5"/>
    <x v="14"/>
    <x v="12"/>
    <x v="38"/>
    <s v="DOCENCIA"/>
    <n v="25"/>
    <n v="48.81"/>
    <d v="2021-07-16T00:00:00"/>
    <s v="No"/>
  </r>
  <r>
    <s v="CONSTRUIDA"/>
    <s v="Propiedad"/>
    <x v="6"/>
    <n v="505"/>
    <n v="5"/>
    <x v="14"/>
    <x v="12"/>
    <x v="38"/>
    <s v="DOCENCIA"/>
    <n v="25"/>
    <n v="48.73"/>
    <d v="2021-07-16T00:00:00"/>
    <s v="No"/>
  </r>
  <r>
    <s v="CONSTRUIDA"/>
    <s v="Propiedad"/>
    <x v="6"/>
    <n v="506"/>
    <n v="5"/>
    <x v="14"/>
    <x v="12"/>
    <x v="38"/>
    <s v="DOCENCIA"/>
    <n v="25"/>
    <n v="48.64"/>
    <d v="2021-07-16T00:00:00"/>
    <s v="No"/>
  </r>
  <r>
    <s v="CONSTRUIDA"/>
    <s v="Propiedad"/>
    <x v="6"/>
    <n v="507"/>
    <n v="5"/>
    <x v="14"/>
    <x v="12"/>
    <x v="38"/>
    <s v="DOCENCIA"/>
    <n v="25"/>
    <n v="47.38"/>
    <d v="2021-07-16T00:00:00"/>
    <s v="No"/>
  </r>
  <r>
    <s v="CONSTRUIDA"/>
    <s v="Propiedad"/>
    <x v="6"/>
    <n v="508"/>
    <n v="5"/>
    <x v="14"/>
    <x v="12"/>
    <x v="38"/>
    <s v="DOCENCIA"/>
    <n v="26"/>
    <n v="51.77"/>
    <d v="2021-07-16T00:00:00"/>
    <s v="No"/>
  </r>
  <r>
    <s v="CONSTRUIDA"/>
    <s v="Propiedad"/>
    <x v="6"/>
    <n v="509"/>
    <n v="5"/>
    <x v="14"/>
    <x v="12"/>
    <x v="38"/>
    <s v="DOCENCIA"/>
    <n v="26"/>
    <n v="51.27"/>
    <d v="2021-07-16T00:00:00"/>
    <s v="No"/>
  </r>
  <r>
    <s v="CONSTRUIDA"/>
    <s v="Propiedad"/>
    <x v="6"/>
    <n v="510"/>
    <n v="5"/>
    <x v="14"/>
    <x v="12"/>
    <x v="38"/>
    <s v="DOCENCIA"/>
    <n v="25"/>
    <n v="47.05"/>
    <d v="2021-07-16T00:00:00"/>
    <s v="No"/>
  </r>
  <r>
    <s v="CONSTRUIDA"/>
    <s v="Propiedad"/>
    <x v="6"/>
    <n v="511"/>
    <n v="5"/>
    <x v="14"/>
    <x v="12"/>
    <x v="38"/>
    <s v="DOCENCIA"/>
    <n v="25"/>
    <n v="43.98"/>
    <d v="2021-07-16T00:00:00"/>
    <s v="No"/>
  </r>
  <r>
    <s v="CONSTRUIDA"/>
    <s v="Propiedad"/>
    <x v="6"/>
    <n v="512"/>
    <n v="5"/>
    <x v="14"/>
    <x v="12"/>
    <x v="38"/>
    <s v="DOCENCIA"/>
    <n v="25"/>
    <n v="44.63"/>
    <d v="2021-07-16T00:00:00"/>
    <s v="No"/>
  </r>
  <r>
    <s v="CONSTRUIDA"/>
    <s v="Propiedad"/>
    <x v="6"/>
    <n v="513"/>
    <n v="5"/>
    <x v="14"/>
    <x v="12"/>
    <x v="38"/>
    <s v="DOCENCIA"/>
    <n v="20"/>
    <n v="40.340000000000003"/>
    <d v="2021-07-16T00:00:00"/>
    <s v="No"/>
  </r>
  <r>
    <s v="CONSTRUIDA"/>
    <s v="Propiedad"/>
    <x v="6"/>
    <n v="514"/>
    <n v="5"/>
    <x v="14"/>
    <x v="12"/>
    <x v="38"/>
    <s v="DOCENCIA"/>
    <n v="19"/>
    <n v="38.450000000000003"/>
    <d v="2021-07-16T00:00:00"/>
    <s v="No"/>
  </r>
  <r>
    <s v="CONSTRUIDA"/>
    <s v="Propiedad"/>
    <x v="6"/>
    <n v="515"/>
    <n v="5"/>
    <x v="14"/>
    <x v="12"/>
    <x v="38"/>
    <s v="DOCENCIA"/>
    <n v="19"/>
    <n v="37.46"/>
    <d v="2021-07-16T00:00:00"/>
    <s v="No"/>
  </r>
  <r>
    <s v="CONSTRUIDA"/>
    <s v="Propiedad"/>
    <x v="6"/>
    <n v="516"/>
    <n v="5"/>
    <x v="14"/>
    <x v="12"/>
    <x v="38"/>
    <s v="DOCENCIA"/>
    <n v="25"/>
    <n v="44.43"/>
    <d v="2021-07-16T00:00:00"/>
    <s v="No"/>
  </r>
  <r>
    <s v="CONSTRUIDA"/>
    <s v="Propiedad"/>
    <x v="6"/>
    <m/>
    <n v="5"/>
    <x v="6"/>
    <x v="4"/>
    <x v="224"/>
    <s v="N/A"/>
    <n v="178"/>
    <n v="356.77"/>
    <d v="2021-07-16T00:00:00"/>
    <s v="Si"/>
  </r>
  <r>
    <s v="CONSTRUIDA"/>
    <s v="Propiedad"/>
    <x v="6"/>
    <m/>
    <n v="5"/>
    <x v="10"/>
    <x v="4"/>
    <x v="351"/>
    <s v="N/A"/>
    <n v="2"/>
    <n v="15.82"/>
    <d v="2021-07-16T00:00:00"/>
    <s v="Si"/>
  </r>
  <r>
    <s v="CONSTRUIDA"/>
    <s v="Propiedad"/>
    <x v="6"/>
    <m/>
    <n v="5"/>
    <x v="10"/>
    <x v="4"/>
    <x v="352"/>
    <s v="N/A"/>
    <n v="7"/>
    <n v="20.440000000000001"/>
    <d v="2021-07-16T00:00:00"/>
    <s v="Si"/>
  </r>
  <r>
    <s v="CONSTRUIDA"/>
    <s v="Propiedad"/>
    <x v="6"/>
    <m/>
    <n v="5"/>
    <x v="10"/>
    <x v="4"/>
    <x v="353"/>
    <s v="N/A"/>
    <n v="1"/>
    <n v="3.75"/>
    <d v="2021-07-16T00:00:00"/>
    <s v="No"/>
  </r>
  <r>
    <s v="CONSTRUIDA"/>
    <s v="Propiedad"/>
    <x v="6"/>
    <m/>
    <n v="5"/>
    <x v="11"/>
    <x v="4"/>
    <x v="354"/>
    <s v="N/A"/>
    <n v="0"/>
    <n v="1.37"/>
    <d v="2021-07-16T00:00:00"/>
    <s v="No"/>
  </r>
  <r>
    <s v="CONSTRUIDA"/>
    <s v="Propiedad"/>
    <x v="6"/>
    <m/>
    <n v="5"/>
    <x v="11"/>
    <x v="4"/>
    <x v="355"/>
    <s v="N/A"/>
    <n v="0"/>
    <n v="1.74"/>
    <d v="2021-07-16T00:00:00"/>
    <s v="No"/>
  </r>
  <r>
    <s v="CONSTRUIDA"/>
    <s v="Propiedad"/>
    <x v="6"/>
    <m/>
    <n v="5"/>
    <x v="4"/>
    <x v="14"/>
    <x v="339"/>
    <s v="N/A"/>
    <n v="0"/>
    <n v="2.04"/>
    <d v="2021-07-16T00:00:00"/>
    <s v="No"/>
  </r>
  <r>
    <s v="CONSTRUIDA"/>
    <s v="Propiedad"/>
    <x v="6"/>
    <m/>
    <n v="5"/>
    <x v="20"/>
    <x v="14"/>
    <x v="340"/>
    <s v="Procesos de apoyo"/>
    <n v="0"/>
    <n v="17.82"/>
    <d v="2021-07-16T00:00:00"/>
    <s v="Si"/>
  </r>
  <r>
    <s v="CONSTRUIDA"/>
    <s v="Propiedad"/>
    <x v="6"/>
    <m/>
    <n v="5"/>
    <x v="20"/>
    <x v="14"/>
    <x v="341"/>
    <s v="Procesos de apoyo"/>
    <n v="0"/>
    <n v="15.38"/>
    <d v="2021-07-16T00:00:00"/>
    <s v="Si"/>
  </r>
  <r>
    <s v="CONSTRUIDA"/>
    <s v="Propiedad"/>
    <x v="6"/>
    <m/>
    <n v="5"/>
    <x v="4"/>
    <x v="6"/>
    <x v="356"/>
    <s v="N/A"/>
    <n v="0"/>
    <n v="8.74"/>
    <d v="2021-07-16T00:00:00"/>
    <s v="No"/>
  </r>
  <r>
    <s v="CONSTRUIDA"/>
    <s v="Propiedad"/>
    <x v="6"/>
    <n v="601"/>
    <n v="6"/>
    <x v="14"/>
    <x v="12"/>
    <x v="38"/>
    <s v="DOCENCIA"/>
    <n v="25"/>
    <n v="47.9"/>
    <d v="2021-07-16T00:00:00"/>
    <s v="No"/>
  </r>
  <r>
    <s v="CONSTRUIDA"/>
    <s v="Propiedad"/>
    <x v="6"/>
    <n v="602"/>
    <n v="6"/>
    <x v="14"/>
    <x v="12"/>
    <x v="38"/>
    <s v="DOCENCIA"/>
    <n v="25"/>
    <n v="42"/>
    <d v="2021-07-16T00:00:00"/>
    <s v="No"/>
  </r>
  <r>
    <s v="CONSTRUIDA"/>
    <s v="Propiedad"/>
    <x v="6"/>
    <n v="603"/>
    <n v="6"/>
    <x v="14"/>
    <x v="12"/>
    <x v="38"/>
    <s v="DOCENCIA"/>
    <n v="25"/>
    <n v="48.73"/>
    <d v="2021-07-16T00:00:00"/>
    <s v="No"/>
  </r>
  <r>
    <s v="CONSTRUIDA"/>
    <s v="Propiedad"/>
    <x v="6"/>
    <n v="604"/>
    <n v="6"/>
    <x v="14"/>
    <x v="12"/>
    <x v="38"/>
    <s v="DOCENCIA"/>
    <n v="25"/>
    <n v="48.81"/>
    <d v="2021-07-16T00:00:00"/>
    <s v="No"/>
  </r>
  <r>
    <s v="CONSTRUIDA"/>
    <s v="Propiedad"/>
    <x v="4"/>
    <m/>
    <n v="6"/>
    <x v="6"/>
    <x v="4"/>
    <x v="231"/>
    <s v="N/A"/>
    <n v="0"/>
    <n v="46.46"/>
    <s v="22/070/2021"/>
    <s v="Si"/>
  </r>
  <r>
    <s v="CONSTRUIDA"/>
    <s v="Propiedad"/>
    <x v="4"/>
    <m/>
    <n v="6"/>
    <x v="0"/>
    <x v="37"/>
    <x v="228"/>
    <s v="Procesos de apoyo"/>
    <n v="1"/>
    <n v="7.87"/>
    <s v="22/070/2021"/>
    <s v="No"/>
  </r>
  <r>
    <s v="CONSTRUIDA"/>
    <s v="Propiedad"/>
    <x v="4"/>
    <m/>
    <n v="6"/>
    <x v="16"/>
    <x v="15"/>
    <x v="233"/>
    <s v="Procesos de apoyo"/>
    <m/>
    <n v="292.5"/>
    <m/>
    <m/>
  </r>
  <r>
    <s v="CONSTRUIDA"/>
    <s v="Propiedad"/>
    <x v="6"/>
    <n v="605"/>
    <n v="6"/>
    <x v="14"/>
    <x v="12"/>
    <x v="38"/>
    <s v="DOCENCIA"/>
    <n v="25"/>
    <n v="48.73"/>
    <d v="2021-07-16T00:00:00"/>
    <s v="No"/>
  </r>
  <r>
    <s v="CONSTRUIDA"/>
    <s v="Propiedad"/>
    <x v="6"/>
    <n v="606"/>
    <n v="6"/>
    <x v="14"/>
    <x v="12"/>
    <x v="38"/>
    <s v="DOCENCIA"/>
    <n v="25"/>
    <n v="48.64"/>
    <d v="2021-07-16T00:00:00"/>
    <s v="No"/>
  </r>
  <r>
    <s v="CONSTRUIDA"/>
    <s v="Propiedad"/>
    <x v="6"/>
    <n v="607"/>
    <n v="6"/>
    <x v="14"/>
    <x v="12"/>
    <x v="38"/>
    <s v="DOCENCIA"/>
    <n v="25"/>
    <n v="47.38"/>
    <d v="2021-07-16T00:00:00"/>
    <s v="No"/>
  </r>
  <r>
    <s v="CONSTRUIDA"/>
    <s v="Propiedad"/>
    <x v="6"/>
    <n v="608"/>
    <n v="6"/>
    <x v="14"/>
    <x v="12"/>
    <x v="38"/>
    <s v="DOCENCIA"/>
    <n v="26"/>
    <n v="51.77"/>
    <d v="2021-07-16T00:00:00"/>
    <s v="No"/>
  </r>
  <r>
    <s v="CONSTRUIDA"/>
    <s v="Propiedad"/>
    <x v="6"/>
    <n v="609"/>
    <n v="6"/>
    <x v="14"/>
    <x v="12"/>
    <x v="38"/>
    <s v="DOCENCIA"/>
    <n v="26"/>
    <n v="51.27"/>
    <d v="2021-07-16T00:00:00"/>
    <s v="No"/>
  </r>
  <r>
    <s v="CONSTRUIDA"/>
    <s v="Propiedad"/>
    <x v="6"/>
    <n v="610"/>
    <n v="6"/>
    <x v="14"/>
    <x v="12"/>
    <x v="38"/>
    <s v="DOCENCIA"/>
    <n v="25"/>
    <n v="47.05"/>
    <d v="2021-07-16T00:00:00"/>
    <s v="No"/>
  </r>
  <r>
    <s v="CONSTRUIDA"/>
    <s v="Propiedad"/>
    <x v="6"/>
    <n v="611"/>
    <n v="6"/>
    <x v="14"/>
    <x v="12"/>
    <x v="38"/>
    <s v="DOCENCIA"/>
    <n v="25"/>
    <n v="43.98"/>
    <d v="2021-07-16T00:00:00"/>
    <s v="No"/>
  </r>
  <r>
    <s v="CONSTRUIDA"/>
    <s v="Propiedad"/>
    <x v="6"/>
    <n v="612"/>
    <n v="6"/>
    <x v="14"/>
    <x v="12"/>
    <x v="38"/>
    <s v="DOCENCIA"/>
    <n v="25"/>
    <n v="44.63"/>
    <d v="2021-07-16T00:00:00"/>
    <s v="No"/>
  </r>
  <r>
    <s v="CONSTRUIDA"/>
    <s v="Propiedad"/>
    <x v="6"/>
    <n v="613"/>
    <n v="6"/>
    <x v="14"/>
    <x v="12"/>
    <x v="38"/>
    <s v="DOCENCIA"/>
    <n v="20"/>
    <n v="40.340000000000003"/>
    <d v="2021-07-16T00:00:00"/>
    <s v="No"/>
  </r>
  <r>
    <s v="CONSTRUIDA"/>
    <s v="Propiedad"/>
    <x v="6"/>
    <n v="614"/>
    <n v="6"/>
    <x v="14"/>
    <x v="12"/>
    <x v="38"/>
    <s v="DOCENCIA"/>
    <n v="19"/>
    <n v="38.450000000000003"/>
    <d v="2021-07-16T00:00:00"/>
    <s v="No"/>
  </r>
  <r>
    <s v="CONSTRUIDA"/>
    <s v="Propiedad"/>
    <x v="6"/>
    <n v="615"/>
    <n v="6"/>
    <x v="14"/>
    <x v="12"/>
    <x v="38"/>
    <s v="DOCENCIA"/>
    <n v="19"/>
    <n v="37.46"/>
    <d v="2021-07-16T00:00:00"/>
    <s v="No"/>
  </r>
  <r>
    <s v="CONSTRUIDA"/>
    <s v="Propiedad"/>
    <x v="6"/>
    <n v="616"/>
    <n v="6"/>
    <x v="14"/>
    <x v="12"/>
    <x v="38"/>
    <s v="DOCENCIA"/>
    <n v="25"/>
    <n v="44.43"/>
    <d v="2021-07-16T00:00:00"/>
    <s v="No"/>
  </r>
  <r>
    <s v="CONSTRUIDA"/>
    <s v="Propiedad"/>
    <x v="6"/>
    <m/>
    <n v="6"/>
    <x v="6"/>
    <x v="4"/>
    <x v="231"/>
    <s v="N/A"/>
    <n v="178"/>
    <n v="356.77"/>
    <d v="2021-07-16T00:00:00"/>
    <s v="Si"/>
  </r>
  <r>
    <s v="CONSTRUIDA"/>
    <s v="Propiedad"/>
    <x v="6"/>
    <m/>
    <n v="6"/>
    <x v="10"/>
    <x v="4"/>
    <x v="357"/>
    <s v="N/A"/>
    <n v="2"/>
    <n v="15.82"/>
    <d v="2021-07-16T00:00:00"/>
    <s v="Si"/>
  </r>
  <r>
    <s v="CONSTRUIDA"/>
    <s v="Propiedad"/>
    <x v="6"/>
    <m/>
    <n v="6"/>
    <x v="10"/>
    <x v="4"/>
    <x v="358"/>
    <s v="N/A"/>
    <n v="7"/>
    <n v="20.440000000000001"/>
    <d v="2021-07-16T00:00:00"/>
    <s v="Si"/>
  </r>
  <r>
    <s v="CONSTRUIDA"/>
    <s v="Propiedad"/>
    <x v="6"/>
    <m/>
    <n v="6"/>
    <x v="10"/>
    <x v="4"/>
    <x v="359"/>
    <s v="N/A"/>
    <n v="1"/>
    <n v="3.75"/>
    <d v="2021-07-16T00:00:00"/>
    <s v="No"/>
  </r>
  <r>
    <s v="CONSTRUIDA"/>
    <s v="Propiedad"/>
    <x v="6"/>
    <m/>
    <n v="6"/>
    <x v="11"/>
    <x v="4"/>
    <x v="360"/>
    <s v="N/A"/>
    <n v="0"/>
    <n v="1.37"/>
    <d v="2021-07-16T00:00:00"/>
    <s v="No"/>
  </r>
  <r>
    <s v="CONSTRUIDA"/>
    <s v="Propiedad"/>
    <x v="6"/>
    <m/>
    <n v="6"/>
    <x v="11"/>
    <x v="4"/>
    <x v="342"/>
    <s v="N/A"/>
    <n v="0"/>
    <n v="1.74"/>
    <d v="2021-07-16T00:00:00"/>
    <s v="No"/>
  </r>
  <r>
    <s v="CONSTRUIDA"/>
    <s v="Propiedad"/>
    <x v="6"/>
    <m/>
    <n v="6"/>
    <x v="4"/>
    <x v="6"/>
    <x v="339"/>
    <s v="N/A"/>
    <n v="0"/>
    <n v="2.04"/>
    <d v="2021-07-16T00:00:00"/>
    <s v="No"/>
  </r>
  <r>
    <s v="CONSTRUIDA"/>
    <s v="Propiedad"/>
    <x v="6"/>
    <m/>
    <n v="6"/>
    <x v="4"/>
    <x v="6"/>
    <x v="361"/>
    <s v="N/A"/>
    <n v="0"/>
    <n v="8.74"/>
    <d v="2021-07-16T00:00:00"/>
    <s v="No"/>
  </r>
  <r>
    <s v="CONSTRUIDA"/>
    <s v="Arriendo"/>
    <x v="7"/>
    <m/>
    <n v="1"/>
    <x v="29"/>
    <x v="12"/>
    <x v="362"/>
    <s v="DOCENCIA"/>
    <n v="15"/>
    <n v="174.97"/>
    <m/>
    <s v="Si"/>
  </r>
  <r>
    <s v="CONSTRUIDA"/>
    <s v="Arriendo"/>
    <x v="7"/>
    <m/>
    <n v="1"/>
    <x v="29"/>
    <x v="12"/>
    <x v="363"/>
    <s v="DOCENCIA"/>
    <n v="10"/>
    <n v="268.92"/>
    <m/>
    <s v="Si"/>
  </r>
  <r>
    <s v="CONSTRUIDA"/>
    <s v="Arriendo"/>
    <x v="7"/>
    <m/>
    <n v="1"/>
    <x v="20"/>
    <x v="12"/>
    <x v="364"/>
    <s v="Procesos de apoyo"/>
    <n v="0"/>
    <n v="4.68"/>
    <m/>
    <s v="No"/>
  </r>
  <r>
    <s v="CONSTRUIDA"/>
    <s v="Arriendo"/>
    <x v="7"/>
    <m/>
    <n v="1"/>
    <x v="29"/>
    <x v="12"/>
    <x v="365"/>
    <s v="DOCENCIA"/>
    <n v="30"/>
    <n v="91.48"/>
    <m/>
    <s v="Si"/>
  </r>
  <r>
    <s v="CONSTRUIDA"/>
    <s v="Arriendo"/>
    <x v="7"/>
    <m/>
    <n v="1"/>
    <x v="5"/>
    <x v="12"/>
    <x v="366"/>
    <s v="DOCENCIA"/>
    <n v="5"/>
    <n v="24.79"/>
    <m/>
    <s v="Si"/>
  </r>
  <r>
    <s v="CONSTRUIDA"/>
    <s v="Arriendo"/>
    <x v="7"/>
    <m/>
    <n v="1"/>
    <x v="16"/>
    <x v="12"/>
    <x v="367"/>
    <s v="DOCENCIA"/>
    <n v="10"/>
    <n v="24.79"/>
    <m/>
    <s v="Si"/>
  </r>
  <r>
    <s v="CONSTRUIDA"/>
    <s v="Arriendo"/>
    <x v="7"/>
    <m/>
    <n v="1"/>
    <x v="19"/>
    <x v="9"/>
    <x v="368"/>
    <s v="Procesos de apoyo"/>
    <n v="1500"/>
    <n v="982"/>
    <m/>
    <s v="No"/>
  </r>
  <r>
    <s v="CONSTRUIDA"/>
    <s v="Arriendo"/>
    <x v="7"/>
    <m/>
    <n v="1"/>
    <x v="12"/>
    <x v="15"/>
    <x v="369"/>
    <s v="DOCENCIA"/>
    <n v="30"/>
    <n v="24.1"/>
    <m/>
    <s v="Si"/>
  </r>
  <r>
    <s v="CONSTRUIDA"/>
    <s v="Propiedad"/>
    <x v="8"/>
    <m/>
    <n v="1"/>
    <x v="29"/>
    <x v="12"/>
    <x v="370"/>
    <s v="DOCENCIA"/>
    <n v="30"/>
    <n v="725.25"/>
    <m/>
    <s v="Si"/>
  </r>
  <r>
    <s v="CONSTRUIDA"/>
    <s v="Arriendo"/>
    <x v="8"/>
    <m/>
    <n v="1"/>
    <x v="29"/>
    <x v="12"/>
    <x v="371"/>
    <s v="DOCENCIA"/>
    <n v="30"/>
    <n v="938.76"/>
    <m/>
    <s v="Si"/>
  </r>
  <r>
    <s v="CONSTRUIDA"/>
    <s v="Arriendo"/>
    <x v="8"/>
    <m/>
    <n v="1"/>
    <x v="29"/>
    <x v="12"/>
    <x v="372"/>
    <s v="DOCENCIA"/>
    <n v="30"/>
    <n v="781.46"/>
    <m/>
    <s v="Si"/>
  </r>
  <r>
    <s v="CONSTRUIDA"/>
    <s v="Arriendo"/>
    <x v="8"/>
    <m/>
    <n v="1"/>
    <x v="29"/>
    <x v="12"/>
    <x v="373"/>
    <s v="DOCENCIA"/>
    <n v="2"/>
    <n v="377.47"/>
    <m/>
    <s v="Si"/>
  </r>
  <r>
    <s v="CONSTRUIDA"/>
    <s v="Arriendo"/>
    <x v="8"/>
    <m/>
    <n v="1"/>
    <x v="20"/>
    <x v="12"/>
    <x v="374"/>
    <s v="Procesos de apoyo"/>
    <n v="0"/>
    <n v="7.2"/>
    <m/>
    <s v="No"/>
  </r>
  <r>
    <s v="CONSTRUIDA"/>
    <s v="Arriendo"/>
    <x v="8"/>
    <m/>
    <n v="1"/>
    <x v="30"/>
    <x v="4"/>
    <x v="375"/>
    <s v="Procesos de apoyo"/>
    <n v="0"/>
    <n v="168.59"/>
    <m/>
    <s v="Si"/>
  </r>
  <r>
    <s v="CONSTRUIDA"/>
    <s v="Arriendo"/>
    <x v="8"/>
    <m/>
    <n v="1"/>
    <x v="12"/>
    <x v="14"/>
    <x v="376"/>
    <s v="N/A"/>
    <n v="0"/>
    <n v="13.49"/>
    <m/>
    <s v="Si"/>
  </r>
  <r>
    <s v="CONSTRUIDA"/>
    <s v="Arriendo"/>
    <x v="7"/>
    <m/>
    <s v="N/A"/>
    <x v="29"/>
    <x v="26"/>
    <x v="377"/>
    <s v="Procesos de apoyo"/>
    <n v="15"/>
    <n v="312.5"/>
    <m/>
    <s v="No"/>
  </r>
  <r>
    <s v="CONSTRUIDA"/>
    <s v="Arriendo"/>
    <x v="7"/>
    <m/>
    <s v="N/A"/>
    <x v="29"/>
    <x v="26"/>
    <x v="378"/>
    <s v="Procesos de apoyo"/>
    <n v="30"/>
    <n v="7700"/>
    <m/>
    <s v="No"/>
  </r>
  <r>
    <s v="CONSTRUIDA"/>
    <s v="Arriendo"/>
    <x v="9"/>
    <s v="S205"/>
    <n v="2"/>
    <x v="14"/>
    <x v="46"/>
    <x v="38"/>
    <s v="DOCENCIA"/>
    <n v="20"/>
    <n v="23.53"/>
    <m/>
    <s v="No"/>
  </r>
  <r>
    <s v="CONSTRUIDA"/>
    <s v="Arriendo"/>
    <x v="9"/>
    <s v="S206"/>
    <n v="2"/>
    <x v="14"/>
    <x v="46"/>
    <x v="38"/>
    <s v="DOCENCIA"/>
    <n v="20"/>
    <n v="22.63"/>
    <m/>
    <s v="No"/>
  </r>
  <r>
    <s v="CONSTRUIDA"/>
    <s v="Arriendo"/>
    <x v="9"/>
    <s v="S201"/>
    <n v="2"/>
    <x v="14"/>
    <x v="46"/>
    <x v="188"/>
    <s v="DOCENCIA"/>
    <n v="53"/>
    <n v="73.5"/>
    <m/>
    <s v="No"/>
  </r>
  <r>
    <s v="CONSTRUIDA"/>
    <s v="Arriendo"/>
    <x v="9"/>
    <s v="S202"/>
    <n v="2"/>
    <x v="14"/>
    <x v="46"/>
    <x v="188"/>
    <s v="DOCENCIA"/>
    <n v="29"/>
    <n v="41.88"/>
    <m/>
    <s v="No"/>
  </r>
  <r>
    <s v="CONSTRUIDA"/>
    <s v="Arriendo"/>
    <x v="9"/>
    <s v="S203"/>
    <n v="2"/>
    <x v="14"/>
    <x v="46"/>
    <x v="188"/>
    <s v="DOCENCIA"/>
    <n v="23"/>
    <n v="39.119999999999997"/>
    <m/>
    <s v="No"/>
  </r>
  <r>
    <s v="CONSTRUIDA"/>
    <s v="Arriendo"/>
    <x v="9"/>
    <s v="S204"/>
    <n v="2"/>
    <x v="14"/>
    <x v="46"/>
    <x v="188"/>
    <s v="DOCENCIA"/>
    <n v="36"/>
    <n v="47.04"/>
    <m/>
    <s v="No"/>
  </r>
  <r>
    <s v="CONSTRUIDA"/>
    <s v="Arriendo"/>
    <x v="9"/>
    <s v="S208"/>
    <n v="2"/>
    <x v="14"/>
    <x v="46"/>
    <x v="188"/>
    <s v="DOCENCIA"/>
    <n v="55"/>
    <n v="82.25"/>
    <m/>
    <s v="No"/>
  </r>
  <r>
    <s v="CONSTRUIDA"/>
    <s v="Arriendo"/>
    <x v="9"/>
    <m/>
    <n v="2"/>
    <x v="0"/>
    <x v="46"/>
    <x v="379"/>
    <s v="DOCENCIA"/>
    <n v="1"/>
    <n v="15.78"/>
    <m/>
    <s v="No"/>
  </r>
  <r>
    <s v="CONSTRUIDA"/>
    <s v="Arriendo"/>
    <x v="9"/>
    <m/>
    <n v="2"/>
    <x v="0"/>
    <x v="46"/>
    <x v="380"/>
    <s v="DOCENCIA"/>
    <n v="1"/>
    <n v="15.78"/>
    <m/>
    <s v="No"/>
  </r>
  <r>
    <s v="CONSTRUIDA"/>
    <s v="Arriendo"/>
    <x v="9"/>
    <m/>
    <n v="2"/>
    <x v="18"/>
    <x v="46"/>
    <x v="381"/>
    <s v="Integral"/>
    <n v="11"/>
    <n v="23.53"/>
    <m/>
    <s v="No"/>
  </r>
  <r>
    <s v="CONSTRUIDA"/>
    <s v="Arriendo"/>
    <x v="9"/>
    <m/>
    <n v="2"/>
    <x v="17"/>
    <x v="46"/>
    <x v="382"/>
    <s v="DOCENCIA"/>
    <n v="12"/>
    <n v="24.97"/>
    <m/>
    <s v="No"/>
  </r>
  <r>
    <s v="CONSTRUIDA"/>
    <s v="Arriendo"/>
    <x v="9"/>
    <s v="S207"/>
    <n v="2"/>
    <x v="17"/>
    <x v="46"/>
    <x v="383"/>
    <s v="DOCENCIA"/>
    <n v="14"/>
    <n v="23.53"/>
    <m/>
    <s v="No"/>
  </r>
  <r>
    <s v="CONSTRUIDA"/>
    <s v="Arriendo"/>
    <x v="9"/>
    <m/>
    <n v="2"/>
    <x v="10"/>
    <x v="46"/>
    <x v="384"/>
    <s v="N/A"/>
    <n v="2"/>
    <n v="9.16"/>
    <m/>
    <s v="No"/>
  </r>
  <r>
    <s v="CONSTRUIDA"/>
    <s v="Arriendo"/>
    <x v="9"/>
    <m/>
    <n v="2"/>
    <x v="10"/>
    <x v="46"/>
    <x v="385"/>
    <s v="N/A"/>
    <n v="2"/>
    <n v="9.16"/>
    <m/>
    <s v="No"/>
  </r>
  <r>
    <s v="CONSTRUIDA"/>
    <s v="Arriendo"/>
    <x v="9"/>
    <m/>
    <n v="3"/>
    <x v="22"/>
    <x v="4"/>
    <x v="386"/>
    <s v="Procesos de apoyo"/>
    <n v="42"/>
    <n v="73.28"/>
    <m/>
    <s v="No"/>
  </r>
  <r>
    <s v="CONSTRUIDA"/>
    <s v="Arriendo"/>
    <x v="9"/>
    <m/>
    <n v="3"/>
    <x v="16"/>
    <x v="46"/>
    <x v="387"/>
    <s v="Procesos de apoyo"/>
    <n v="0"/>
    <n v="221.24"/>
    <m/>
    <s v="No"/>
  </r>
  <r>
    <s v="CONSTRUIDA"/>
    <s v="Arriendo"/>
    <x v="9"/>
    <m/>
    <n v="2"/>
    <x v="23"/>
    <x v="46"/>
    <x v="388"/>
    <s v="DOCENCIA"/>
    <n v="8"/>
    <n v="46.7"/>
    <m/>
    <s v="No"/>
  </r>
  <r>
    <s v="CONSTRUIDA"/>
    <s v="Arriendo"/>
    <x v="7"/>
    <m/>
    <n v="1"/>
    <x v="12"/>
    <x v="4"/>
    <x v="389"/>
    <s v="N/A"/>
    <n v="0"/>
    <n v="18.39"/>
    <m/>
    <s v="No"/>
  </r>
  <r>
    <s v="CONSTRUIDA"/>
    <s v="Arriendo"/>
    <x v="9"/>
    <m/>
    <n v="2"/>
    <x v="4"/>
    <x v="46"/>
    <x v="390"/>
    <s v="N/A"/>
    <n v="1"/>
    <n v="6.46"/>
    <m/>
    <s v="No"/>
  </r>
  <r>
    <s v="CONSTRUIDA"/>
    <s v="Arriendo"/>
    <x v="9"/>
    <m/>
    <n v="1"/>
    <x v="5"/>
    <x v="46"/>
    <x v="391"/>
    <s v="Procesos de apoyo"/>
    <n v="1"/>
    <n v="25.2"/>
    <m/>
    <s v="No"/>
  </r>
  <r>
    <s v="CONSTRUIDA"/>
    <s v="Arriendo"/>
    <x v="9"/>
    <m/>
    <n v="2"/>
    <x v="16"/>
    <x v="46"/>
    <x v="392"/>
    <s v="Procesos de apoyo"/>
    <n v="0"/>
    <n v="130.29"/>
    <m/>
    <s v="No"/>
  </r>
  <r>
    <s v="CONSTRUIDA"/>
    <s v="Propiedad"/>
    <x v="10"/>
    <m/>
    <n v="1"/>
    <x v="19"/>
    <x v="4"/>
    <x v="393"/>
    <s v="Procesos de apoyo"/>
    <n v="30"/>
    <n v="74.66"/>
    <d v="2022-05-25T00:00:00"/>
    <s v="Si"/>
  </r>
  <r>
    <s v="CONSTRUIDA"/>
    <s v="Propiedad"/>
    <x v="10"/>
    <m/>
    <n v="1"/>
    <x v="12"/>
    <x v="4"/>
    <x v="394"/>
    <s v="N/A"/>
    <n v="0"/>
    <n v="5.61"/>
    <d v="2022-05-25T00:00:00"/>
    <s v="Si"/>
  </r>
  <r>
    <s v="CONSTRUIDA"/>
    <s v="Propiedad"/>
    <x v="10"/>
    <m/>
    <n v="1"/>
    <x v="12"/>
    <x v="4"/>
    <x v="395"/>
    <s v="N/A"/>
    <n v="0"/>
    <n v="8.34"/>
    <d v="2022-05-25T00:00:00"/>
    <s v="Si"/>
  </r>
  <r>
    <s v="CONSTRUIDA"/>
    <s v="Propiedad"/>
    <x v="10"/>
    <m/>
    <n v="1"/>
    <x v="4"/>
    <x v="4"/>
    <x v="396"/>
    <s v="N/A"/>
    <n v="0"/>
    <n v="4.2300000000000004"/>
    <d v="2022-05-25T00:00:00"/>
    <s v="Si"/>
  </r>
  <r>
    <s v="CONSTRUIDA"/>
    <s v="Propiedad"/>
    <x v="10"/>
    <m/>
    <n v="1"/>
    <x v="4"/>
    <x v="4"/>
    <x v="397"/>
    <s v="N/A"/>
    <n v="0"/>
    <n v="25.87"/>
    <d v="2022-05-25T00:00:00"/>
    <s v="Si"/>
  </r>
  <r>
    <s v="CONSTRUIDA"/>
    <s v="Propiedad"/>
    <x v="10"/>
    <m/>
    <n v="1"/>
    <x v="19"/>
    <x v="4"/>
    <x v="398"/>
    <s v="Procesos de apoyo"/>
    <n v="0"/>
    <n v="112.26"/>
    <d v="2022-05-25T00:00:00"/>
    <s v="Si"/>
  </r>
  <r>
    <s v="CONSTRUIDA"/>
    <s v="Propiedad"/>
    <x v="10"/>
    <m/>
    <n v="1"/>
    <x v="4"/>
    <x v="4"/>
    <x v="399"/>
    <s v="N/A"/>
    <n v="0"/>
    <n v="19.77"/>
    <d v="2022-05-25T00:00:00"/>
    <s v="Si"/>
  </r>
  <r>
    <s v="CONSTRUIDA"/>
    <s v="Propiedad"/>
    <x v="10"/>
    <m/>
    <n v="1"/>
    <x v="5"/>
    <x v="4"/>
    <x v="400"/>
    <s v="N/A"/>
    <n v="0"/>
    <n v="18.89"/>
    <d v="2022-05-25T00:00:00"/>
    <s v="Si"/>
  </r>
  <r>
    <s v="CONSTRUIDA"/>
    <s v="Propiedad"/>
    <x v="10"/>
    <m/>
    <n v="1"/>
    <x v="12"/>
    <x v="4"/>
    <x v="401"/>
    <s v="N/A"/>
    <n v="0"/>
    <n v="4.8899999999999997"/>
    <d v="2022-05-25T00:00:00"/>
    <s v="Si"/>
  </r>
  <r>
    <s v="CONSTRUIDA"/>
    <s v="Propiedad"/>
    <x v="10"/>
    <m/>
    <n v="1"/>
    <x v="10"/>
    <x v="4"/>
    <x v="402"/>
    <s v="N/A"/>
    <n v="8"/>
    <n v="44.76"/>
    <d v="2022-05-25T00:00:00"/>
    <s v="Si"/>
  </r>
  <r>
    <s v="CONSTRUIDA"/>
    <s v="Propiedad"/>
    <x v="10"/>
    <m/>
    <n v="1"/>
    <x v="6"/>
    <x v="4"/>
    <x v="403"/>
    <s v="N/A"/>
    <n v="0"/>
    <n v="53.33"/>
    <d v="2022-05-25T00:00:00"/>
    <s v="Si"/>
  </r>
  <r>
    <s v="CONSTRUIDA"/>
    <s v="Propiedad"/>
    <x v="10"/>
    <m/>
    <n v="2"/>
    <x v="4"/>
    <x v="4"/>
    <x v="404"/>
    <s v="N/A"/>
    <n v="0"/>
    <n v="18.600000000000001"/>
    <d v="2022-05-25T00:00:00"/>
    <s v="Si"/>
  </r>
  <r>
    <s v="CONSTRUIDA"/>
    <s v="Propiedad"/>
    <x v="10"/>
    <m/>
    <n v="2"/>
    <x v="10"/>
    <x v="4"/>
    <x v="405"/>
    <s v="N/A"/>
    <n v="6"/>
    <n v="28.83"/>
    <d v="2022-05-25T00:00:00"/>
    <s v="Si"/>
  </r>
  <r>
    <s v="CONSTRUIDA"/>
    <s v="Propiedad"/>
    <x v="10"/>
    <m/>
    <n v="2"/>
    <x v="10"/>
    <x v="4"/>
    <x v="406"/>
    <s v="N/A"/>
    <n v="1"/>
    <n v="8.5299999999999994"/>
    <d v="2022-05-25T00:00:00"/>
    <s v="Si"/>
  </r>
  <r>
    <s v="CONSTRUIDA"/>
    <s v="Propiedad"/>
    <x v="10"/>
    <m/>
    <n v="2"/>
    <x v="10"/>
    <x v="4"/>
    <x v="407"/>
    <s v="N/A"/>
    <n v="6"/>
    <n v="28.66"/>
    <d v="2022-05-25T00:00:00"/>
    <s v="Si"/>
  </r>
  <r>
    <s v="CONSTRUIDA"/>
    <s v="Propiedad"/>
    <x v="10"/>
    <m/>
    <n v="2"/>
    <x v="10"/>
    <x v="4"/>
    <x v="408"/>
    <s v="N/A"/>
    <n v="1"/>
    <n v="9.91"/>
    <d v="2022-05-25T00:00:00"/>
    <s v="Si"/>
  </r>
  <r>
    <s v="CONSTRUIDA"/>
    <s v="Propiedad"/>
    <x v="10"/>
    <m/>
    <n v="2"/>
    <x v="4"/>
    <x v="4"/>
    <x v="409"/>
    <s v="N/A"/>
    <n v="0"/>
    <n v="5.26"/>
    <d v="2022-05-25T00:00:00"/>
    <s v="Si"/>
  </r>
  <r>
    <s v="CONSTRUIDA"/>
    <s v="Propiedad"/>
    <x v="10"/>
    <m/>
    <n v="2"/>
    <x v="11"/>
    <x v="4"/>
    <x v="410"/>
    <s v="N/A"/>
    <n v="0"/>
    <n v="5"/>
    <d v="2022-05-25T00:00:00"/>
    <s v="Si"/>
  </r>
  <r>
    <s v="CONSTRUIDA"/>
    <s v="Propiedad"/>
    <x v="10"/>
    <m/>
    <n v="2"/>
    <x v="4"/>
    <x v="4"/>
    <x v="409"/>
    <s v="N/A"/>
    <n v="0"/>
    <n v="5.6"/>
    <d v="2022-05-25T00:00:00"/>
    <s v="Si"/>
  </r>
  <r>
    <s v="CONSTRUIDA"/>
    <s v="Propiedad"/>
    <x v="10"/>
    <m/>
    <n v="2"/>
    <x v="4"/>
    <x v="4"/>
    <x v="410"/>
    <s v="N/A"/>
    <n v="0"/>
    <n v="2.79"/>
    <d v="2022-05-25T00:00:00"/>
    <s v="Si"/>
  </r>
  <r>
    <s v="CONSTRUIDA"/>
    <s v="Propiedad"/>
    <x v="10"/>
    <m/>
    <n v="2"/>
    <x v="4"/>
    <x v="4"/>
    <x v="411"/>
    <s v="N/A"/>
    <n v="0"/>
    <n v="6.86"/>
    <d v="2022-05-25T00:00:00"/>
    <s v="Si"/>
  </r>
  <r>
    <s v="CONSTRUIDA"/>
    <s v="Propiedad"/>
    <x v="10"/>
    <m/>
    <n v="2"/>
    <x v="14"/>
    <x v="4"/>
    <x v="412"/>
    <s v="N/A"/>
    <n v="41"/>
    <n v="91.09"/>
    <d v="2022-05-25T00:00:00"/>
    <s v="Si"/>
  </r>
  <r>
    <s v="CONSTRUIDA"/>
    <s v="Propiedad"/>
    <x v="10"/>
    <m/>
    <n v="2"/>
    <x v="14"/>
    <x v="4"/>
    <x v="413"/>
    <s v="N/A"/>
    <n v="51"/>
    <n v="120.3"/>
    <d v="2022-05-25T00:00:00"/>
    <s v="Si"/>
  </r>
  <r>
    <s v="CONSTRUIDA"/>
    <s v="Propiedad"/>
    <x v="10"/>
    <m/>
    <n v="2"/>
    <x v="14"/>
    <x v="4"/>
    <x v="413"/>
    <s v="N/A"/>
    <n v="41"/>
    <n v="120"/>
    <d v="2022-05-25T00:00:00"/>
    <s v="Si"/>
  </r>
  <r>
    <s v="CONSTRUIDA"/>
    <s v="Propiedad"/>
    <x v="10"/>
    <m/>
    <n v="2"/>
    <x v="17"/>
    <x v="4"/>
    <x v="414"/>
    <s v="N/A"/>
    <n v="51"/>
    <n v="156.06"/>
    <d v="2022-05-25T00:00:00"/>
    <s v="Si"/>
  </r>
  <r>
    <s v="CONSTRUIDA"/>
    <s v="Propiedad"/>
    <x v="10"/>
    <m/>
    <n v="2"/>
    <x v="18"/>
    <x v="4"/>
    <x v="64"/>
    <s v="N/A"/>
    <n v="41"/>
    <n v="99.4"/>
    <d v="2022-05-25T00:00:00"/>
    <s v="Si"/>
  </r>
  <r>
    <s v="CONSTRUIDA"/>
    <s v="Propiedad"/>
    <x v="10"/>
    <m/>
    <n v="2"/>
    <x v="23"/>
    <x v="4"/>
    <x v="415"/>
    <s v="DOCENCIA"/>
    <n v="3"/>
    <n v="11.5"/>
    <d v="2022-05-25T00:00:00"/>
    <s v="Si"/>
  </r>
  <r>
    <s v="CONSTRUIDA"/>
    <s v="Propiedad"/>
    <x v="10"/>
    <m/>
    <n v="2"/>
    <x v="23"/>
    <x v="4"/>
    <x v="416"/>
    <s v="DOCENCIA"/>
    <n v="3"/>
    <n v="11.34"/>
    <d v="2022-05-25T00:00:00"/>
    <s v="Si"/>
  </r>
  <r>
    <s v="CONSTRUIDA"/>
    <s v="Propiedad"/>
    <x v="10"/>
    <m/>
    <n v="2"/>
    <x v="23"/>
    <x v="4"/>
    <x v="417"/>
    <s v="DOCENCIA"/>
    <n v="3"/>
    <n v="12.17"/>
    <d v="2022-05-25T00:00:00"/>
    <s v="Si"/>
  </r>
  <r>
    <s v="CONSTRUIDA"/>
    <s v="Propiedad"/>
    <x v="10"/>
    <m/>
    <n v="2"/>
    <x v="23"/>
    <x v="4"/>
    <x v="418"/>
    <s v="DOCENCIA"/>
    <n v="3"/>
    <n v="11.85"/>
    <d v="2022-05-25T00:00:00"/>
    <s v="Si"/>
  </r>
  <r>
    <s v="CONSTRUIDA"/>
    <s v="Propiedad"/>
    <x v="10"/>
    <m/>
    <n v="2"/>
    <x v="23"/>
    <x v="4"/>
    <x v="419"/>
    <s v="DOCENCIA"/>
    <n v="3"/>
    <n v="12"/>
    <d v="2022-05-25T00:00:00"/>
    <s v="Si"/>
  </r>
  <r>
    <s v="CONSTRUIDA"/>
    <s v="Propiedad"/>
    <x v="10"/>
    <m/>
    <n v="2"/>
    <x v="23"/>
    <x v="4"/>
    <x v="420"/>
    <s v="DOCENCIA"/>
    <n v="3"/>
    <n v="12.2"/>
    <d v="2022-05-25T00:00:00"/>
    <s v="Si"/>
  </r>
  <r>
    <s v="CONSTRUIDA"/>
    <s v="Propiedad"/>
    <x v="10"/>
    <m/>
    <n v="2"/>
    <x v="23"/>
    <x v="4"/>
    <x v="421"/>
    <s v="DOCENCIA"/>
    <n v="3"/>
    <n v="11.74"/>
    <d v="2022-05-25T00:00:00"/>
    <s v="Si"/>
  </r>
  <r>
    <s v="CONSTRUIDA"/>
    <s v="Propiedad"/>
    <x v="10"/>
    <m/>
    <n v="2"/>
    <x v="23"/>
    <x v="4"/>
    <x v="422"/>
    <s v="DOCENCIA"/>
    <n v="3"/>
    <n v="12.2"/>
    <d v="2022-05-25T00:00:00"/>
    <s v="Si"/>
  </r>
  <r>
    <s v="CONSTRUIDA"/>
    <s v="Propiedad"/>
    <x v="10"/>
    <m/>
    <n v="2"/>
    <x v="23"/>
    <x v="4"/>
    <x v="423"/>
    <s v="DOCENCIA"/>
    <n v="3"/>
    <n v="13.3"/>
    <d v="2022-05-25T00:00:00"/>
    <s v="Si"/>
  </r>
  <r>
    <s v="CONSTRUIDA"/>
    <s v="Propiedad"/>
    <x v="10"/>
    <m/>
    <n v="2"/>
    <x v="23"/>
    <x v="4"/>
    <x v="424"/>
    <s v="DOCENCIA"/>
    <n v="3"/>
    <n v="12.23"/>
    <d v="2022-05-25T00:00:00"/>
    <s v="Si"/>
  </r>
  <r>
    <s v="CONSTRUIDA"/>
    <s v="Propiedad"/>
    <x v="10"/>
    <m/>
    <n v="2"/>
    <x v="23"/>
    <x v="4"/>
    <x v="425"/>
    <s v="DOCENCIA"/>
    <n v="3"/>
    <n v="12.23"/>
    <d v="2022-05-25T00:00:00"/>
    <s v="Si"/>
  </r>
  <r>
    <s v="CONSTRUIDA"/>
    <s v="Propiedad"/>
    <x v="10"/>
    <m/>
    <n v="2"/>
    <x v="23"/>
    <x v="4"/>
    <x v="426"/>
    <s v="DOCENCIA"/>
    <n v="3"/>
    <n v="10.87"/>
    <d v="2022-05-25T00:00:00"/>
    <s v="Si"/>
  </r>
  <r>
    <s v="CONSTRUIDA"/>
    <s v="Propiedad"/>
    <x v="10"/>
    <m/>
    <n v="2"/>
    <x v="23"/>
    <x v="4"/>
    <x v="427"/>
    <s v="DOCENCIA"/>
    <n v="3"/>
    <n v="199"/>
    <d v="2022-05-25T00:00:00"/>
    <s v="Si"/>
  </r>
  <r>
    <s v="CONSTRUIDA"/>
    <s v="Propiedad"/>
    <x v="10"/>
    <m/>
    <n v="2"/>
    <x v="6"/>
    <x v="4"/>
    <x v="428"/>
    <s v="Procesos de apoyo"/>
    <n v="0"/>
    <n v="654.84"/>
    <d v="2022-05-25T00:00:00"/>
    <s v="Si"/>
  </r>
  <r>
    <s v="CONSTRUIDA"/>
    <s v="Propiedad"/>
    <x v="10"/>
    <m/>
    <n v="3"/>
    <x v="4"/>
    <x v="4"/>
    <x v="429"/>
    <s v="Procesos de apoyo"/>
    <n v="0"/>
    <n v="19.09"/>
    <d v="2022-05-25T00:00:00"/>
    <s v="Si"/>
  </r>
  <r>
    <s v="CONSTRUIDA"/>
    <s v="Propiedad"/>
    <x v="10"/>
    <m/>
    <n v="3"/>
    <x v="10"/>
    <x v="4"/>
    <x v="430"/>
    <s v="N/A"/>
    <n v="6"/>
    <n v="28.83"/>
    <d v="2022-05-25T00:00:00"/>
    <s v="Si"/>
  </r>
  <r>
    <s v="CONSTRUIDA"/>
    <s v="Propiedad"/>
    <x v="10"/>
    <m/>
    <n v="3"/>
    <x v="10"/>
    <x v="4"/>
    <x v="431"/>
    <s v="N/A"/>
    <n v="1"/>
    <n v="8.5299999999999994"/>
    <d v="2022-05-25T00:00:00"/>
    <s v="Si"/>
  </r>
  <r>
    <s v="CONSTRUIDA"/>
    <s v="Propiedad"/>
    <x v="10"/>
    <m/>
    <n v="3"/>
    <x v="10"/>
    <x v="4"/>
    <x v="432"/>
    <s v="N/A"/>
    <n v="6"/>
    <n v="28.66"/>
    <d v="2022-05-25T00:00:00"/>
    <s v="Si"/>
  </r>
  <r>
    <s v="CONSTRUIDA"/>
    <s v="Propiedad"/>
    <x v="10"/>
    <m/>
    <n v="3"/>
    <x v="10"/>
    <x v="4"/>
    <x v="433"/>
    <s v="N/A"/>
    <n v="1"/>
    <n v="9.91"/>
    <d v="2022-05-25T00:00:00"/>
    <s v="Si"/>
  </r>
  <r>
    <s v="CONSTRUIDA"/>
    <s v="Propiedad"/>
    <x v="10"/>
    <m/>
    <n v="3"/>
    <x v="4"/>
    <x v="4"/>
    <x v="434"/>
    <s v="N/A"/>
    <n v="0"/>
    <n v="5.26"/>
    <d v="2022-05-25T00:00:00"/>
    <s v="Si"/>
  </r>
  <r>
    <s v="CONSTRUIDA"/>
    <s v="Propiedad"/>
    <x v="10"/>
    <m/>
    <n v="3"/>
    <x v="11"/>
    <x v="4"/>
    <x v="435"/>
    <s v="N/A"/>
    <n v="0"/>
    <n v="7.35"/>
    <d v="2022-05-25T00:00:00"/>
    <s v="Si"/>
  </r>
  <r>
    <s v="CONSTRUIDA"/>
    <s v="Propiedad"/>
    <x v="10"/>
    <m/>
    <n v="3"/>
    <x v="4"/>
    <x v="4"/>
    <x v="434"/>
    <s v="N/A"/>
    <n v="0"/>
    <n v="6.21"/>
    <d v="2022-05-25T00:00:00"/>
    <s v="Si"/>
  </r>
  <r>
    <s v="CONSTRUIDA"/>
    <s v="Propiedad"/>
    <x v="10"/>
    <m/>
    <n v="3"/>
    <x v="11"/>
    <x v="4"/>
    <x v="436"/>
    <s v="N/A"/>
    <n v="0"/>
    <n v="2.79"/>
    <d v="2022-05-25T00:00:00"/>
    <s v="Si"/>
  </r>
  <r>
    <s v="CONSTRUIDA"/>
    <s v="Propiedad"/>
    <x v="10"/>
    <m/>
    <n v="3"/>
    <x v="4"/>
    <x v="4"/>
    <x v="437"/>
    <s v="N/A"/>
    <n v="0"/>
    <n v="6.86"/>
    <d v="2022-05-25T00:00:00"/>
    <s v="Si"/>
  </r>
  <r>
    <s v="CONSTRUIDA"/>
    <s v="Propiedad"/>
    <x v="10"/>
    <m/>
    <n v="3"/>
    <x v="14"/>
    <x v="4"/>
    <x v="438"/>
    <s v="DOCENCIA"/>
    <n v="41"/>
    <n v="92.07"/>
    <d v="2022-05-25T00:00:00"/>
    <s v="Si"/>
  </r>
  <r>
    <s v="CONSTRUIDA"/>
    <s v="Propiedad"/>
    <x v="10"/>
    <m/>
    <n v="3"/>
    <x v="14"/>
    <x v="4"/>
    <x v="439"/>
    <s v="DOCENCIA"/>
    <n v="51"/>
    <n v="121.68"/>
    <d v="2022-05-25T00:00:00"/>
    <s v="Si"/>
  </r>
  <r>
    <s v="CONSTRUIDA"/>
    <s v="Propiedad"/>
    <x v="10"/>
    <m/>
    <n v="3"/>
    <x v="14"/>
    <x v="4"/>
    <x v="439"/>
    <s v="DOCENCIA"/>
    <n v="51"/>
    <n v="122.68"/>
    <d v="2022-05-25T00:00:00"/>
    <s v="Si"/>
  </r>
  <r>
    <s v="CONSTRUIDA"/>
    <s v="Propiedad"/>
    <x v="10"/>
    <m/>
    <n v="3"/>
    <x v="14"/>
    <x v="4"/>
    <x v="439"/>
    <s v="DOCENCIA"/>
    <n v="51"/>
    <n v="122.68"/>
    <d v="2022-05-25T00:00:00"/>
    <s v="Si"/>
  </r>
  <r>
    <s v="CONSTRUIDA"/>
    <s v="Propiedad"/>
    <x v="10"/>
    <m/>
    <n v="3"/>
    <x v="14"/>
    <x v="4"/>
    <x v="440"/>
    <s v="DOCENCIA"/>
    <n v="51"/>
    <n v="110.28"/>
    <d v="2022-05-25T00:00:00"/>
    <s v="Si"/>
  </r>
  <r>
    <s v="CONSTRUIDA"/>
    <s v="Propiedad"/>
    <x v="10"/>
    <m/>
    <n v="3"/>
    <x v="14"/>
    <x v="4"/>
    <x v="441"/>
    <s v="DOCENCIA"/>
    <n v="31"/>
    <n v="76.05"/>
    <d v="2022-05-25T00:00:00"/>
    <s v="Si"/>
  </r>
  <r>
    <s v="CONSTRUIDA"/>
    <s v="Propiedad"/>
    <x v="10"/>
    <m/>
    <n v="3"/>
    <x v="14"/>
    <x v="4"/>
    <x v="441"/>
    <s v="DOCENCIA"/>
    <n v="31"/>
    <n v="76.05"/>
    <d v="2022-05-25T00:00:00"/>
    <s v="Si"/>
  </r>
  <r>
    <s v="CONSTRUIDA"/>
    <s v="Propiedad"/>
    <x v="10"/>
    <m/>
    <n v="3"/>
    <x v="14"/>
    <x v="4"/>
    <x v="441"/>
    <s v="DOCENCIA"/>
    <n v="31"/>
    <n v="78.19"/>
    <d v="2022-05-25T00:00:00"/>
    <s v="Si"/>
  </r>
  <r>
    <s v="CONSTRUIDA"/>
    <s v="Propiedad"/>
    <x v="10"/>
    <m/>
    <n v="3"/>
    <x v="14"/>
    <x v="4"/>
    <x v="441"/>
    <s v="DOCENCIA"/>
    <n v="31"/>
    <n v="78.64"/>
    <d v="2022-05-25T00:00:00"/>
    <s v="Si"/>
  </r>
  <r>
    <s v="CONSTRUIDA"/>
    <s v="Propiedad"/>
    <x v="10"/>
    <m/>
    <n v="3"/>
    <x v="14"/>
    <x v="4"/>
    <x v="441"/>
    <s v="DOCENCIA"/>
    <n v="31"/>
    <n v="75.12"/>
    <d v="2022-05-25T00:00:00"/>
    <s v="Si"/>
  </r>
  <r>
    <s v="CONSTRUIDA"/>
    <s v="Propiedad"/>
    <x v="10"/>
    <m/>
    <n v="3"/>
    <x v="14"/>
    <x v="4"/>
    <x v="442"/>
    <s v="DOCENCIA"/>
    <n v="6"/>
    <n v="62.34"/>
    <d v="2022-05-25T00:00:00"/>
    <s v="Si"/>
  </r>
  <r>
    <s v="CONSTRUIDA"/>
    <s v="Propiedad"/>
    <x v="10"/>
    <m/>
    <n v="3"/>
    <x v="0"/>
    <x v="4"/>
    <x v="443"/>
    <s v="N/A"/>
    <n v="0"/>
    <n v="9.56"/>
    <d v="2022-05-25T00:00:00"/>
    <s v="Si"/>
  </r>
  <r>
    <s v="CONSTRUIDA"/>
    <s v="Propiedad"/>
    <x v="10"/>
    <m/>
    <n v="3"/>
    <x v="14"/>
    <x v="4"/>
    <x v="444"/>
    <s v="DOCENCIA"/>
    <n v="0"/>
    <n v="114.36"/>
    <d v="2022-05-25T00:00:00"/>
    <s v="Si"/>
  </r>
  <r>
    <s v="CONSTRUIDA"/>
    <s v="Propiedad"/>
    <x v="10"/>
    <m/>
    <n v="3"/>
    <x v="6"/>
    <x v="4"/>
    <x v="445"/>
    <s v="N/A"/>
    <n v="0"/>
    <n v="600.74"/>
    <d v="2022-05-25T00:00:00"/>
    <s v="Si"/>
  </r>
  <r>
    <s v="CONSTRUIDA"/>
    <s v="Propiedad"/>
    <x v="10"/>
    <m/>
    <n v="4"/>
    <x v="4"/>
    <x v="4"/>
    <x v="446"/>
    <s v="N/A"/>
    <n v="0"/>
    <n v="19.09"/>
    <d v="2022-05-25T00:00:00"/>
    <s v="Si"/>
  </r>
  <r>
    <s v="CONSTRUIDA"/>
    <s v="Propiedad"/>
    <x v="10"/>
    <m/>
    <n v="4"/>
    <x v="10"/>
    <x v="4"/>
    <x v="447"/>
    <s v="N/A"/>
    <n v="6"/>
    <n v="28.83"/>
    <d v="2022-05-25T00:00:00"/>
    <s v="Si"/>
  </r>
  <r>
    <s v="CONSTRUIDA"/>
    <s v="Propiedad"/>
    <x v="10"/>
    <m/>
    <n v="4"/>
    <x v="2"/>
    <x v="4"/>
    <x v="448"/>
    <s v="N/A"/>
    <n v="1"/>
    <n v="8.5299999999999994"/>
    <d v="2022-05-25T00:00:00"/>
    <s v="Si"/>
  </r>
  <r>
    <s v="CONSTRUIDA"/>
    <s v="Propiedad"/>
    <x v="10"/>
    <m/>
    <n v="4"/>
    <x v="2"/>
    <x v="4"/>
    <x v="449"/>
    <s v="N/A"/>
    <n v="6"/>
    <n v="28.66"/>
    <d v="2022-05-25T00:00:00"/>
    <s v="Si"/>
  </r>
  <r>
    <s v="CONSTRUIDA"/>
    <s v="Propiedad"/>
    <x v="10"/>
    <m/>
    <n v="4"/>
    <x v="10"/>
    <x v="4"/>
    <x v="450"/>
    <s v="N/A"/>
    <n v="1"/>
    <n v="9.91"/>
    <d v="2022-05-25T00:00:00"/>
    <s v="Si"/>
  </r>
  <r>
    <s v="CONSTRUIDA"/>
    <s v="Propiedad"/>
    <x v="10"/>
    <m/>
    <n v="4"/>
    <x v="4"/>
    <x v="4"/>
    <x v="271"/>
    <s v="N/A"/>
    <n v="0"/>
    <n v="5.26"/>
    <d v="2022-05-25T00:00:00"/>
    <s v="Si"/>
  </r>
  <r>
    <s v="CONSTRUIDA"/>
    <s v="Propiedad"/>
    <x v="10"/>
    <m/>
    <n v="4"/>
    <x v="12"/>
    <x v="4"/>
    <x v="451"/>
    <s v="N/A"/>
    <n v="0"/>
    <n v="7.35"/>
    <d v="2022-05-25T00:00:00"/>
    <s v="Si"/>
  </r>
  <r>
    <s v="CONSTRUIDA"/>
    <s v="Propiedad"/>
    <x v="10"/>
    <m/>
    <n v="4"/>
    <x v="4"/>
    <x v="4"/>
    <x v="271"/>
    <s v="N/A"/>
    <n v="0"/>
    <n v="6.21"/>
    <d v="2022-05-25T00:00:00"/>
    <s v="Si"/>
  </r>
  <r>
    <s v="CONSTRUIDA"/>
    <s v="Propiedad"/>
    <x v="10"/>
    <m/>
    <n v="4"/>
    <x v="12"/>
    <x v="4"/>
    <x v="452"/>
    <s v="N/A"/>
    <n v="0"/>
    <n v="2.79"/>
    <d v="2022-05-25T00:00:00"/>
    <s v="Si"/>
  </r>
  <r>
    <s v="CONSTRUIDA"/>
    <s v="Propiedad"/>
    <x v="10"/>
    <m/>
    <n v="4"/>
    <x v="4"/>
    <x v="4"/>
    <x v="453"/>
    <s v="N/A"/>
    <n v="0"/>
    <n v="6.86"/>
    <d v="2022-05-25T00:00:00"/>
    <s v="Si"/>
  </r>
  <r>
    <s v="CONSTRUIDA"/>
    <s v="Propiedad"/>
    <x v="10"/>
    <m/>
    <n v="4"/>
    <x v="14"/>
    <x v="4"/>
    <x v="454"/>
    <s v="DOCENCIA"/>
    <n v="41"/>
    <n v="92.07"/>
    <d v="2022-05-25T00:00:00"/>
    <s v="Si"/>
  </r>
  <r>
    <s v="CONSTRUIDA"/>
    <s v="Propiedad"/>
    <x v="10"/>
    <m/>
    <n v="4"/>
    <x v="14"/>
    <x v="4"/>
    <x v="455"/>
    <s v="DOCENCIA"/>
    <n v="51"/>
    <n v="121.68"/>
    <d v="2022-05-25T00:00:00"/>
    <s v="Si"/>
  </r>
  <r>
    <s v="CONSTRUIDA"/>
    <s v="Propiedad"/>
    <x v="10"/>
    <m/>
    <n v="4"/>
    <x v="14"/>
    <x v="4"/>
    <x v="455"/>
    <s v="DOCENCIA"/>
    <n v="51"/>
    <n v="121.68"/>
    <d v="2022-05-25T00:00:00"/>
    <s v="Si"/>
  </r>
  <r>
    <s v="CONSTRUIDA"/>
    <s v="Propiedad"/>
    <x v="10"/>
    <m/>
    <n v="4"/>
    <x v="14"/>
    <x v="4"/>
    <x v="455"/>
    <s v="DOCENCIA"/>
    <n v="51"/>
    <n v="122.68"/>
    <d v="2022-05-25T00:00:00"/>
    <s v="Si"/>
  </r>
  <r>
    <s v="CONSTRUIDA"/>
    <s v="Propiedad"/>
    <x v="10"/>
    <m/>
    <n v="4"/>
    <x v="14"/>
    <x v="4"/>
    <x v="455"/>
    <s v="DOCENCIA"/>
    <n v="51"/>
    <n v="110.28"/>
    <d v="2022-05-25T00:00:00"/>
    <s v="Si"/>
  </r>
  <r>
    <s v="CONSTRUIDA"/>
    <s v="Propiedad"/>
    <x v="10"/>
    <m/>
    <n v="4"/>
    <x v="14"/>
    <x v="4"/>
    <x v="456"/>
    <s v="DOCENCIA"/>
    <n v="31"/>
    <n v="76.05"/>
    <d v="2022-05-25T00:00:00"/>
    <s v="Si"/>
  </r>
  <r>
    <s v="CONSTRUIDA"/>
    <s v="Propiedad"/>
    <x v="10"/>
    <m/>
    <n v="4"/>
    <x v="14"/>
    <x v="4"/>
    <x v="456"/>
    <s v="DOCENCIA"/>
    <n v="31"/>
    <n v="77.53"/>
    <d v="2022-05-25T00:00:00"/>
    <s v="Si"/>
  </r>
  <r>
    <s v="CONSTRUIDA"/>
    <s v="Propiedad"/>
    <x v="10"/>
    <m/>
    <n v="4"/>
    <x v="14"/>
    <x v="4"/>
    <x v="456"/>
    <s v="DOCENCIA"/>
    <n v="31"/>
    <n v="78.19"/>
    <d v="2022-05-25T00:00:00"/>
    <s v="Si"/>
  </r>
  <r>
    <s v="CONSTRUIDA"/>
    <s v="Propiedad"/>
    <x v="10"/>
    <m/>
    <n v="4"/>
    <x v="14"/>
    <x v="4"/>
    <x v="456"/>
    <s v="DOCENCIA"/>
    <n v="31"/>
    <n v="78.64"/>
    <d v="2022-05-25T00:00:00"/>
    <s v="Si"/>
  </r>
  <r>
    <s v="CONSTRUIDA"/>
    <s v="Propiedad"/>
    <x v="10"/>
    <m/>
    <n v="4"/>
    <x v="14"/>
    <x v="4"/>
    <x v="456"/>
    <s v="DOCENCIA"/>
    <n v="31"/>
    <n v="75.12"/>
    <d v="2022-05-25T00:00:00"/>
    <s v="Si"/>
  </r>
  <r>
    <s v="CONSTRUIDA"/>
    <s v="Propiedad"/>
    <x v="10"/>
    <m/>
    <n v="4"/>
    <x v="14"/>
    <x v="4"/>
    <x v="457"/>
    <s v="DOCENCIA"/>
    <n v="6"/>
    <n v="62.34"/>
    <d v="2022-05-25T00:00:00"/>
    <s v="Si"/>
  </r>
  <r>
    <s v="CONSTRUIDA"/>
    <s v="Propiedad"/>
    <x v="10"/>
    <m/>
    <n v="4"/>
    <x v="6"/>
    <x v="4"/>
    <x v="458"/>
    <s v="N/A"/>
    <n v="0"/>
    <n v="569.33000000000004"/>
    <d v="2022-05-25T00:00:00"/>
    <s v="Si"/>
  </r>
  <r>
    <s v="CONSTRUIDA"/>
    <s v="Propiedad"/>
    <x v="10"/>
    <m/>
    <n v="5"/>
    <x v="4"/>
    <x v="4"/>
    <x v="446"/>
    <s v="N/A"/>
    <n v="0"/>
    <n v="19.09"/>
    <d v="2022-05-25T00:00:00"/>
    <s v="Si"/>
  </r>
  <r>
    <s v="CONSTRUIDA"/>
    <s v="Propiedad"/>
    <x v="10"/>
    <m/>
    <n v="5"/>
    <x v="2"/>
    <x v="4"/>
    <x v="447"/>
    <s v="N/A"/>
    <n v="6"/>
    <n v="28.83"/>
    <d v="2022-05-25T00:00:00"/>
    <s v="Si"/>
  </r>
  <r>
    <s v="CONSTRUIDA"/>
    <s v="Propiedad"/>
    <x v="10"/>
    <m/>
    <n v="5"/>
    <x v="2"/>
    <x v="4"/>
    <x v="459"/>
    <s v="N/A"/>
    <n v="1"/>
    <n v="8.5299999999999994"/>
    <d v="2022-05-25T00:00:00"/>
    <s v="Si"/>
  </r>
  <r>
    <s v="CONSTRUIDA"/>
    <s v="Propiedad"/>
    <x v="10"/>
    <m/>
    <n v="5"/>
    <x v="10"/>
    <x v="4"/>
    <x v="449"/>
    <s v="N/A"/>
    <n v="6"/>
    <n v="28.66"/>
    <d v="2022-05-25T00:00:00"/>
    <s v="Si"/>
  </r>
  <r>
    <s v="CONSTRUIDA"/>
    <s v="Propiedad"/>
    <x v="10"/>
    <m/>
    <n v="5"/>
    <x v="10"/>
    <x v="4"/>
    <x v="460"/>
    <s v="N/A"/>
    <n v="1"/>
    <n v="9.91"/>
    <d v="2022-05-25T00:00:00"/>
    <s v="Si"/>
  </r>
  <r>
    <s v="CONSTRUIDA"/>
    <s v="Propiedad"/>
    <x v="10"/>
    <m/>
    <n v="5"/>
    <x v="4"/>
    <x v="4"/>
    <x v="271"/>
    <s v="N/A"/>
    <n v="0"/>
    <n v="5.26"/>
    <d v="2022-05-25T00:00:00"/>
    <s v="Si"/>
  </r>
  <r>
    <s v="CONSTRUIDA"/>
    <s v="Propiedad"/>
    <x v="10"/>
    <m/>
    <n v="5"/>
    <x v="12"/>
    <x v="4"/>
    <x v="451"/>
    <s v="N/A"/>
    <n v="0"/>
    <n v="7.35"/>
    <d v="2022-05-25T00:00:00"/>
    <s v="Si"/>
  </r>
  <r>
    <s v="CONSTRUIDA"/>
    <s v="Propiedad"/>
    <x v="10"/>
    <m/>
    <n v="5"/>
    <x v="4"/>
    <x v="4"/>
    <x v="271"/>
    <s v="N/A"/>
    <n v="0"/>
    <n v="6.21"/>
    <d v="2022-05-25T00:00:00"/>
    <s v="Si"/>
  </r>
  <r>
    <s v="CONSTRUIDA"/>
    <s v="Propiedad"/>
    <x v="10"/>
    <m/>
    <n v="5"/>
    <x v="12"/>
    <x v="4"/>
    <x v="452"/>
    <s v="N/A"/>
    <n v="0"/>
    <n v="2.79"/>
    <d v="2022-05-25T00:00:00"/>
    <s v="Si"/>
  </r>
  <r>
    <s v="CONSTRUIDA"/>
    <s v="Propiedad"/>
    <x v="10"/>
    <m/>
    <n v="5"/>
    <x v="4"/>
    <x v="4"/>
    <x v="453"/>
    <s v="N/A"/>
    <n v="0"/>
    <n v="6.86"/>
    <d v="2022-05-25T00:00:00"/>
    <s v="Si"/>
  </r>
  <r>
    <s v="CONSTRUIDA"/>
    <s v="Propiedad"/>
    <x v="10"/>
    <m/>
    <n v="5"/>
    <x v="15"/>
    <x v="4"/>
    <x v="461"/>
    <s v="DOCENCIA"/>
    <n v="39"/>
    <n v="92.07"/>
    <d v="2022-05-25T00:00:00"/>
    <s v="Si"/>
  </r>
  <r>
    <s v="CONSTRUIDA"/>
    <s v="Propiedad"/>
    <x v="10"/>
    <m/>
    <n v="5"/>
    <x v="14"/>
    <x v="4"/>
    <x v="455"/>
    <s v="DOCENCIA"/>
    <n v="51"/>
    <n v="121.68"/>
    <d v="2022-05-25T00:00:00"/>
    <s v="Si"/>
  </r>
  <r>
    <s v="CONSTRUIDA"/>
    <s v="Propiedad"/>
    <x v="10"/>
    <m/>
    <n v="5"/>
    <x v="14"/>
    <x v="4"/>
    <x v="455"/>
    <s v="DOCENCIA"/>
    <n v="51"/>
    <n v="121.68"/>
    <d v="2022-05-25T00:00:00"/>
    <s v="Si"/>
  </r>
  <r>
    <s v="CONSTRUIDA"/>
    <s v="Propiedad"/>
    <x v="10"/>
    <m/>
    <n v="5"/>
    <x v="14"/>
    <x v="4"/>
    <x v="455"/>
    <s v="DOCENCIA"/>
    <n v="51"/>
    <n v="122.68"/>
    <d v="2022-05-25T00:00:00"/>
    <s v="Si"/>
  </r>
  <r>
    <s v="CONSTRUIDA"/>
    <s v="Propiedad"/>
    <x v="10"/>
    <m/>
    <n v="5"/>
    <x v="15"/>
    <x v="4"/>
    <x v="462"/>
    <s v="DOCENCIA"/>
    <n v="49"/>
    <n v="110.28"/>
    <d v="2022-05-25T00:00:00"/>
    <s v="Si"/>
  </r>
  <r>
    <s v="CONSTRUIDA"/>
    <s v="Propiedad"/>
    <x v="10"/>
    <m/>
    <n v="5"/>
    <x v="14"/>
    <x v="4"/>
    <x v="456"/>
    <s v="DOCENCIA"/>
    <n v="31"/>
    <n v="76.05"/>
    <d v="2022-05-25T00:00:00"/>
    <s v="Si"/>
  </r>
  <r>
    <s v="CONSTRUIDA"/>
    <s v="Propiedad"/>
    <x v="10"/>
    <m/>
    <n v="5"/>
    <x v="14"/>
    <x v="4"/>
    <x v="456"/>
    <s v="DOCENCIA"/>
    <n v="31"/>
    <n v="77.53"/>
    <d v="2022-05-25T00:00:00"/>
    <s v="Si"/>
  </r>
  <r>
    <s v="CONSTRUIDA"/>
    <s v="Propiedad"/>
    <x v="10"/>
    <m/>
    <n v="5"/>
    <x v="14"/>
    <x v="4"/>
    <x v="456"/>
    <s v="DOCENCIA"/>
    <n v="31"/>
    <n v="78.19"/>
    <d v="2022-05-25T00:00:00"/>
    <s v="Si"/>
  </r>
  <r>
    <s v="CONSTRUIDA"/>
    <s v="Propiedad"/>
    <x v="10"/>
    <m/>
    <n v="5"/>
    <x v="14"/>
    <x v="4"/>
    <x v="456"/>
    <s v="DOCENCIA"/>
    <n v="31"/>
    <n v="78.64"/>
    <d v="2022-05-25T00:00:00"/>
    <s v="Si"/>
  </r>
  <r>
    <s v="CONSTRUIDA"/>
    <s v="Propiedad"/>
    <x v="10"/>
    <m/>
    <n v="5"/>
    <x v="14"/>
    <x v="4"/>
    <x v="456"/>
    <s v="DOCENCIA"/>
    <n v="31"/>
    <n v="75.12"/>
    <d v="2022-05-25T00:00:00"/>
    <s v="Si"/>
  </r>
  <r>
    <s v="CONSTRUIDA"/>
    <s v="Propiedad"/>
    <x v="10"/>
    <m/>
    <n v="5"/>
    <x v="6"/>
    <x v="4"/>
    <x v="458"/>
    <s v="N/A"/>
    <n v="0"/>
    <n v="569.33000000000004"/>
    <d v="2022-05-25T00:00:00"/>
    <s v="Si"/>
  </r>
  <r>
    <s v="CONSTRUIDA"/>
    <s v="Propiedad"/>
    <x v="10"/>
    <m/>
    <n v="6"/>
    <x v="10"/>
    <x v="4"/>
    <x v="449"/>
    <s v="N/A"/>
    <n v="6"/>
    <n v="28.66"/>
    <d v="2022-05-25T00:00:00"/>
    <s v="Si"/>
  </r>
  <r>
    <s v="CONSTRUIDA"/>
    <s v="Propiedad"/>
    <x v="10"/>
    <m/>
    <n v="6"/>
    <x v="10"/>
    <x v="4"/>
    <x v="460"/>
    <s v="N/A"/>
    <n v="1"/>
    <n v="9.91"/>
    <d v="2022-05-25T00:00:00"/>
    <s v="Si"/>
  </r>
  <r>
    <s v="CONSTRUIDA"/>
    <s v="Propiedad"/>
    <x v="10"/>
    <m/>
    <n v="6"/>
    <x v="12"/>
    <x v="4"/>
    <x v="463"/>
    <s v="N/A"/>
    <n v="0"/>
    <n v="2.11"/>
    <d v="2022-05-25T00:00:00"/>
    <s v="Si"/>
  </r>
  <r>
    <s v="CONSTRUIDA"/>
    <s v="Propiedad"/>
    <x v="10"/>
    <m/>
    <n v="6"/>
    <x v="16"/>
    <x v="4"/>
    <x v="464"/>
    <s v="N/A"/>
    <n v="0"/>
    <n v="27.28"/>
    <d v="2022-05-25T00:00:00"/>
    <s v="Si"/>
  </r>
  <r>
    <s v="CONSTRUIDA"/>
    <s v="Propiedad"/>
    <x v="10"/>
    <m/>
    <n v="6"/>
    <x v="12"/>
    <x v="4"/>
    <x v="465"/>
    <s v="N/A"/>
    <n v="0"/>
    <n v="9.34"/>
    <d v="2022-05-25T00:00:00"/>
    <s v="Si"/>
  </r>
  <r>
    <s v="CONSTRUIDA"/>
    <s v="Propiedad"/>
    <x v="10"/>
    <m/>
    <n v="6"/>
    <x v="4"/>
    <x v="4"/>
    <x v="466"/>
    <s v="N/A"/>
    <n v="0"/>
    <n v="5.74"/>
    <d v="2022-05-25T00:00:00"/>
    <s v="Si"/>
  </r>
  <r>
    <s v="CONSTRUIDA"/>
    <s v="Propiedad"/>
    <x v="10"/>
    <m/>
    <n v="6"/>
    <x v="16"/>
    <x v="4"/>
    <x v="467"/>
    <s v="N/A"/>
    <n v="0"/>
    <n v="221"/>
    <d v="2022-05-25T00:00:00"/>
    <s v="Si"/>
  </r>
  <r>
    <s v="CONSTRUIDA"/>
    <s v="Propiedad"/>
    <x v="10"/>
    <m/>
    <n v="6"/>
    <x v="4"/>
    <x v="4"/>
    <x v="468"/>
    <s v="N/A"/>
    <n v="0"/>
    <n v="9.59"/>
    <d v="2022-05-25T00:00:00"/>
    <s v="Si"/>
  </r>
  <r>
    <s v="CONSTRUIDA"/>
    <s v="Propiedad"/>
    <x v="10"/>
    <m/>
    <n v="6"/>
    <x v="4"/>
    <x v="4"/>
    <x v="469"/>
    <s v="N/A"/>
    <n v="0"/>
    <n v="8.2799999999999994"/>
    <d v="2022-05-25T00:00:00"/>
    <s v="Si"/>
  </r>
  <r>
    <s v="CONSTRUIDA"/>
    <s v="Propiedad"/>
    <x v="10"/>
    <m/>
    <n v="6"/>
    <x v="4"/>
    <x v="4"/>
    <x v="470"/>
    <s v="N/A"/>
    <n v="0"/>
    <n v="17.27"/>
    <d v="2022-05-25T00:00:00"/>
    <s v="Si"/>
  </r>
  <r>
    <s v="CONSTRUIDA"/>
    <s v="Propiedad"/>
    <x v="10"/>
    <m/>
    <n v="6"/>
    <x v="4"/>
    <x v="4"/>
    <x v="470"/>
    <s v="N/A"/>
    <n v="0"/>
    <n v="21.36"/>
    <d v="2022-05-25T00:00:00"/>
    <s v="Si"/>
  </r>
  <r>
    <s v="CONSTRUIDA"/>
    <s v="Propiedad"/>
    <x v="10"/>
    <m/>
    <n v="6"/>
    <x v="6"/>
    <x v="4"/>
    <x v="458"/>
    <s v="N/A"/>
    <n v="0"/>
    <n v="220.87"/>
    <d v="2022-05-25T00:00:00"/>
    <s v="Si"/>
  </r>
  <r>
    <s v="CONSTRUIDA"/>
    <s v="Propiedad"/>
    <x v="10"/>
    <m/>
    <s v="N/A"/>
    <x v="7"/>
    <x v="4"/>
    <x v="471"/>
    <s v="N/A"/>
    <n v="0"/>
    <n v="14.55"/>
    <d v="2022-05-25T00:00:00"/>
    <s v="Si"/>
  </r>
  <r>
    <s v="CONSTRUIDA"/>
    <s v="Propiedad"/>
    <x v="10"/>
    <m/>
    <s v="N/A"/>
    <x v="2"/>
    <x v="4"/>
    <x v="472"/>
    <s v="N/A"/>
    <n v="0"/>
    <n v="3.68"/>
    <d v="2022-05-25T00:00:00"/>
    <s v="Si"/>
  </r>
  <r>
    <s v="CONSTRUIDA"/>
    <s v="Propiedad"/>
    <x v="10"/>
    <m/>
    <s v="N/A"/>
    <x v="4"/>
    <x v="4"/>
    <x v="473"/>
    <s v="N/A"/>
    <n v="0"/>
    <n v="8.69"/>
    <d v="2022-05-25T00:00:00"/>
    <s v="Si"/>
  </r>
  <r>
    <s v="CONSTRUIDA"/>
    <s v="Propiedad"/>
    <x v="10"/>
    <m/>
    <s v="N/A"/>
    <x v="5"/>
    <x v="4"/>
    <x v="474"/>
    <s v="N/A"/>
    <n v="0"/>
    <n v="19.11"/>
    <d v="2022-05-25T00:00:00"/>
    <s v="Si"/>
  </r>
  <r>
    <s v="CONSTRUIDA"/>
    <s v="Propiedad"/>
    <x v="10"/>
    <m/>
    <s v="N/A"/>
    <x v="4"/>
    <x v="4"/>
    <x v="475"/>
    <s v="N/A"/>
    <n v="0"/>
    <n v="12.09"/>
    <d v="2022-05-25T00:00:00"/>
    <s v="Si"/>
  </r>
  <r>
    <s v="CONSTRUIDA"/>
    <s v="Propiedad"/>
    <x v="10"/>
    <m/>
    <s v="N/A"/>
    <x v="12"/>
    <x v="4"/>
    <x v="476"/>
    <s v="N/A"/>
    <n v="0"/>
    <n v="5.18"/>
    <d v="2022-05-25T00:00:00"/>
    <s v="Si"/>
  </r>
  <r>
    <s v="CONSTRUIDA"/>
    <s v="Propiedad"/>
    <x v="10"/>
    <m/>
    <s v="N/A"/>
    <x v="4"/>
    <x v="4"/>
    <x v="477"/>
    <s v="N/A"/>
    <n v="0"/>
    <n v="13.08"/>
    <d v="2022-05-25T00:00:00"/>
    <s v="Si"/>
  </r>
  <r>
    <s v="CONSTRUIDA"/>
    <s v="Propiedad"/>
    <x v="10"/>
    <m/>
    <s v="N/A"/>
    <x v="6"/>
    <x v="4"/>
    <x v="478"/>
    <s v="N/A"/>
    <n v="0"/>
    <n v="4.3"/>
    <d v="2022-05-25T00:00:00"/>
    <s v="Si"/>
  </r>
  <r>
    <s v="CONSTRUIDA"/>
    <s v="Propiedad"/>
    <x v="10"/>
    <m/>
    <s v="N/A"/>
    <x v="2"/>
    <x v="4"/>
    <x v="479"/>
    <s v="N/A"/>
    <n v="0"/>
    <n v="5.83"/>
    <d v="2022-05-25T00:00:00"/>
    <s v="Si"/>
  </r>
  <r>
    <s v="CONSTRUIDA"/>
    <s v="Propiedad"/>
    <x v="10"/>
    <m/>
    <s v="N/A"/>
    <x v="4"/>
    <x v="4"/>
    <x v="480"/>
    <s v="N/A"/>
    <n v="0"/>
    <n v="58.01"/>
    <d v="2022-05-25T00:00:00"/>
    <s v="Si"/>
  </r>
  <r>
    <s v="CONSTRUIDA"/>
    <s v="Propiedad"/>
    <x v="10"/>
    <m/>
    <s v="N/A"/>
    <x v="0"/>
    <x v="4"/>
    <x v="481"/>
    <s v="N/A"/>
    <n v="22"/>
    <n v="92.71"/>
    <d v="2022-05-25T00:00:00"/>
    <s v="Si"/>
  </r>
  <r>
    <s v="CONSTRUIDA"/>
    <s v="Propiedad"/>
    <x v="10"/>
    <m/>
    <s v="N/A"/>
    <x v="0"/>
    <x v="4"/>
    <x v="482"/>
    <s v="N/A"/>
    <n v="4"/>
    <n v="8.0399999999999991"/>
    <d v="2022-05-25T00:00:00"/>
    <s v="Si"/>
  </r>
  <r>
    <s v="CONSTRUIDA"/>
    <s v="Propiedad"/>
    <x v="10"/>
    <m/>
    <s v="N/A"/>
    <x v="0"/>
    <x v="4"/>
    <x v="483"/>
    <s v="Procesos de apoyo"/>
    <n v="10"/>
    <n v="12.64"/>
    <d v="2022-05-25T00:00:00"/>
    <s v="Si"/>
  </r>
  <r>
    <s v="CONSTRUIDA"/>
    <s v="Propiedad"/>
    <x v="10"/>
    <m/>
    <s v="N/A"/>
    <x v="9"/>
    <x v="4"/>
    <x v="484"/>
    <s v="Procesos de apoyo"/>
    <n v="10"/>
    <n v="45.97"/>
    <d v="2022-05-25T00:00:00"/>
    <s v="Si"/>
  </r>
  <r>
    <s v="CONSTRUIDA"/>
    <s v="Propiedad"/>
    <x v="10"/>
    <m/>
    <s v="N/A"/>
    <x v="0"/>
    <x v="4"/>
    <x v="485"/>
    <s v="Procesos de apoyo"/>
    <n v="0"/>
    <n v="18.34"/>
    <d v="2022-05-25T00:00:00"/>
    <s v="Si"/>
  </r>
  <r>
    <s v="CONSTRUIDA"/>
    <s v="Propiedad"/>
    <x v="10"/>
    <m/>
    <s v="N/A"/>
    <x v="22"/>
    <x v="4"/>
    <x v="486"/>
    <s v="Procesos de apoyo"/>
    <n v="0"/>
    <n v="6.46"/>
    <d v="2022-05-25T00:00:00"/>
    <s v="Si"/>
  </r>
  <r>
    <s v="CONSTRUIDA"/>
    <s v="Propiedad"/>
    <x v="10"/>
    <m/>
    <s v="N/A"/>
    <x v="6"/>
    <x v="4"/>
    <x v="487"/>
    <s v="Procesos de apoyo"/>
    <n v="13"/>
    <n v="38.11"/>
    <d v="2022-05-25T00:00:00"/>
    <s v="Si"/>
  </r>
  <r>
    <s v="CONSTRUIDA"/>
    <s v="Propiedad"/>
    <x v="10"/>
    <m/>
    <s v="N/A"/>
    <x v="0"/>
    <x v="4"/>
    <x v="488"/>
    <s v="Procesos de apoyo"/>
    <n v="3"/>
    <n v="15.5"/>
    <d v="2022-05-25T00:00:00"/>
    <s v="Si"/>
  </r>
  <r>
    <s v="CONSTRUIDA"/>
    <s v="Propiedad"/>
    <x v="10"/>
    <m/>
    <s v="N/A"/>
    <x v="0"/>
    <x v="4"/>
    <x v="489"/>
    <s v="Procesos de apoyo"/>
    <n v="3"/>
    <n v="24.64"/>
    <d v="2022-05-25T00:00:00"/>
    <s v="Si"/>
  </r>
  <r>
    <s v="CONSTRUIDA"/>
    <s v="Propiedad"/>
    <x v="10"/>
    <m/>
    <s v="N/A"/>
    <x v="0"/>
    <x v="4"/>
    <x v="490"/>
    <s v="Procesos de apoyo"/>
    <n v="0"/>
    <n v="5.4"/>
    <d v="2022-05-25T00:00:00"/>
    <s v="Si"/>
  </r>
  <r>
    <s v="CONSTRUIDA"/>
    <s v="Propiedad"/>
    <x v="10"/>
    <m/>
    <s v="N/A"/>
    <x v="2"/>
    <x v="4"/>
    <x v="491"/>
    <s v="Procesos de apoyo"/>
    <n v="1"/>
    <n v="4.66"/>
    <d v="2022-05-25T00:00:00"/>
    <s v="Si"/>
  </r>
  <r>
    <s v="CONSTRUIDA"/>
    <s v="Propiedad"/>
    <x v="10"/>
    <m/>
    <s v="N/A"/>
    <x v="0"/>
    <x v="4"/>
    <x v="492"/>
    <s v="Procesos de apoyo"/>
    <n v="3"/>
    <n v="16.350000000000001"/>
    <d v="2022-05-25T00:00:00"/>
    <s v="Si"/>
  </r>
  <r>
    <s v="CONSTRUIDA"/>
    <s v="Propiedad"/>
    <x v="10"/>
    <m/>
    <s v="N/A"/>
    <x v="2"/>
    <x v="4"/>
    <x v="493"/>
    <s v="N/A"/>
    <n v="0"/>
    <n v="2.61"/>
    <d v="2022-05-25T00:00:00"/>
    <s v="Si"/>
  </r>
  <r>
    <s v="CONSTRUIDA"/>
    <s v="Propiedad"/>
    <x v="10"/>
    <m/>
    <s v="N/A"/>
    <x v="6"/>
    <x v="4"/>
    <x v="494"/>
    <s v="Procesos de apoyo"/>
    <n v="0"/>
    <n v="108.47"/>
    <d v="2022-05-25T00:00:00"/>
    <s v="Si"/>
  </r>
  <r>
    <s v="CONSTRUIDA"/>
    <s v="Propiedad"/>
    <x v="10"/>
    <m/>
    <s v="N/A"/>
    <x v="2"/>
    <x v="4"/>
    <x v="495"/>
    <s v="N/A"/>
    <n v="3"/>
    <n v="21.13"/>
    <d v="2022-05-25T00:00:00"/>
    <s v="Si"/>
  </r>
  <r>
    <s v="CONSTRUIDA"/>
    <s v="Propiedad"/>
    <x v="10"/>
    <m/>
    <s v="N/A"/>
    <x v="2"/>
    <x v="4"/>
    <x v="496"/>
    <s v="N/A"/>
    <n v="3"/>
    <n v="24.53"/>
    <d v="2022-05-25T00:00:00"/>
    <s v="Si"/>
  </r>
  <r>
    <s v="CONSTRUIDA"/>
    <s v="Propiedad"/>
    <x v="10"/>
    <m/>
    <s v="N/A"/>
    <x v="2"/>
    <x v="4"/>
    <x v="497"/>
    <s v="N/A"/>
    <n v="1"/>
    <n v="7.38"/>
    <d v="2022-05-25T00:00:00"/>
    <s v="Si"/>
  </r>
  <r>
    <s v="CONSTRUIDA"/>
    <s v="Propiedad"/>
    <x v="10"/>
    <m/>
    <s v="N/A"/>
    <x v="12"/>
    <x v="4"/>
    <x v="498"/>
    <s v="N/A"/>
    <n v="0"/>
    <n v="2.89"/>
    <d v="2022-05-25T00:00:00"/>
    <s v="Si"/>
  </r>
  <r>
    <s v="CONSTRUIDA"/>
    <s v="Propiedad"/>
    <x v="10"/>
    <m/>
    <s v="N/A"/>
    <x v="22"/>
    <x v="4"/>
    <x v="499"/>
    <s v="Procesos de apoyo"/>
    <n v="228"/>
    <n v="389.73"/>
    <d v="2022-05-25T00:00:00"/>
    <s v="Si"/>
  </r>
  <r>
    <s v="CONSTRUIDA"/>
    <s v="Propiedad"/>
    <x v="10"/>
    <m/>
    <s v="N/A"/>
    <x v="2"/>
    <x v="4"/>
    <x v="500"/>
    <s v="N/A"/>
    <n v="3"/>
    <n v="17.36"/>
    <d v="2022-05-25T00:00:00"/>
    <s v="Si"/>
  </r>
  <r>
    <s v="CONSTRUIDA"/>
    <s v="Propiedad"/>
    <x v="10"/>
    <m/>
    <s v="N/A"/>
    <x v="2"/>
    <x v="4"/>
    <x v="500"/>
    <s v="N/A"/>
    <n v="3"/>
    <n v="17.36"/>
    <d v="2022-05-25T00:00:00"/>
    <s v="Si"/>
  </r>
  <r>
    <s v="CONSTRUIDA"/>
    <s v="Propiedad"/>
    <x v="10"/>
    <m/>
    <s v="N/A"/>
    <x v="2"/>
    <x v="4"/>
    <x v="501"/>
    <s v="N/A"/>
    <n v="1"/>
    <n v="8.89"/>
    <d v="2022-05-25T00:00:00"/>
    <s v="Si"/>
  </r>
  <r>
    <s v="CONSTRUIDA"/>
    <s v="Propiedad"/>
    <x v="10"/>
    <m/>
    <s v="N/A"/>
    <x v="4"/>
    <x v="4"/>
    <x v="473"/>
    <s v="N/A"/>
    <n v="0"/>
    <n v="14.59"/>
    <d v="2022-05-25T00:00:00"/>
    <s v="Si"/>
  </r>
  <r>
    <s v="CONSTRUIDA"/>
    <s v="Propiedad"/>
    <x v="10"/>
    <m/>
    <s v="N/A"/>
    <x v="12"/>
    <x v="4"/>
    <x v="463"/>
    <s v="N/A"/>
    <n v="0"/>
    <n v="2.6"/>
    <d v="2022-05-25T00:00:00"/>
    <s v="Si"/>
  </r>
  <r>
    <s v="CONSTRUIDA"/>
    <s v="Propiedad"/>
    <x v="10"/>
    <m/>
    <s v="N/A"/>
    <x v="4"/>
    <x v="4"/>
    <x v="502"/>
    <s v="N/A"/>
    <n v="0"/>
    <n v="13.88"/>
    <d v="2022-05-25T00:00:00"/>
    <s v="Si"/>
  </r>
  <r>
    <s v="CONSTRUIDA"/>
    <s v="Propiedad"/>
    <x v="10"/>
    <m/>
    <s v="N/A"/>
    <x v="4"/>
    <x v="4"/>
    <x v="503"/>
    <s v="N/A"/>
    <n v="0"/>
    <n v="11.51"/>
    <d v="2022-05-25T00:00:00"/>
    <s v="Si"/>
  </r>
  <r>
    <s v="CONSTRUIDA"/>
    <s v="Propiedad"/>
    <x v="10"/>
    <m/>
    <s v="N/A"/>
    <x v="12"/>
    <x v="4"/>
    <x v="498"/>
    <s v="N/A"/>
    <n v="0"/>
    <n v="6.46"/>
    <d v="2022-05-25T00:00:00"/>
    <s v="Si"/>
  </r>
  <r>
    <s v="CONSTRUIDA"/>
    <s v="Propiedad"/>
    <x v="10"/>
    <m/>
    <s v="N/A"/>
    <x v="2"/>
    <x v="4"/>
    <x v="504"/>
    <s v="N/A"/>
    <n v="0"/>
    <n v="19.72"/>
    <d v="2022-05-25T00:00:00"/>
    <s v="Si"/>
  </r>
  <r>
    <s v="CONSTRUIDA"/>
    <s v="Propiedad"/>
    <x v="10"/>
    <m/>
    <s v="N/A"/>
    <x v="2"/>
    <x v="4"/>
    <x v="505"/>
    <s v="N/A"/>
    <n v="0"/>
    <n v="24.34"/>
    <d v="2022-05-25T00:00:00"/>
    <s v="Si"/>
  </r>
  <r>
    <s v="CONSTRUIDA"/>
    <s v="Propiedad"/>
    <x v="10"/>
    <m/>
    <s v="N/A"/>
    <x v="2"/>
    <x v="4"/>
    <x v="506"/>
    <s v="N/A"/>
    <n v="0"/>
    <n v="8.1"/>
    <d v="2022-05-25T00:00:00"/>
    <s v="Si"/>
  </r>
  <r>
    <s v="CONSTRUIDA"/>
    <s v="Propiedad"/>
    <x v="10"/>
    <m/>
    <s v="N/A"/>
    <x v="22"/>
    <x v="4"/>
    <x v="507"/>
    <s v="N/A"/>
    <n v="254"/>
    <n v="435.18"/>
    <d v="2022-05-25T00:00:00"/>
    <s v="Si"/>
  </r>
  <r>
    <s v="CONSTRUIDA"/>
    <s v="Propiedad"/>
    <x v="10"/>
    <m/>
    <s v="N/A"/>
    <x v="6"/>
    <x v="4"/>
    <x v="458"/>
    <s v="N/A"/>
    <n v="0"/>
    <n v="1550.72"/>
    <d v="2022-05-25T00:00:00"/>
    <s v="Si"/>
  </r>
  <r>
    <s v="CONSTRUIDA"/>
    <s v="Propiedad"/>
    <x v="10"/>
    <m/>
    <s v="N/A"/>
    <x v="29"/>
    <x v="4"/>
    <x v="508"/>
    <s v="N/A"/>
    <n v="0"/>
    <n v="1469.4"/>
    <d v="2022-05-25T00:00:00"/>
    <s v="Si"/>
  </r>
  <r>
    <s v="CONSTRUIDA"/>
    <s v="Propiedad"/>
    <x v="10"/>
    <m/>
    <s v="N/A"/>
    <x v="29"/>
    <x v="4"/>
    <x v="509"/>
    <s v="N/A"/>
    <n v="0"/>
    <n v="8.1300000000000008"/>
    <d v="2022-05-25T00:00:00"/>
    <s v="Si"/>
  </r>
  <r>
    <s v="CONSTRUIDA"/>
    <s v="Propiedad"/>
    <x v="10"/>
    <m/>
    <s v="N/A"/>
    <x v="10"/>
    <x v="4"/>
    <x v="510"/>
    <s v="N/A"/>
    <n v="0"/>
    <n v="122.66"/>
    <d v="2022-05-25T00:00:00"/>
    <s v="Si"/>
  </r>
  <r>
    <s v="CONSTRUIDA"/>
    <s v="Propiedad"/>
    <x v="10"/>
    <m/>
    <s v="N/A"/>
    <x v="10"/>
    <x v="4"/>
    <x v="511"/>
    <s v="N/A"/>
    <n v="0"/>
    <n v="123.06"/>
    <d v="2022-05-25T00:00:00"/>
    <s v="Si"/>
  </r>
  <r>
    <s v="CONSTRUIDA"/>
    <s v="Propiedad"/>
    <x v="10"/>
    <m/>
    <s v="N/A"/>
    <x v="10"/>
    <x v="4"/>
    <x v="512"/>
    <s v="N/A"/>
    <n v="0"/>
    <n v="13.25"/>
    <d v="2022-05-25T00:00:00"/>
    <s v="Si"/>
  </r>
  <r>
    <s v="CONSTRUIDA"/>
    <s v="Propiedad"/>
    <x v="10"/>
    <m/>
    <s v="N/A"/>
    <x v="10"/>
    <x v="4"/>
    <x v="513"/>
    <s v="N/A"/>
    <n v="0"/>
    <n v="14.1"/>
    <d v="2022-05-25T00:00:00"/>
    <s v="Si"/>
  </r>
  <r>
    <s v="CONSTRUIDA"/>
    <s v="Propiedad"/>
    <x v="10"/>
    <m/>
    <s v="N/A"/>
    <x v="10"/>
    <x v="4"/>
    <x v="513"/>
    <s v="N/A"/>
    <n v="0"/>
    <n v="14.1"/>
    <d v="2022-05-25T00:00:00"/>
    <s v="Si"/>
  </r>
  <r>
    <s v="CONSTRUIDA"/>
    <s v="Propiedad"/>
    <x v="10"/>
    <m/>
    <s v="N/A"/>
    <x v="9"/>
    <x v="4"/>
    <x v="514"/>
    <s v="N/A"/>
    <n v="0"/>
    <n v="90.91"/>
    <d v="2022-05-25T00:00:00"/>
    <s v="Si"/>
  </r>
  <r>
    <s v="CONSTRUIDA"/>
    <s v="Propiedad"/>
    <x v="10"/>
    <m/>
    <s v="N/A"/>
    <x v="0"/>
    <x v="4"/>
    <x v="515"/>
    <s v="N/A"/>
    <n v="0"/>
    <n v="14.77"/>
    <d v="2022-05-25T00:00:00"/>
    <s v="Si"/>
  </r>
  <r>
    <s v="CONSTRUIDA"/>
    <s v="Propiedad"/>
    <x v="10"/>
    <m/>
    <s v="N/A"/>
    <x v="0"/>
    <x v="4"/>
    <x v="516"/>
    <s v="N/A"/>
    <n v="0"/>
    <n v="8.65"/>
    <d v="2022-05-25T00:00:00"/>
    <s v="Si"/>
  </r>
  <r>
    <s v="CONSTRUIDA"/>
    <s v="Propiedad"/>
    <x v="10"/>
    <m/>
    <s v="N/A"/>
    <x v="0"/>
    <x v="4"/>
    <x v="517"/>
    <s v="N/A"/>
    <n v="0"/>
    <n v="9.24"/>
    <d v="2022-05-25T00:00:00"/>
    <s v="Si"/>
  </r>
  <r>
    <s v="CONSTRUIDA"/>
    <s v="Propiedad"/>
    <x v="10"/>
    <m/>
    <s v="N/A"/>
    <x v="11"/>
    <x v="4"/>
    <x v="498"/>
    <s v="N/A"/>
    <n v="0"/>
    <n v="2.78"/>
    <d v="2022-05-25T00:00:00"/>
    <s v="Si"/>
  </r>
  <r>
    <s v="CONSTRUIDA"/>
    <s v="Propiedad"/>
    <x v="10"/>
    <m/>
    <s v="N/A"/>
    <x v="4"/>
    <x v="4"/>
    <x v="518"/>
    <s v="N/A"/>
    <n v="0"/>
    <n v="22.47"/>
    <d v="2022-05-25T00:00:00"/>
    <s v="Si"/>
  </r>
  <r>
    <s v="CONSTRUIDA"/>
    <s v="Propiedad"/>
    <x v="10"/>
    <m/>
    <s v="N/A"/>
    <x v="0"/>
    <x v="4"/>
    <x v="519"/>
    <s v="N/A"/>
    <n v="0"/>
    <n v="21.82"/>
    <d v="2022-05-25T00:00:00"/>
    <s v="Si"/>
  </r>
  <r>
    <s v="CONSTRUIDA"/>
    <s v="Propiedad"/>
    <x v="10"/>
    <m/>
    <s v="N/A"/>
    <x v="6"/>
    <x v="4"/>
    <x v="520"/>
    <s v="N/A"/>
    <n v="0"/>
    <n v="166.03"/>
    <d v="2022-05-25T00:00:00"/>
    <s v="Si"/>
  </r>
  <r>
    <s v="CONSTRUIDA"/>
    <s v="Propiedad"/>
    <x v="10"/>
    <m/>
    <s v="N/A"/>
    <x v="4"/>
    <x v="4"/>
    <x v="521"/>
    <s v="N/A"/>
    <n v="0"/>
    <n v="12.22"/>
    <d v="2022-05-25T00:00:00"/>
    <s v="Si"/>
  </r>
  <r>
    <s v="CONSTRUIDA"/>
    <s v="Propiedad"/>
    <x v="10"/>
    <m/>
    <s v="N/A"/>
    <x v="2"/>
    <x v="4"/>
    <x v="522"/>
    <s v="N/A"/>
    <n v="0"/>
    <n v="28.33"/>
    <d v="2022-05-25T00:00:00"/>
    <s v="Si"/>
  </r>
  <r>
    <s v="CONSTRUIDA"/>
    <s v="Propiedad"/>
    <x v="10"/>
    <m/>
    <s v="N/A"/>
    <x v="11"/>
    <x v="4"/>
    <x v="463"/>
    <s v="N/A"/>
    <n v="0"/>
    <n v="6.24"/>
    <d v="2022-05-25T00:00:00"/>
    <s v="Si"/>
  </r>
  <r>
    <s v="CONSTRUIDA"/>
    <s v="Propiedad"/>
    <x v="10"/>
    <m/>
    <s v="N/A"/>
    <x v="4"/>
    <x v="4"/>
    <x v="271"/>
    <s v="N/A"/>
    <n v="0"/>
    <n v="29.62"/>
    <d v="2022-05-25T00:00:00"/>
    <s v="Si"/>
  </r>
  <r>
    <s v="CONSTRUIDA"/>
    <s v="Propiedad"/>
    <x v="10"/>
    <m/>
    <s v="N/A"/>
    <x v="4"/>
    <x v="4"/>
    <x v="523"/>
    <s v="N/A"/>
    <n v="0"/>
    <n v="34.270000000000003"/>
    <d v="2022-05-25T00:00:00"/>
    <s v="Si"/>
  </r>
  <r>
    <s v="CONSTRUIDA"/>
    <s v="Propiedad"/>
    <x v="10"/>
    <m/>
    <s v="N/A"/>
    <x v="6"/>
    <x v="4"/>
    <x v="520"/>
    <s v="N/A"/>
    <n v="0"/>
    <n v="309.87"/>
    <d v="2022-05-25T00:00:00"/>
    <s v="Si"/>
  </r>
  <r>
    <s v="CONSTRUIDA"/>
    <s v="Propiedad"/>
    <x v="10"/>
    <m/>
    <s v="N/A"/>
    <x v="6"/>
    <x v="4"/>
    <x v="524"/>
    <s v="N/A"/>
    <n v="0"/>
    <n v="227.17"/>
    <d v="2022-05-25T00:00:00"/>
    <s v="Si"/>
  </r>
  <r>
    <s v="CONSTRUIDA"/>
    <s v="Propiedad"/>
    <x v="10"/>
    <m/>
    <s v="N/A"/>
    <x v="6"/>
    <x v="4"/>
    <x v="520"/>
    <s v="N/A"/>
    <n v="0"/>
    <n v="231.32"/>
    <d v="2022-05-25T00:00:00"/>
    <s v="Si"/>
  </r>
  <r>
    <s v="CONSTRUIDA"/>
    <s v="Propiedad"/>
    <x v="10"/>
    <m/>
    <s v="N/A"/>
    <x v="6"/>
    <x v="4"/>
    <x v="525"/>
    <s v="N/A"/>
    <n v="0"/>
    <n v="19.73"/>
    <d v="2022-05-25T00:00:00"/>
    <s v="Si"/>
  </r>
  <r>
    <s v="CONSTRUIDA"/>
    <s v="Propiedad"/>
    <x v="10"/>
    <m/>
    <s v="N/A"/>
    <x v="4"/>
    <x v="4"/>
    <x v="97"/>
    <s v="N/A"/>
    <n v="0"/>
    <n v="9.89"/>
    <d v="2022-05-25T00:00:00"/>
    <s v="Si"/>
  </r>
  <r>
    <s v="CONSTRUIDA"/>
    <s v="Propiedad"/>
    <x v="10"/>
    <m/>
    <s v="N/A"/>
    <x v="11"/>
    <x v="4"/>
    <x v="526"/>
    <s v="N/A"/>
    <n v="0"/>
    <n v="4.66"/>
    <d v="2022-05-25T00:00:00"/>
    <s v="Si"/>
  </r>
  <r>
    <s v="CONSTRUIDA"/>
    <s v="Propiedad"/>
    <x v="10"/>
    <m/>
    <s v="N/A"/>
    <x v="11"/>
    <x v="4"/>
    <x v="527"/>
    <s v="N/A"/>
    <n v="0"/>
    <n v="4.76"/>
    <d v="2022-05-25T00:00:00"/>
    <s v="Si"/>
  </r>
  <r>
    <s v="CONSTRUIDA"/>
    <s v="Propiedad"/>
    <x v="10"/>
    <m/>
    <s v="N/A"/>
    <x v="11"/>
    <x v="4"/>
    <x v="528"/>
    <s v="N/A"/>
    <n v="0"/>
    <n v="71.680000000000007"/>
    <d v="2022-05-25T00:00:00"/>
    <s v="Si"/>
  </r>
  <r>
    <s v="CONSTRUIDA"/>
    <s v="Propiedad"/>
    <x v="10"/>
    <m/>
    <s v="N/A"/>
    <x v="2"/>
    <x v="4"/>
    <x v="529"/>
    <s v="N/A"/>
    <n v="0"/>
    <n v="14.48"/>
    <d v="2022-05-25T00:00:00"/>
    <s v="Si"/>
  </r>
  <r>
    <s v="CONSTRUIDA"/>
    <s v="Propiedad"/>
    <x v="10"/>
    <m/>
    <s v="N/A"/>
    <x v="6"/>
    <x v="4"/>
    <x v="530"/>
    <s v="N/A"/>
    <n v="0"/>
    <n v="13.86"/>
    <d v="2022-05-25T00:00:00"/>
    <s v="Si"/>
  </r>
  <r>
    <s v="CONSTRUIDA"/>
    <s v="Propiedad"/>
    <x v="10"/>
    <m/>
    <s v="N/A"/>
    <x v="6"/>
    <x v="4"/>
    <x v="520"/>
    <s v="N/A"/>
    <n v="0"/>
    <n v="258.43"/>
    <d v="2022-05-25T00:00:00"/>
    <s v="Si"/>
  </r>
  <r>
    <s v="CONSTRUIDA"/>
    <s v="Propiedad"/>
    <x v="10"/>
    <m/>
    <s v="N/A"/>
    <x v="29"/>
    <x v="4"/>
    <x v="531"/>
    <s v="N/A"/>
    <n v="0"/>
    <n v="739.18"/>
    <d v="2022-05-25T00:00:00"/>
    <s v="Si"/>
  </r>
  <r>
    <s v="CONSTRUIDA"/>
    <s v="Propiedad"/>
    <x v="10"/>
    <m/>
    <s v="N/A"/>
    <x v="29"/>
    <x v="4"/>
    <x v="532"/>
    <s v="N/A"/>
    <n v="0"/>
    <n v="32.64"/>
    <d v="2022-05-25T00:00:00"/>
    <s v="Si"/>
  </r>
  <r>
    <s v="CONSTRUIDA"/>
    <s v="Propiedad"/>
    <x v="10"/>
    <m/>
    <s v="N/A"/>
    <x v="29"/>
    <x v="4"/>
    <x v="532"/>
    <s v="N/A"/>
    <n v="0"/>
    <n v="32.64"/>
    <d v="2022-05-25T00:00:00"/>
    <s v="Si"/>
  </r>
  <r>
    <s v="CONSTRUIDA"/>
    <s v="Propiedad"/>
    <x v="10"/>
    <m/>
    <s v="N/A"/>
    <x v="29"/>
    <x v="4"/>
    <x v="533"/>
    <s v="N/A"/>
    <n v="0"/>
    <n v="36"/>
    <d v="2022-05-25T00:00:00"/>
    <s v="Si"/>
  </r>
  <r>
    <s v="CONSTRUIDA"/>
    <s v="Propiedad"/>
    <x v="10"/>
    <m/>
    <s v="N/A"/>
    <x v="29"/>
    <x v="4"/>
    <x v="533"/>
    <s v="N/A"/>
    <n v="0"/>
    <n v="36"/>
    <d v="2022-05-25T00:00:00"/>
    <s v="Si"/>
  </r>
  <r>
    <s v="CONSTRUIDA"/>
    <s v="Propiedad"/>
    <x v="10"/>
    <m/>
    <s v="N/A"/>
    <x v="29"/>
    <x v="4"/>
    <x v="534"/>
    <s v="N/A"/>
    <n v="0"/>
    <n v="3.81"/>
    <d v="2022-05-25T00:00:00"/>
    <s v="Si"/>
  </r>
  <r>
    <s v="CONSTRUIDA"/>
    <s v="Propiedad"/>
    <x v="10"/>
    <m/>
    <s v="N/A"/>
    <x v="29"/>
    <x v="4"/>
    <x v="534"/>
    <s v="N/A"/>
    <n v="0"/>
    <n v="3.81"/>
    <d v="2022-05-25T00:00:00"/>
    <s v="Si"/>
  </r>
  <r>
    <s v="CONSTRUIDA"/>
    <s v="Propiedad"/>
    <x v="10"/>
    <m/>
    <s v="N/A"/>
    <x v="29"/>
    <x v="4"/>
    <x v="535"/>
    <s v="N/A"/>
    <n v="0"/>
    <n v="4.21"/>
    <d v="2022-05-25T00:00:00"/>
    <s v="Si"/>
  </r>
  <r>
    <s v="CONSTRUIDA"/>
    <s v="Propiedad"/>
    <x v="10"/>
    <m/>
    <s v="N/A"/>
    <x v="29"/>
    <x v="4"/>
    <x v="513"/>
    <s v="N/A"/>
    <n v="0"/>
    <n v="8.1"/>
    <d v="2022-05-25T00:00:00"/>
    <s v="Si"/>
  </r>
  <r>
    <s v="CONSTRUIDA"/>
    <s v="Propiedad"/>
    <x v="10"/>
    <m/>
    <s v="N/A"/>
    <x v="29"/>
    <x v="4"/>
    <x v="536"/>
    <s v="N/A"/>
    <n v="0"/>
    <n v="12.3"/>
    <d v="2022-05-25T00:00:00"/>
    <s v="Si"/>
  </r>
  <r>
    <s v="CONSTRUIDA"/>
    <s v="Propiedad"/>
    <x v="10"/>
    <m/>
    <s v="N/A"/>
    <x v="29"/>
    <x v="4"/>
    <x v="537"/>
    <s v="N/A"/>
    <n v="0"/>
    <n v="11"/>
    <d v="2022-05-25T00:00:00"/>
    <s v="Si"/>
  </r>
  <r>
    <s v="CONSTRUIDA"/>
    <s v="Propiedad"/>
    <x v="10"/>
    <m/>
    <s v="N/A"/>
    <x v="29"/>
    <x v="4"/>
    <x v="538"/>
    <s v="N/A"/>
    <n v="0"/>
    <n v="19.68"/>
    <d v="2022-05-25T00:00:00"/>
    <s v="Si"/>
  </r>
  <r>
    <s v="CONSTRUIDA"/>
    <s v="Propiedad"/>
    <x v="10"/>
    <m/>
    <s v="N/A"/>
    <x v="29"/>
    <x v="4"/>
    <x v="539"/>
    <s v="N/A"/>
    <n v="0"/>
    <n v="8.73"/>
    <d v="2022-05-25T00:00:00"/>
    <s v="Si"/>
  </r>
  <r>
    <s v="CONSTRUIDA"/>
    <s v="Propiedad"/>
    <x v="10"/>
    <m/>
    <s v="N/A"/>
    <x v="29"/>
    <x v="4"/>
    <x v="473"/>
    <s v="N/A"/>
    <n v="0"/>
    <n v="12.19"/>
    <d v="2022-05-25T00:00:00"/>
    <s v="Si"/>
  </r>
  <r>
    <s v="CONSTRUIDA"/>
    <s v="Propiedad"/>
    <x v="10"/>
    <m/>
    <s v="N/A"/>
    <x v="29"/>
    <x v="4"/>
    <x v="540"/>
    <s v="N/A"/>
    <n v="0"/>
    <n v="13.04"/>
    <d v="2022-05-25T00:00:00"/>
    <s v="Si"/>
  </r>
  <r>
    <s v="CONSTRUIDA"/>
    <s v="Propiedad"/>
    <x v="10"/>
    <m/>
    <s v="N/A"/>
    <x v="29"/>
    <x v="4"/>
    <x v="541"/>
    <s v="N/A"/>
    <n v="0"/>
    <n v="62.92"/>
    <d v="2022-05-25T00:00:00"/>
    <s v="Si"/>
  </r>
  <r>
    <s v="CONSTRUIDA"/>
    <s v="Propiedad"/>
    <x v="10"/>
    <m/>
    <s v="N/A"/>
    <x v="29"/>
    <x v="4"/>
    <x v="458"/>
    <s v="N/A"/>
    <n v="0"/>
    <n v="131.97999999999999"/>
    <d v="2022-05-25T00:00:00"/>
    <s v="Si"/>
  </r>
  <r>
    <s v="CONSTRUIDA"/>
    <s v="Propiedad"/>
    <x v="10"/>
    <m/>
    <s v="N/A"/>
    <x v="29"/>
    <x v="4"/>
    <x v="524"/>
    <s v="N/A"/>
    <n v="0"/>
    <n v="90.94"/>
    <d v="2022-05-25T00:00:00"/>
    <s v="Si"/>
  </r>
  <r>
    <s v="CONSTRUIDA"/>
    <s v="Propiedad"/>
    <x v="10"/>
    <m/>
    <s v="N/A"/>
    <x v="29"/>
    <x v="4"/>
    <x v="542"/>
    <s v="N/A"/>
    <n v="0"/>
    <n v="12.08"/>
    <d v="2022-05-25T00:00:00"/>
    <s v="Si"/>
  </r>
  <r>
    <s v="CONSTRUIDA"/>
    <s v="Propiedad"/>
    <x v="10"/>
    <m/>
    <s v="N/A"/>
    <x v="29"/>
    <x v="4"/>
    <x v="519"/>
    <s v="N/A"/>
    <n v="0"/>
    <n v="15.02"/>
    <d v="2022-05-25T00:00:00"/>
    <s v="Si"/>
  </r>
  <r>
    <s v="CONSTRUIDA"/>
    <s v="Propiedad"/>
    <x v="10"/>
    <m/>
    <s v="N/A"/>
    <x v="29"/>
    <x v="4"/>
    <x v="519"/>
    <s v="N/A"/>
    <n v="0"/>
    <n v="15.02"/>
    <d v="2022-05-25T00:00:00"/>
    <s v="Si"/>
  </r>
  <r>
    <s v="CONSTRUIDA"/>
    <s v="Propiedad"/>
    <x v="10"/>
    <m/>
    <s v="N/A"/>
    <x v="29"/>
    <x v="4"/>
    <x v="543"/>
    <s v="N/A"/>
    <n v="0"/>
    <n v="22.66"/>
    <d v="2022-05-25T00:00:00"/>
    <s v="Si"/>
  </r>
  <r>
    <s v="CONSTRUIDA"/>
    <s v="Propiedad"/>
    <x v="10"/>
    <m/>
    <s v="N/A"/>
    <x v="29"/>
    <x v="4"/>
    <x v="543"/>
    <s v="N/A"/>
    <n v="0"/>
    <n v="22.66"/>
    <d v="2022-05-25T00:00:00"/>
    <s v="Si"/>
  </r>
  <r>
    <s v="CONSTRUIDA"/>
    <s v="Propiedad"/>
    <x v="10"/>
    <m/>
    <s v="N/A"/>
    <x v="29"/>
    <x v="4"/>
    <x v="498"/>
    <s v="N/A"/>
    <n v="0"/>
    <n v="1.63"/>
    <d v="2022-05-25T00:00:00"/>
    <s v="Si"/>
  </r>
  <r>
    <s v="CONSTRUIDA"/>
    <s v="Propiedad"/>
    <x v="10"/>
    <m/>
    <s v="N/A"/>
    <x v="29"/>
    <x v="4"/>
    <x v="498"/>
    <s v="N/A"/>
    <n v="0"/>
    <n v="1.63"/>
    <d v="2022-05-25T00:00:00"/>
    <s v="Si"/>
  </r>
  <r>
    <s v="CONSTRUIDA"/>
    <s v="Propiedad"/>
    <x v="10"/>
    <m/>
    <s v="N/A"/>
    <x v="29"/>
    <x v="4"/>
    <x v="458"/>
    <s v="N/A"/>
    <n v="0"/>
    <n v="207.38"/>
    <d v="2022-05-25T00:00:00"/>
    <s v="Si"/>
  </r>
  <r>
    <s v="CONSTRUIDA"/>
    <s v="Propiedad"/>
    <x v="10"/>
    <m/>
    <s v="N/A"/>
    <x v="29"/>
    <x v="4"/>
    <x v="524"/>
    <s v="N/A"/>
    <n v="0"/>
    <n v="221.21"/>
    <d v="2022-05-25T00:00:00"/>
    <s v="Si"/>
  </r>
  <r>
    <s v="CONSTRUIDA"/>
    <s v="Propiedad"/>
    <x v="10"/>
    <m/>
    <s v="N/A"/>
    <x v="29"/>
    <x v="4"/>
    <x v="458"/>
    <s v="N/A"/>
    <n v="0"/>
    <n v="142.51"/>
    <d v="2022-05-25T00:00:00"/>
    <s v="Si"/>
  </r>
  <r>
    <s v="CONSTRUIDA"/>
    <s v="Propiedad"/>
    <x v="10"/>
    <m/>
    <s v="N/A"/>
    <x v="29"/>
    <x v="4"/>
    <x v="471"/>
    <s v="N/A"/>
    <n v="0"/>
    <n v="35.270000000000003"/>
    <d v="2022-05-25T00:00:00"/>
    <s v="Si"/>
  </r>
  <r>
    <s v="CONSTRUIDA"/>
    <s v="Propiedad"/>
    <x v="10"/>
    <m/>
    <s v="N/A"/>
    <x v="29"/>
    <x v="4"/>
    <x v="544"/>
    <s v="N/A"/>
    <n v="0"/>
    <n v="34.32"/>
    <d v="2022-05-25T00:00:00"/>
    <s v="Si"/>
  </r>
  <r>
    <s v="CONSTRUIDA"/>
    <s v="Propiedad"/>
    <x v="10"/>
    <m/>
    <s v="N/A"/>
    <x v="29"/>
    <x v="4"/>
    <x v="545"/>
    <s v="N/A"/>
    <n v="0"/>
    <n v="63.503999999999998"/>
    <d v="2022-05-25T00:00:00"/>
    <s v="Si"/>
  </r>
  <r>
    <s v="CONSTRUIDA"/>
    <s v="Propiedad"/>
    <x v="10"/>
    <m/>
    <s v="N/A"/>
    <x v="29"/>
    <x v="4"/>
    <x v="546"/>
    <s v="N/A"/>
    <n v="0"/>
    <n v="45.99"/>
    <d v="2022-05-25T00:00:00"/>
    <s v="Si"/>
  </r>
  <r>
    <s v="CONSTRUIDA"/>
    <s v="Propiedad"/>
    <x v="10"/>
    <m/>
    <s v="N/A"/>
    <x v="29"/>
    <x v="4"/>
    <x v="547"/>
    <s v="N/A"/>
    <n v="0"/>
    <n v="8"/>
    <d v="2022-05-25T00:00:00"/>
    <s v="Si"/>
  </r>
  <r>
    <s v="CONSTRUIDA"/>
    <s v="Propiedad"/>
    <x v="10"/>
    <m/>
    <s v="N/A"/>
    <x v="29"/>
    <x v="4"/>
    <x v="548"/>
    <s v="N/A"/>
    <n v="0"/>
    <n v="12"/>
    <d v="2022-05-25T00:00:00"/>
    <s v="Si"/>
  </r>
  <r>
    <s v="CONSTRUIDA"/>
    <s v="Propiedad"/>
    <x v="10"/>
    <m/>
    <s v="N/A"/>
    <x v="29"/>
    <x v="4"/>
    <x v="549"/>
    <s v="N/A"/>
    <n v="0"/>
    <n v="19.824999999999999"/>
    <d v="2022-05-25T00:00:00"/>
    <s v="Si"/>
  </r>
  <r>
    <s v="CONSTRUIDA"/>
    <s v="Propiedad"/>
    <x v="10"/>
    <m/>
    <s v="N/A"/>
    <x v="29"/>
    <x v="4"/>
    <x v="550"/>
    <s v="N/A"/>
    <n v="0"/>
    <n v="65.55"/>
    <d v="2022-05-25T00:00:00"/>
    <s v="Si"/>
  </r>
  <r>
    <s v="CONSTRUIDA"/>
    <s v="Propiedad"/>
    <x v="10"/>
    <m/>
    <s v="N/A"/>
    <x v="29"/>
    <x v="4"/>
    <x v="551"/>
    <s v="N/A"/>
    <n v="0"/>
    <n v="265.38"/>
    <d v="2022-05-25T00:00:00"/>
    <s v="Si"/>
  </r>
  <r>
    <s v="CONSTRUIDA"/>
    <s v="Propiedad"/>
    <x v="10"/>
    <m/>
    <s v="N/A"/>
    <x v="13"/>
    <x v="4"/>
    <x v="552"/>
    <s v="N/A"/>
    <n v="0"/>
    <n v="8700.64"/>
    <d v="2022-05-25T00:00:00"/>
    <s v="Si"/>
  </r>
  <r>
    <s v="CONSTRUIDA"/>
    <s v="Propiedad"/>
    <x v="10"/>
    <m/>
    <s v="N/A"/>
    <x v="29"/>
    <x v="4"/>
    <x v="553"/>
    <s v="N/A"/>
    <n v="0"/>
    <n v="9679"/>
    <d v="2022-05-25T00:00:00"/>
    <s v="Si"/>
  </r>
  <r>
    <s v="CONSTRUIDA"/>
    <s v="Propiedad"/>
    <x v="10"/>
    <m/>
    <s v="N/A"/>
    <x v="29"/>
    <x v="4"/>
    <x v="554"/>
    <s v="N/A"/>
    <n v="0"/>
    <n v="4667"/>
    <d v="2022-05-25T00:00:00"/>
    <s v="Si"/>
  </r>
  <r>
    <s v="CONSTRUIDA"/>
    <s v="Propiedad"/>
    <x v="10"/>
    <m/>
    <s v="N/A"/>
    <x v="29"/>
    <x v="4"/>
    <x v="555"/>
    <s v="N/A"/>
    <n v="28"/>
    <n v="15321.29"/>
    <d v="2022-05-25T00:00:00"/>
    <s v="Si"/>
  </r>
  <r>
    <s v="CONSTRUIDA"/>
    <s v="Propiedad"/>
    <x v="10"/>
    <m/>
    <s v="N/A"/>
    <x v="29"/>
    <x v="4"/>
    <x v="556"/>
    <s v="N/A"/>
    <n v="20"/>
    <n v="1216"/>
    <d v="2022-05-25T00:00:00"/>
    <s v="S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85">
  <r>
    <x v="0"/>
    <s v="CONSTRUIDA"/>
    <s v="Arriendo"/>
    <x v="0"/>
    <n v="202"/>
    <n v="1"/>
    <s v="Oficinas"/>
    <s v="Secretaría General "/>
    <s v="OficinaPrincipal Secretaría General, Coordinador, auxiliares "/>
    <s v="Procesos de apoyo"/>
    <n v="5"/>
    <n v="42.93"/>
    <d v="2022-05-10T00:00:00"/>
    <s v="Si"/>
  </r>
  <r>
    <x v="0"/>
    <s v="CONSTRUIDA"/>
    <s v="Arriendo"/>
    <x v="0"/>
    <s v="205A"/>
    <n v="1"/>
    <s v="Oficinas"/>
    <s v="Rectoría"/>
    <s v="Oficinaprincipal Rectoría y secretaría"/>
    <s v="Integral"/>
    <n v="2"/>
    <n v="44.36"/>
    <d v="2022-05-10T00:00:00"/>
    <s v="Si"/>
  </r>
  <r>
    <x v="0"/>
    <s v="CONSTRUIDA"/>
    <s v="Arriendo"/>
    <x v="0"/>
    <n v="204"/>
    <n v="1"/>
    <s v="Salas de reunión"/>
    <s v="Rectoría"/>
    <s v="Sala de Juntas Anselmo Caradona"/>
    <s v="Procesos de apoyo"/>
    <n v="20"/>
    <n v="40.799999999999997"/>
    <d v="2022-05-10T00:00:00"/>
    <s v="Si"/>
  </r>
  <r>
    <x v="0"/>
    <s v="CONSTRUIDA"/>
    <s v="Arriendo"/>
    <x v="0"/>
    <s v="205A"/>
    <n v="1"/>
    <s v="Servicios sanitarios privados"/>
    <s v="Rectoría"/>
    <s v="Baño privado"/>
    <s v="N/A"/>
    <n v="1"/>
    <n v="3.57"/>
    <d v="2022-05-10T00:00:00"/>
    <s v="Si"/>
  </r>
  <r>
    <x v="0"/>
    <s v="CONSTRUIDA"/>
    <s v="Arriendo"/>
    <x v="0"/>
    <s v="201B"/>
    <n v="1"/>
    <s v="Oficinas"/>
    <s v="Contabilidad"/>
    <s v="OficinaPrincipal, secretaría, técnicos y prácticantes "/>
    <s v="Procesos de apoyo"/>
    <n v="7"/>
    <n v="32.880000000000003"/>
    <d v="2022-05-10T00:00:00"/>
    <s v="Si"/>
  </r>
  <r>
    <x v="0"/>
    <s v="CONSTRUIDA"/>
    <s v="Arriendo"/>
    <x v="0"/>
    <n v="206"/>
    <n v="1"/>
    <s v="Oficinas"/>
    <s v="Vicerrectoría de Investigaciones"/>
    <s v="OficinaPrincipal, secretaría, coordinador"/>
    <s v="INVESTIGACIÓN"/>
    <n v="3"/>
    <n v="28.76"/>
    <d v="2022-05-10T00:00:00"/>
    <s v="Si"/>
  </r>
  <r>
    <x v="0"/>
    <s v="CONSTRUIDA"/>
    <s v="Arriendo"/>
    <x v="0"/>
    <n v="207"/>
    <n v="1"/>
    <s v="Oficinas"/>
    <s v="Vicerrectoría Administrativa Financiera "/>
    <s v="OficinaPrincipal, secretario, coordinador"/>
    <s v="Procesos de apoyo"/>
    <n v="4"/>
    <n v="28.03"/>
    <d v="2022-05-10T00:00:00"/>
    <s v="Si"/>
  </r>
  <r>
    <x v="0"/>
    <s v="CONSTRUIDA"/>
    <s v="Arriendo"/>
    <x v="0"/>
    <n v="208"/>
    <n v="1"/>
    <s v="Oficinas"/>
    <s v="Dirección de Planeación"/>
    <s v="OficinaPrincipal Sistema Aseguramiento de la calidad"/>
    <s v="Integral"/>
    <n v="2"/>
    <n v="16.18"/>
    <d v="2022-05-10T00:00:00"/>
    <s v="Si"/>
  </r>
  <r>
    <x v="0"/>
    <s v="CONSTRUIDA"/>
    <s v="Arriendo"/>
    <x v="0"/>
    <n v="210"/>
    <n v="1"/>
    <s v="Oficinas"/>
    <s v="Vicerrectoría Administrativa Financiera "/>
    <n v="9"/>
    <s v="Procesos de apoyo"/>
    <n v="2"/>
    <n v="15.81"/>
    <d v="2022-05-10T00:00:00"/>
    <s v="Si"/>
  </r>
  <r>
    <x v="0"/>
    <s v="CONSTRUIDA"/>
    <s v="Arriendo"/>
    <x v="0"/>
    <n v="209"/>
    <n v="1"/>
    <s v="Cuartos técnicos"/>
    <s v="Coordinación de Redes y Comunicaciones "/>
    <s v="Cuarto técnico (UPS - Bodega)"/>
    <s v="Procesos de apoyo"/>
    <n v="0"/>
    <n v="13.02"/>
    <d v="2022-05-10T00:00:00"/>
    <s v="Si"/>
  </r>
  <r>
    <x v="1"/>
    <s v="CONSTRUIDA"/>
    <s v="Arriendo"/>
    <x v="0"/>
    <n v="214"/>
    <n v="1"/>
    <s v="Cafeterías privadas"/>
    <s v="Vicerrectoría Administrativa Financiera "/>
    <s v="Cafetería Funcionarios"/>
    <s v="Procesos de apoyo"/>
    <n v="30"/>
    <n v="56.3"/>
    <d v="2022-05-10T00:00:00"/>
    <s v="Si"/>
  </r>
  <r>
    <x v="0"/>
    <s v="CONSTRUIDA"/>
    <s v="Arriendo"/>
    <x v="0"/>
    <n v="218"/>
    <n v="1"/>
    <s v="Oficinas"/>
    <s v="Dirección de Planeación"/>
    <s v="OficinaDirector, secretaría, técnicos y auxiliar"/>
    <s v="Integral"/>
    <n v="6"/>
    <n v="49.95"/>
    <d v="2022-05-10T00:00:00"/>
    <s v="Si"/>
  </r>
  <r>
    <x v="0"/>
    <s v="CONSTRUIDA"/>
    <s v="Arriendo"/>
    <x v="0"/>
    <n v="219"/>
    <n v="1"/>
    <s v="Cuartos técnicos"/>
    <s v="Coordinación de Redes y Comunicaciones "/>
    <s v="Cuarto técnico Servidor "/>
    <s v="N/A"/>
    <n v="0"/>
    <n v="4.51"/>
    <d v="2022-05-10T00:00:00"/>
    <s v="Si"/>
  </r>
  <r>
    <x v="0"/>
    <s v="CONSTRUIDA"/>
    <s v="Arriendo"/>
    <x v="0"/>
    <s v="201A"/>
    <n v="1"/>
    <s v="Oficinas"/>
    <s v="Tesorería Pagaduría"/>
    <s v="OficinaPrincipal, secretaría, técnicos y prácticantes "/>
    <s v="Procesos de apoyo"/>
    <n v="6"/>
    <n v="34.43"/>
    <d v="2022-05-10T00:00:00"/>
    <s v="Si"/>
  </r>
  <r>
    <x v="0"/>
    <s v="CONSTRUIDA"/>
    <s v="Arriendo"/>
    <x v="0"/>
    <s v="201C"/>
    <n v="1"/>
    <s v="Oficinas"/>
    <s v="Tesorería Pagaduría"/>
    <s v="Módulo de Caja"/>
    <s v="Procesos de apoyo"/>
    <n v="2"/>
    <n v="6.24"/>
    <d v="2022-05-10T00:00:00"/>
    <s v="Si"/>
  </r>
  <r>
    <x v="0"/>
    <s v="CONSTRUIDA"/>
    <s v="Arriendo"/>
    <x v="0"/>
    <s v="212A"/>
    <n v="1"/>
    <s v="Oficinas"/>
    <s v="Jefatura de Gestión Humana"/>
    <s v="OficinaPrincipal, secretaría, técnicos y prácticantes "/>
    <s v="Procesos de apoyo"/>
    <n v="8"/>
    <n v="65.23"/>
    <d v="2022-05-10T00:00:00"/>
    <s v="Si"/>
  </r>
  <r>
    <x v="0"/>
    <s v="CONSTRUIDA"/>
    <s v="Arriendo"/>
    <x v="0"/>
    <n v="210"/>
    <n v="1"/>
    <s v="Salas de reunión"/>
    <s v="AEMG"/>
    <s v="Sala de Juntas San Damián (AEMG)"/>
    <s v="Procesos de apoyo"/>
    <n v="30"/>
    <n v="56.63"/>
    <d v="2022-05-10T00:00:00"/>
    <s v="Si"/>
  </r>
  <r>
    <x v="0"/>
    <s v="CONSTRUIDA"/>
    <s v="Arriendo"/>
    <x v="0"/>
    <m/>
    <n v="1"/>
    <s v="Servicios sanitarios privados"/>
    <s v="Vicerrectoría Administrativa Financiera "/>
    <s v="Baños Funcionarios Damas"/>
    <s v="N/A"/>
    <n v="4"/>
    <n v="10.64"/>
    <d v="2022-05-10T00:00:00"/>
    <s v="Si"/>
  </r>
  <r>
    <x v="0"/>
    <s v="CONSTRUIDA"/>
    <s v="Arriendo"/>
    <x v="0"/>
    <m/>
    <n v="1"/>
    <s v="Servicios sanitarios privados"/>
    <s v="Vicerrectoría Administrativa Financiera "/>
    <s v="Baños Funcionarios Caballeros"/>
    <s v="N/A"/>
    <n v="4"/>
    <n v="9.3800000000000008"/>
    <d v="2022-05-10T00:00:00"/>
    <s v="Si"/>
  </r>
  <r>
    <x v="2"/>
    <s v="CONSTRUIDA"/>
    <s v="Arriendo"/>
    <x v="0"/>
    <m/>
    <n v="1"/>
    <s v="Malla de circulación"/>
    <s v="Vicerrectoría Administrativa Financiera "/>
    <s v="Pasillos"/>
    <s v="N/A"/>
    <n v="0"/>
    <n v="115.23"/>
    <d v="2022-05-10T00:00:00"/>
    <s v="Si"/>
  </r>
  <r>
    <x v="2"/>
    <s v="CONSTRUIDA"/>
    <s v="Arriendo"/>
    <x v="0"/>
    <m/>
    <n v="1"/>
    <s v="Malla de circulación"/>
    <s v="Vicerrectoría Administrativa Financiera "/>
    <s v="Hall Acceso"/>
    <s v="N/A"/>
    <n v="0"/>
    <n v="65.81"/>
    <d v="2022-05-10T00:00:00"/>
    <s v="Si"/>
  </r>
  <r>
    <x v="0"/>
    <s v="CONSTRUIDA"/>
    <s v="Arriendo"/>
    <x v="0"/>
    <m/>
    <n v="1"/>
    <s v="Cuartos técnicos"/>
    <s v="AEMG"/>
    <s v="Cuarto técnico AEMG"/>
    <s v="Procesos de apoyo"/>
    <n v="1"/>
    <n v="5.47"/>
    <d v="2022-05-10T00:00:00"/>
    <s v="Si"/>
  </r>
  <r>
    <x v="1"/>
    <s v="CONSTRUIDA"/>
    <s v="Arriendo"/>
    <x v="0"/>
    <m/>
    <n v="1"/>
    <s v="Consultorios Médicos"/>
    <s v="AEMG"/>
    <s v="Consultorío Médico"/>
    <s v="Procesos de apoyo"/>
    <n v="2"/>
    <n v="11.88"/>
    <d v="2022-05-10T00:00:00"/>
    <s v="Si"/>
  </r>
  <r>
    <x v="1"/>
    <s v="CONSTRUIDA"/>
    <s v="Arriendo"/>
    <x v="0"/>
    <m/>
    <n v="1"/>
    <s v="Cuartos de servicio"/>
    <s v="AEMG"/>
    <s v="Archivo Unidad de Salud "/>
    <s v="Procesos de apoyo"/>
    <n v="1"/>
    <n v="12.07"/>
    <d v="2022-05-10T00:00:00"/>
    <s v="Si"/>
  </r>
  <r>
    <x v="1"/>
    <s v="CONSTRUIDA"/>
    <s v="Arriendo"/>
    <x v="0"/>
    <m/>
    <n v="1"/>
    <s v="Consultorios Médicos"/>
    <s v="AEMG"/>
    <s v="Procedimientos minimos "/>
    <s v="Procesos de apoyo"/>
    <n v="2"/>
    <n v="11.57"/>
    <d v="2022-05-10T00:00:00"/>
    <s v="Si"/>
  </r>
  <r>
    <x v="1"/>
    <s v="CONSTRUIDA"/>
    <s v="Arriendo"/>
    <x v="0"/>
    <m/>
    <n v="1"/>
    <s v="Sala de espera"/>
    <s v="AEMG"/>
    <s v="Sala de espera"/>
    <s v="Procesos de apoyo"/>
    <n v="6"/>
    <n v="10.26"/>
    <d v="2022-05-10T00:00:00"/>
    <s v="Si"/>
  </r>
  <r>
    <x v="1"/>
    <s v="CONSTRUIDA"/>
    <s v="Arriendo"/>
    <x v="0"/>
    <m/>
    <n v="1"/>
    <s v="Servicios sanitarios públicos"/>
    <s v="AEMG"/>
    <s v="Baño mujeres"/>
    <s v="N/A"/>
    <n v="1"/>
    <n v="2.77"/>
    <d v="2022-05-10T00:00:00"/>
    <s v="Si"/>
  </r>
  <r>
    <x v="1"/>
    <s v="CONSTRUIDA"/>
    <s v="Arriendo"/>
    <x v="0"/>
    <m/>
    <n v="1"/>
    <s v="Servicios sanitarios públicos"/>
    <s v="AEMG"/>
    <s v="Baño hombres"/>
    <s v="N/A"/>
    <n v="1"/>
    <n v="1.3"/>
    <d v="2022-05-10T00:00:00"/>
    <s v="Si"/>
  </r>
  <r>
    <x v="1"/>
    <s v="CONSTRUIDA"/>
    <s v="Arriendo"/>
    <x v="0"/>
    <m/>
    <n v="1"/>
    <s v="Servicios sanitarios públicos"/>
    <s v="AEMG"/>
    <s v="Baño personas con movilidad reducida"/>
    <s v="N/A"/>
    <n v="1"/>
    <n v="1.51"/>
    <d v="2022-05-10T00:00:00"/>
    <s v="Si"/>
  </r>
  <r>
    <x v="0"/>
    <s v="CONSTRUIDA"/>
    <s v="Arriendo"/>
    <x v="0"/>
    <m/>
    <n v="1"/>
    <s v="Servicios sanitarios privados"/>
    <s v="AEMG"/>
    <s v="Baño hombres personal admimistrativo"/>
    <s v="N/A"/>
    <n v="1"/>
    <n v="4.46"/>
    <d v="2022-05-10T00:00:00"/>
    <s v="Si"/>
  </r>
  <r>
    <x v="0"/>
    <s v="CONSTRUIDA"/>
    <s v="Arriendo"/>
    <x v="0"/>
    <m/>
    <n v="1"/>
    <s v="Servicios sanitarios privados"/>
    <s v="AEMG"/>
    <s v="Baño mujeres personal admimistrativo"/>
    <s v="N/A"/>
    <n v="1"/>
    <n v="4.67"/>
    <d v="2022-05-10T00:00:00"/>
    <s v="Si"/>
  </r>
  <r>
    <x v="0"/>
    <s v="CONSTRUIDA"/>
    <s v="Arriendo"/>
    <x v="0"/>
    <m/>
    <n v="1"/>
    <s v="Cuartos de servicio"/>
    <s v="AEMG"/>
    <s v="Cuarto de aseo"/>
    <s v="N/A"/>
    <n v="0"/>
    <n v="1.06"/>
    <d v="2022-05-10T00:00:00"/>
    <s v="Si"/>
  </r>
  <r>
    <x v="1"/>
    <s v="CONSTRUIDA"/>
    <s v="Arriendo"/>
    <x v="0"/>
    <m/>
    <n v="1"/>
    <s v="Consultorios Médicos"/>
    <s v="AEMG"/>
    <s v="Consultorío Odontológico"/>
    <s v="Procesos de apoyo"/>
    <n v="1"/>
    <n v="12.3"/>
    <d v="2022-05-10T00:00:00"/>
    <s v="Si"/>
  </r>
  <r>
    <x v="0"/>
    <s v="CONSTRUIDA"/>
    <s v="Arriendo"/>
    <x v="0"/>
    <m/>
    <n v="1"/>
    <s v="Bodegas"/>
    <s v="AEMG"/>
    <s v="Bodega en archivo central "/>
    <s v="N/A"/>
    <n v="0"/>
    <n v="2.68"/>
    <d v="2022-05-10T00:00:00"/>
    <s v="Si"/>
  </r>
  <r>
    <x v="0"/>
    <s v="CONSTRUIDA"/>
    <s v="Arriendo"/>
    <x v="0"/>
    <m/>
    <n v="1"/>
    <s v="Bodegas"/>
    <s v="AEMG"/>
    <s v="Archivo Central"/>
    <s v="N/A"/>
    <n v="0"/>
    <n v="9"/>
    <d v="2022-05-10T00:00:00"/>
    <s v="Si"/>
  </r>
  <r>
    <x v="1"/>
    <s v="CONSTRUIDA"/>
    <s v="Arriendo"/>
    <x v="0"/>
    <m/>
    <n v="1"/>
    <s v="Consultorios Médicos"/>
    <s v="AEMG"/>
    <s v="Enfermería"/>
    <s v="Procesos de apoyo"/>
    <n v="2"/>
    <n v="8.4"/>
    <d v="2022-05-10T00:00:00"/>
    <s v="Si"/>
  </r>
  <r>
    <x v="1"/>
    <s v="CONSTRUIDA"/>
    <s v="Arriendo"/>
    <x v="0"/>
    <m/>
    <n v="1"/>
    <s v="Consultorios Médicos"/>
    <s v="AEMG"/>
    <s v="Consultorio psicologico 1"/>
    <s v="Procesos de apoyo"/>
    <n v="2"/>
    <n v="4.13"/>
    <d v="2022-05-10T00:00:00"/>
    <s v="Si"/>
  </r>
  <r>
    <x v="1"/>
    <s v="CONSTRUIDA"/>
    <s v="Arriendo"/>
    <x v="0"/>
    <m/>
    <n v="1"/>
    <s v="Consultorios Médicos"/>
    <s v="AEMG"/>
    <s v="Consultorio psicologico 2"/>
    <s v="Procesos de apoyo"/>
    <n v="2"/>
    <n v="5.77"/>
    <d v="2022-05-10T00:00:00"/>
    <s v="Si"/>
  </r>
  <r>
    <x v="1"/>
    <s v="CONSTRUIDA"/>
    <s v="Arriendo"/>
    <x v="0"/>
    <m/>
    <n v="1"/>
    <s v="Consultorios Médicos"/>
    <s v="AEMG"/>
    <s v="Consultorio psicologico 3"/>
    <s v="Procesos de apoyo"/>
    <n v="2"/>
    <n v="9.5399999999999991"/>
    <d v="2022-05-10T00:00:00"/>
    <s v="Si"/>
  </r>
  <r>
    <x v="1"/>
    <s v="CONSTRUIDA"/>
    <s v="Arriendo"/>
    <x v="0"/>
    <m/>
    <n v="1"/>
    <s v="Consultorios Médicos"/>
    <s v="AEMG"/>
    <s v="Consultorio psicologico 4"/>
    <s v="Procesos de apoyo"/>
    <n v="2"/>
    <n v="5.86"/>
    <d v="2022-05-10T00:00:00"/>
    <s v="Si"/>
  </r>
  <r>
    <x v="1"/>
    <s v="CONSTRUIDA"/>
    <s v="Arriendo"/>
    <x v="0"/>
    <m/>
    <n v="1"/>
    <s v="Sala de espera"/>
    <s v="AEMG"/>
    <s v="Hall Consultorios psicologicos "/>
    <s v="Procesos de apoyo"/>
    <n v="2"/>
    <n v="16.739999999999998"/>
    <d v="2022-05-10T00:00:00"/>
    <s v="Si"/>
  </r>
  <r>
    <x v="1"/>
    <s v="CONSTRUIDA"/>
    <s v="Arriendo"/>
    <x v="0"/>
    <m/>
    <n v="1"/>
    <s v="Oficinas"/>
    <s v="AEMG"/>
    <s v="Juridica"/>
    <s v="Procesos de apoyo"/>
    <n v="2"/>
    <n v="14.28"/>
    <d v="2022-05-10T00:00:00"/>
    <s v="Si"/>
  </r>
  <r>
    <x v="1"/>
    <s v="CONSTRUIDA"/>
    <s v="Arriendo"/>
    <x v="0"/>
    <m/>
    <n v="1"/>
    <s v="Salas de reunión"/>
    <s v="AEMG"/>
    <s v="Practicas  Psicologia"/>
    <s v="Procesos de apoyo"/>
    <n v="2"/>
    <n v="19.12"/>
    <d v="2022-05-10T00:00:00"/>
    <s v="Si"/>
  </r>
  <r>
    <x v="1"/>
    <s v="CONSTRUIDA"/>
    <s v="Arriendo"/>
    <x v="0"/>
    <m/>
    <n v="1"/>
    <s v="Oficinas"/>
    <s v="AEMG"/>
    <s v="libre"/>
    <s v="Procesos de apoyo"/>
    <n v="2"/>
    <n v="17.52"/>
    <d v="2022-05-10T00:00:00"/>
    <s v="Si"/>
  </r>
  <r>
    <x v="1"/>
    <s v="CONSTRUIDA"/>
    <s v="Arriendo"/>
    <x v="0"/>
    <m/>
    <n v="1"/>
    <s v="Oficinas"/>
    <s v="AEMG"/>
    <s v="libre"/>
    <s v="Procesos de apoyo"/>
    <n v="2"/>
    <n v="15.35"/>
    <d v="2022-05-10T00:00:00"/>
    <s v="Si"/>
  </r>
  <r>
    <x v="1"/>
    <s v="CONSTRUIDA"/>
    <s v="Arriendo"/>
    <x v="0"/>
    <m/>
    <n v="1"/>
    <s v="Oficinas"/>
    <s v="AEMG"/>
    <s v="libre"/>
    <s v="Procesos de apoyo"/>
    <n v="2"/>
    <n v="18.100000000000001"/>
    <d v="2022-05-10T00:00:00"/>
    <s v="Si"/>
  </r>
  <r>
    <x v="1"/>
    <s v="CONSTRUIDA"/>
    <s v="Arriendo"/>
    <x v="0"/>
    <m/>
    <n v="1"/>
    <s v="Oficinas"/>
    <s v="AEMG"/>
    <s v="libre"/>
    <s v="Procesos de apoyo"/>
    <n v="2"/>
    <n v="20.059999999999999"/>
    <d v="2022-05-10T00:00:00"/>
    <s v="Si"/>
  </r>
  <r>
    <x v="1"/>
    <s v="CONSTRUIDA"/>
    <s v="Arriendo"/>
    <x v="0"/>
    <m/>
    <n v="1"/>
    <s v="Malla de circulación"/>
    <s v="AEMG"/>
    <s v="Hall ingreso "/>
    <s v="Procesos de apoyo"/>
    <n v="2"/>
    <n v="27.4"/>
    <d v="2022-05-10T00:00:00"/>
    <s v="Si"/>
  </r>
  <r>
    <x v="1"/>
    <s v="CONSTRUIDA"/>
    <s v="Arriendo"/>
    <x v="0"/>
    <m/>
    <n v="1"/>
    <s v="Malla de circulación"/>
    <s v="AEMG"/>
    <s v="pasillo de circulacion "/>
    <s v="Procesos de apoyo"/>
    <n v="2"/>
    <n v="34.92"/>
    <d v="2022-05-10T00:00:00"/>
    <s v="Si"/>
  </r>
  <r>
    <x v="0"/>
    <s v="CONSTRUIDA"/>
    <s v="Arriendo"/>
    <x v="0"/>
    <m/>
    <n v="1"/>
    <s v="Bodegas"/>
    <s v="Jefatura de Compras y Suministros "/>
    <s v="Bodega Almacén "/>
    <s v="N/A"/>
    <n v="1"/>
    <n v="58"/>
    <d v="2022-05-10T00:00:00"/>
    <s v="Si"/>
  </r>
  <r>
    <x v="2"/>
    <s v="CONSTRUIDA"/>
    <s v="Arriendo"/>
    <x v="0"/>
    <m/>
    <n v="1"/>
    <s v="Accesos"/>
    <s v="Vicerrectoría Administrativa Financiera "/>
    <s v="Hall Acceso"/>
    <s v="N/A"/>
    <n v="0"/>
    <n v="28.41"/>
    <d v="2022-05-10T00:00:00"/>
    <s v="Si"/>
  </r>
  <r>
    <x v="2"/>
    <s v="CONSTRUIDA"/>
    <s v="Arriendo"/>
    <x v="0"/>
    <m/>
    <n v="1"/>
    <s v="Parqueaderos"/>
    <s v="Vicerrectoría Administrativa Financiera "/>
    <s v="Parqueadero y rampa ingreso principal "/>
    <s v="Procesos de apoyo"/>
    <n v="50"/>
    <n v="3138.69"/>
    <d v="2022-05-10T00:00:00"/>
    <s v="Si"/>
  </r>
  <r>
    <x v="0"/>
    <s v="CONSTRUIDA"/>
    <s v="Arriendo"/>
    <x v="1"/>
    <s v="B301"/>
    <n v="2"/>
    <s v="Oficinas"/>
    <s v="Rectoría"/>
    <s v="Oficina Departamento Jurídico "/>
    <s v="Procesos de apoyo"/>
    <n v="5"/>
    <n v="42.98"/>
    <d v="2022-05-13T00:00:00"/>
    <s v="Si"/>
  </r>
  <r>
    <x v="0"/>
    <s v="CONSTRUIDA"/>
    <s v="Arriendo"/>
    <x v="1"/>
    <s v="B310"/>
    <n v="2"/>
    <s v="Oficinas"/>
    <s v="Jefatura de sistemas e Internet"/>
    <s v="Monitoría"/>
    <s v="Procesos de apoyo"/>
    <n v="2"/>
    <n v="23.84"/>
    <d v="2022-05-13T00:00:00"/>
    <s v="Si"/>
  </r>
  <r>
    <x v="3"/>
    <s v="CONSTRUIDA"/>
    <s v="Arriendo"/>
    <x v="1"/>
    <s v="B311"/>
    <n v="2"/>
    <s v="Aulas"/>
    <s v="Centro de Recursos Educativos "/>
    <s v="Aula de Clases"/>
    <s v="Procesos de apoyo"/>
    <n v="28"/>
    <n v="32.74"/>
    <d v="2022-05-13T00:00:00"/>
    <s v="Si"/>
  </r>
  <r>
    <x v="3"/>
    <s v="CONSTRUIDA"/>
    <s v="Arriendo"/>
    <x v="1"/>
    <s v="B312"/>
    <n v="2"/>
    <s v="Aulas"/>
    <s v="Centro de Recursos Educativos "/>
    <s v="Aula de Clases"/>
    <s v="Procesos de apoyo"/>
    <n v="43"/>
    <n v="55.89"/>
    <d v="2022-05-13T00:00:00"/>
    <s v="Si"/>
  </r>
  <r>
    <x v="3"/>
    <s v="CONSTRUIDA"/>
    <s v="Arriendo"/>
    <x v="1"/>
    <s v="B313"/>
    <n v="2"/>
    <s v="Aulas"/>
    <s v="Centro de Recursos Educativos "/>
    <s v="Aula de Clases"/>
    <s v="Procesos de apoyo"/>
    <n v="35"/>
    <n v="37.630000000000003"/>
    <d v="2022-05-13T00:00:00"/>
    <s v="Si"/>
  </r>
  <r>
    <x v="3"/>
    <s v="CONSTRUIDA"/>
    <s v="Arriendo"/>
    <x v="1"/>
    <s v="B314"/>
    <n v="2"/>
    <s v="Aulas"/>
    <s v="Centro de Recursos Educativos "/>
    <s v="Aula de Clases"/>
    <s v="Procesos de apoyo"/>
    <n v="55"/>
    <n v="57.91"/>
    <d v="2022-05-13T00:00:00"/>
    <s v="Si"/>
  </r>
  <r>
    <x v="3"/>
    <s v="CONSTRUIDA"/>
    <s v="Arriendo"/>
    <x v="1"/>
    <s v="B315"/>
    <n v="2"/>
    <s v="Aulas"/>
    <s v="Centro de Recursos Educativos "/>
    <s v="Aula de Clases"/>
    <s v="Procesos de apoyo"/>
    <n v="55"/>
    <n v="62.62"/>
    <d v="2022-05-13T00:00:00"/>
    <s v="Si"/>
  </r>
  <r>
    <x v="3"/>
    <s v="CONSTRUIDA"/>
    <s v="Arriendo"/>
    <x v="1"/>
    <m/>
    <n v="2"/>
    <s v="Oficinas"/>
    <s v="Consultorios_x000a_ Jurídicos y Centro_x000a_ de Conciliación_x000a_"/>
    <s v="Centro de concilación"/>
    <s v="Procesos de apoyo"/>
    <n v="40"/>
    <n v="44.16"/>
    <d v="2022-05-13T00:00:00"/>
    <s v="Si"/>
  </r>
  <r>
    <x v="3"/>
    <s v="CONSTRUIDA"/>
    <s v="Arriendo"/>
    <x v="1"/>
    <m/>
    <n v="2"/>
    <s v="Oficinas"/>
    <s v="Consultorios_x000a_ Jurídicos y Centro_x000a_ de Conciliación_x000a_"/>
    <s v="Centro de concilación"/>
    <s v="Procesos de apoyo"/>
    <n v="40"/>
    <n v="43.24"/>
    <d v="2022-05-13T00:00:00"/>
    <s v="Si"/>
  </r>
  <r>
    <x v="3"/>
    <s v="CONSTRUIDA"/>
    <s v="Arriendo"/>
    <x v="1"/>
    <m/>
    <n v="2"/>
    <s v="Salas Cómputo"/>
    <s v="Consultorios_x000a_ Jurídicos y Centro_x000a_ de Conciliación_x000a_"/>
    <s v="Sala virtual"/>
    <s v="Procesos de apoyo"/>
    <n v="40"/>
    <n v="43.77"/>
    <d v="2022-05-13T00:00:00"/>
    <s v="Si"/>
  </r>
  <r>
    <x v="3"/>
    <s v="CONSTRUIDA"/>
    <s v="Arriendo"/>
    <x v="1"/>
    <m/>
    <n v="2"/>
    <s v="Salas Cómputo"/>
    <s v="Consultorios_x000a_ Jurídicos y Centro_x000a_ de Conciliación_x000a_"/>
    <s v="Sala virtual"/>
    <s v="Procesos de apoyo"/>
    <n v="46"/>
    <n v="49.25"/>
    <d v="2022-05-13T00:00:00"/>
    <s v="Si"/>
  </r>
  <r>
    <x v="3"/>
    <s v="CONSTRUIDA"/>
    <s v="Arriendo"/>
    <x v="1"/>
    <m/>
    <n v="2"/>
    <s v="Salas especializadas y de práctica"/>
    <s v="Consultorios_x000a_ Jurídicos y Centro_x000a_ de Conciliación_x000a_"/>
    <s v="sala de audencias"/>
    <s v="Procesos de apoyo"/>
    <n v="38"/>
    <n v="37.090000000000003"/>
    <d v="2022-05-13T00:00:00"/>
    <s v="Si"/>
  </r>
  <r>
    <x v="0"/>
    <s v="CONSTRUIDA"/>
    <s v="Arriendo"/>
    <x v="1"/>
    <m/>
    <n v="2"/>
    <s v="Salas especializadas y de práctica"/>
    <s v="Consultorios_x000a_ Jurídicos y Centro_x000a_ de Conciliación_x000a_"/>
    <s v="Oficina consultorías"/>
    <s v="Procesos de apoyo"/>
    <n v="2"/>
    <n v="14.64"/>
    <d v="2022-05-13T00:00:00"/>
    <s v="Si"/>
  </r>
  <r>
    <x v="0"/>
    <m/>
    <m/>
    <x v="1"/>
    <m/>
    <n v="2"/>
    <s v="Oficinas"/>
    <s v="Consultorios_x000a_ Jurídicos y Centro_x000a_ de Conciliación_x000a_"/>
    <s v="Asistencia a usuarios"/>
    <m/>
    <m/>
    <n v="16.933"/>
    <m/>
    <m/>
  </r>
  <r>
    <x v="0"/>
    <s v="CONSTRUIDA"/>
    <s v="Arriendo"/>
    <x v="1"/>
    <m/>
    <n v="2"/>
    <s v="Cuartos técnicos"/>
    <s v="Consultorios_x000a_ Jurídicos y Centro_x000a_ de Conciliación_x000a_"/>
    <s v="Cuarto Técnico de redes y comunicacion "/>
    <s v="Procesos de apoyo"/>
    <n v="1"/>
    <n v="8.42"/>
    <d v="2022-05-13T00:00:00"/>
    <s v="Si"/>
  </r>
  <r>
    <x v="0"/>
    <s v="CONSTRUIDA"/>
    <s v="Arriendo"/>
    <x v="1"/>
    <m/>
    <n v="2"/>
    <s v="Oficinas"/>
    <s v="Consultorios_x000a_ Jurídicos y Centro_x000a_ de Conciliación_x000a_"/>
    <s v="OficinaDirector y secretario consultorios "/>
    <s v="Procesos de apoyo"/>
    <n v="2"/>
    <n v="25.56"/>
    <d v="2022-05-13T00:00:00"/>
    <s v="Si"/>
  </r>
  <r>
    <x v="0"/>
    <s v="CONSTRUIDA"/>
    <s v="Arriendo"/>
    <x v="1"/>
    <m/>
    <n v="2"/>
    <s v="Servicios sanitarios privados"/>
    <s v="Consultorios_x000a_ Jurídicos y Centro_x000a_ de Conciliación_x000a_"/>
    <s v="Baño PMR y mixtado"/>
    <s v="N/A"/>
    <n v="0"/>
    <n v="13.1"/>
    <d v="2022-05-13T00:00:00"/>
    <s v="Si"/>
  </r>
  <r>
    <x v="0"/>
    <s v="CONSTRUIDA"/>
    <s v="Arriendo"/>
    <x v="1"/>
    <m/>
    <n v="2"/>
    <s v="Oficinas"/>
    <s v="Consultorios_x000a_ Jurídicos y Centro_x000a_ de Conciliación_x000a_"/>
    <s v="Secretaria Administriva (Sala de espera)"/>
    <s v="Procesos de apoyo"/>
    <n v="10"/>
    <n v="32.049999999999997"/>
    <d v="2022-05-13T00:00:00"/>
    <s v="Si"/>
  </r>
  <r>
    <x v="0"/>
    <s v="CONSTRUIDA"/>
    <s v="Arriendo"/>
    <x v="1"/>
    <m/>
    <n v="2"/>
    <s v="Cuartos de servicio"/>
    <s v="Consultorios_x000a_ Jurídicos y Centro_x000a_ de Conciliación_x000a_"/>
    <s v="Archivo"/>
    <s v="Procesos de apoyo"/>
    <m/>
    <n v="9.85"/>
    <m/>
    <m/>
  </r>
  <r>
    <x v="0"/>
    <s v="CONSTRUIDA"/>
    <s v="Arriendo"/>
    <x v="1"/>
    <m/>
    <n v="2"/>
    <s v="Oficinas"/>
    <s v="Consultorios_x000a_ Jurídicos y Centro_x000a_ de Conciliación_x000a_"/>
    <s v="Coordinación de practica"/>
    <s v="Procesos de apoyo"/>
    <n v="417"/>
    <n v="17.72"/>
    <m/>
    <m/>
  </r>
  <r>
    <x v="3"/>
    <s v="CONSTRUIDA"/>
    <s v="Arriendo"/>
    <x v="1"/>
    <s v="B326"/>
    <n v="2"/>
    <s v="Salas Cómputo"/>
    <s v="Jefatura de sistemas e Internet"/>
    <s v="Sala de Sistemas No.4"/>
    <s v="DOCENCIA"/>
    <n v="30"/>
    <n v="56.99"/>
    <d v="2022-05-13T00:00:00"/>
    <s v="Si"/>
  </r>
  <r>
    <x v="3"/>
    <s v="CONSTRUIDA"/>
    <s v="Arriendo"/>
    <x v="1"/>
    <s v="B327"/>
    <n v="2"/>
    <s v="Oficinas"/>
    <s v="Consultorios_x000a_ Jurídicos y Centro_x000a_ de Conciliación_x000a_"/>
    <s v="derecho laboral"/>
    <s v="DOCENCIA"/>
    <n v="40"/>
    <n v="23.55"/>
    <d v="2022-05-13T00:00:00"/>
    <s v="Si"/>
  </r>
  <r>
    <x v="3"/>
    <s v="CONSTRUIDA"/>
    <s v="Arriendo"/>
    <x v="1"/>
    <m/>
    <m/>
    <s v="Oficinas"/>
    <s v="Consultorios_x000a_ Jurídicos y Centro_x000a_ de Conciliación_x000a_"/>
    <s v="derecho civil"/>
    <s v="DOCENCIA"/>
    <m/>
    <n v="23.78"/>
    <m/>
    <s v="Si"/>
  </r>
  <r>
    <x v="3"/>
    <s v="CONSTRUIDA"/>
    <s v="Arriendo"/>
    <x v="1"/>
    <s v="B328"/>
    <n v="2"/>
    <s v="Aulas"/>
    <s v="Centro de Recursos Educativos "/>
    <s v="Aula de Clases"/>
    <s v="DOCENCIA"/>
    <n v="40"/>
    <n v="57.33"/>
    <d v="2022-05-13T00:00:00"/>
    <s v="Si"/>
  </r>
  <r>
    <x v="3"/>
    <s v="CONSTRUIDA"/>
    <s v="Arriendo"/>
    <x v="1"/>
    <s v="B329"/>
    <n v="2"/>
    <s v="Aulas"/>
    <s v="Centro de Recursos Educativos "/>
    <s v="Aula de Clases"/>
    <s v="DOCENCIA"/>
    <n v="54"/>
    <n v="60.03"/>
    <d v="2022-05-13T00:00:00"/>
    <s v="Si"/>
  </r>
  <r>
    <x v="1"/>
    <s v="CONSTRUIDA"/>
    <s v="Arriendo"/>
    <x v="1"/>
    <m/>
    <n v="2"/>
    <s v="Espacios de integración"/>
    <s v="Vicerrectoría Administrativa Financiera "/>
    <s v="Oratorio"/>
    <s v="Procesos de apoyo"/>
    <n v="20"/>
    <n v="30.38"/>
    <d v="2022-05-13T00:00:00"/>
    <s v="Si"/>
  </r>
  <r>
    <x v="2"/>
    <s v="CONSTRUIDA"/>
    <s v="Arriendo"/>
    <x v="1"/>
    <m/>
    <n v="2"/>
    <s v="Malla de circulación"/>
    <s v="Vicerrectoría Administrativa Financiera "/>
    <s v="Hall Acceso"/>
    <s v="N/A"/>
    <n v="0"/>
    <n v="19.21"/>
    <d v="2022-05-13T00:00:00"/>
    <s v="Si"/>
  </r>
  <r>
    <x v="2"/>
    <s v="CONSTRUIDA"/>
    <s v="Arriendo"/>
    <x v="1"/>
    <m/>
    <n v="2"/>
    <s v="Malla de circulación"/>
    <s v="Vicerrectoría Administrativa Financiera "/>
    <s v="Pasillos"/>
    <s v="N/A"/>
    <n v="0"/>
    <n v="210.05"/>
    <d v="2022-05-13T00:00:00"/>
    <s v="Si"/>
  </r>
  <r>
    <x v="2"/>
    <s v="CONSTRUIDA"/>
    <s v="Arriendo"/>
    <x v="1"/>
    <m/>
    <n v="2"/>
    <s v="Malla de circulación"/>
    <s v="Vicerrectoría Administrativa Financiera "/>
    <s v="Gradas acceso 1"/>
    <s v="N/A"/>
    <n v="0"/>
    <n v="5.65"/>
    <d v="2022-05-13T00:00:00"/>
    <s v="Si"/>
  </r>
  <r>
    <x v="3"/>
    <s v="CONSTRUIDA"/>
    <s v="Arriendo"/>
    <x v="1"/>
    <m/>
    <n v="2"/>
    <s v="Bodegas"/>
    <s v="Coordinación de Planta Física y Mantenimiento "/>
    <s v="Bodega de mantenimiento"/>
    <s v="Integral"/>
    <n v="24"/>
    <n v="34.270000000000003"/>
    <d v="2022-05-13T00:00:00"/>
    <s v="Si"/>
  </r>
  <r>
    <x v="3"/>
    <s v="CONSTRUIDA"/>
    <s v="Arriendo"/>
    <x v="1"/>
    <m/>
    <n v="2"/>
    <s v="Laboratorios Especializados"/>
    <s v="Centro de Recursos Educativos "/>
    <s v="Laboratorio de Redes "/>
    <s v="DOCENCIA"/>
    <n v="30"/>
    <n v="47.13"/>
    <d v="2022-05-13T00:00:00"/>
    <s v="Si"/>
  </r>
  <r>
    <x v="3"/>
    <s v="CONSTRUIDA"/>
    <s v="Arriendo"/>
    <x v="1"/>
    <m/>
    <n v="2"/>
    <s v="Cuartos de servicio"/>
    <s v="Centro de Recursos Educativos "/>
    <s v="Espacio por asignar"/>
    <s v="DOCENCIA"/>
    <n v="24"/>
    <n v="31.63"/>
    <d v="2022-05-13T00:00:00"/>
    <s v="Si"/>
  </r>
  <r>
    <x v="1"/>
    <s v="CONSTRUIDA"/>
    <s v="Arriendo"/>
    <x v="1"/>
    <m/>
    <n v="2"/>
    <s v="Servicios sanitarios públicos"/>
    <s v="Vicerrectoría Administrativa Financiera "/>
    <s v="Baños Públicos Caballeros"/>
    <s v="N/A"/>
    <n v="4"/>
    <n v="11.12"/>
    <d v="2022-05-13T00:00:00"/>
    <s v="Si"/>
  </r>
  <r>
    <x v="1"/>
    <s v="CONSTRUIDA"/>
    <s v="Arriendo"/>
    <x v="1"/>
    <m/>
    <n v="2"/>
    <s v="Servicios sanitarios públicos"/>
    <s v="Vicerrectoría Administrativa Financiera "/>
    <s v="Baños Públicos Damas"/>
    <s v="N/A"/>
    <n v="4"/>
    <n v="10.69"/>
    <d v="2022-05-13T00:00:00"/>
    <s v="Si"/>
  </r>
  <r>
    <x v="0"/>
    <s v="CONSTRUIDA"/>
    <s v="Arriendo"/>
    <x v="1"/>
    <m/>
    <n v="2"/>
    <s v="Servicios sanitarios privados"/>
    <s v="Vicerrectoría Administrativa Financiera "/>
    <s v="Baños personal Administrativo Mixto"/>
    <s v="N/A"/>
    <n v="1"/>
    <n v="2.3199999999999998"/>
    <d v="2022-05-13T00:00:00"/>
    <s v="Si"/>
  </r>
  <r>
    <x v="0"/>
    <s v="CONSTRUIDA"/>
    <s v="Arriendo"/>
    <x v="1"/>
    <m/>
    <n v="2"/>
    <s v="Cuartos técnicos"/>
    <s v="Vicerrectoría Administrativa Financiera "/>
    <s v="Cuarto técnico"/>
    <s v="N/A"/>
    <n v="0"/>
    <n v="10.73"/>
    <d v="2022-05-13T00:00:00"/>
    <s v="Si"/>
  </r>
  <r>
    <x v="0"/>
    <s v="CONSTRUIDA"/>
    <s v="Arriendo"/>
    <x v="1"/>
    <m/>
    <n v="2"/>
    <s v="Oficinas"/>
    <s v="Consultorios_x000a_ Jurídicos y Centro_x000a_ de Conciliación_x000a_"/>
    <s v="Derecho publico"/>
    <s v="Procesos de apoyo"/>
    <n v="2"/>
    <n v="21.81"/>
    <d v="2022-05-13T00:00:00"/>
    <s v="Si"/>
  </r>
  <r>
    <x v="0"/>
    <s v="CONSTRUIDA"/>
    <s v="Arriendo"/>
    <x v="1"/>
    <m/>
    <n v="2"/>
    <s v="Oficinas"/>
    <s v="Consultorios_x000a_ Jurídicos y Centro_x000a_ de Conciliación_x000a_"/>
    <s v="Derecho penal"/>
    <s v="DOCENCIA"/>
    <n v="2"/>
    <n v="17.649999999999999"/>
    <d v="2022-05-13T00:00:00"/>
    <s v="Si"/>
  </r>
  <r>
    <x v="0"/>
    <s v="CONSTRUIDA"/>
    <s v="Arriendo"/>
    <x v="1"/>
    <m/>
    <n v="2"/>
    <s v="Biblioteca"/>
    <s v="Consultorios_x000a_ Jurídicos y Centro_x000a_ de Conciliación_x000a_"/>
    <s v="Biblioteca"/>
    <s v="N/A"/>
    <n v="0"/>
    <n v="11.07"/>
    <d v="2022-05-13T00:00:00"/>
    <s v="Si"/>
  </r>
  <r>
    <x v="0"/>
    <s v="CONSTRUIDA"/>
    <s v="Arriendo"/>
    <x v="1"/>
    <m/>
    <n v="2"/>
    <s v="Oficinas"/>
    <s v="Consultorios_x000a_ Jurídicos y Centro_x000a_ de Conciliación_x000a_"/>
    <s v="Derecho de familia"/>
    <s v="Procesos de apoyo"/>
    <n v="15"/>
    <n v="19.13"/>
    <d v="2022-05-13T00:00:00"/>
    <s v="Si"/>
  </r>
  <r>
    <x v="3"/>
    <s v="CONSTRUIDA"/>
    <s v="Arriendo"/>
    <x v="2"/>
    <m/>
    <n v="2"/>
    <s v="Oficinas"/>
    <s v="Vicerrectoría de Bienestar Universitario "/>
    <s v="Cord deporte universitario"/>
    <s v="Procesos de apoyo"/>
    <n v="41"/>
    <n v="35.479999999999997"/>
    <d v="2022-05-17T00:00:00"/>
    <s v="Si"/>
  </r>
  <r>
    <x v="3"/>
    <s v="CONSTRUIDA"/>
    <s v="Arriendo"/>
    <x v="2"/>
    <m/>
    <n v="2"/>
    <s v="Espacios de integración"/>
    <s v="Vicerrectoría de Bienestar Universitario "/>
    <s v="Sala de musica"/>
    <s v="Procesos de apoyo"/>
    <n v="37"/>
    <n v="35.44"/>
    <d v="2022-05-17T00:00:00"/>
    <s v="Si"/>
  </r>
  <r>
    <x v="3"/>
    <s v="CONSTRUIDA"/>
    <s v="Arriendo"/>
    <x v="2"/>
    <m/>
    <n v="2"/>
    <s v="Cuartos de servicio"/>
    <s v="Secretaría General "/>
    <s v="Archivo"/>
    <s v="Procesos de apoyo"/>
    <n v="36"/>
    <n v="37.26"/>
    <d v="2022-05-17T00:00:00"/>
    <s v="Si"/>
  </r>
  <r>
    <x v="3"/>
    <s v="CONSTRUIDA"/>
    <s v="Arriendo"/>
    <x v="2"/>
    <m/>
    <n v="2"/>
    <s v="Salas Cómputo"/>
    <s v="Jefatura de sistemas e Internet"/>
    <s v="Sala de Sistemas No.8"/>
    <s v="Procesos de apoyo"/>
    <n v="50"/>
    <n v="86.05"/>
    <d v="2022-05-17T00:00:00"/>
    <s v="Si"/>
  </r>
  <r>
    <x v="0"/>
    <s v="CONSTRUIDA"/>
    <s v="Arriendo"/>
    <x v="2"/>
    <m/>
    <n v="2"/>
    <s v="Oficinas"/>
    <s v="Coordinación de Planta Física y Mantenimiento "/>
    <s v="OficinaMantenimiento y Planta física"/>
    <s v="Procesos de apoyo"/>
    <n v="2"/>
    <n v="22.96"/>
    <d v="2022-05-17T00:00:00"/>
    <s v="Si"/>
  </r>
  <r>
    <x v="0"/>
    <s v="CONSTRUIDA"/>
    <s v="Arriendo"/>
    <x v="2"/>
    <m/>
    <n v="3"/>
    <s v="Oficinas"/>
    <s v="Jefatura de Desarrollo de Software"/>
    <s v="OficinaJefatura, técnico y auxiliar"/>
    <s v="Procesos de apoyo"/>
    <n v="9"/>
    <n v="83.43"/>
    <d v="2022-05-17T00:00:00"/>
    <s v="Si"/>
  </r>
  <r>
    <x v="0"/>
    <s v="CONSTRUIDA"/>
    <s v="Arriendo"/>
    <x v="2"/>
    <m/>
    <n v="3"/>
    <s v="Oficinas"/>
    <s v="Jefatura de Compras y Suministros "/>
    <s v="OficinaJefatura, secretaría, auxiliar"/>
    <s v="Procesos de apoyo"/>
    <n v="5"/>
    <n v="27.16"/>
    <d v="2022-05-17T00:00:00"/>
    <s v="Si"/>
  </r>
  <r>
    <x v="1"/>
    <s v="CONSTRUIDA"/>
    <s v="Arriendo"/>
    <x v="2"/>
    <s v=" 204 B"/>
    <n v="2"/>
    <s v="Espacios de integración"/>
    <s v="Vicerrectoría de Bienestar Universitario "/>
    <s v="Salón de Música"/>
    <s v="Procesos de apoyo"/>
    <n v="10"/>
    <n v="11.5"/>
    <d v="2022-05-17T00:00:00"/>
    <s v="Si"/>
  </r>
  <r>
    <x v="0"/>
    <s v="CONSTRUIDA"/>
    <s v="Arriendo"/>
    <x v="2"/>
    <s v="204 A"/>
    <n v="2"/>
    <s v="Cuartos técnicos"/>
    <s v="Coordinación de Redes y Comunicaciones "/>
    <s v="UPS"/>
    <s v="N/A"/>
    <n v="0"/>
    <n v="5.98"/>
    <d v="2022-05-17T00:00:00"/>
    <s v="Si"/>
  </r>
  <r>
    <x v="1"/>
    <s v="CONSTRUIDA"/>
    <s v="Arriendo"/>
    <x v="2"/>
    <s v="204 C"/>
    <n v="2"/>
    <s v="Espacios de integración"/>
    <s v="Vicerrectoría de Bienestar Universitario "/>
    <s v="Instrumento músical"/>
    <s v="Procesos de apoyo"/>
    <n v="0"/>
    <n v="11.3"/>
    <d v="2022-05-17T00:00:00"/>
    <s v="Si"/>
  </r>
  <r>
    <x v="1"/>
    <s v="CONSTRUIDA"/>
    <s v="Arriendo"/>
    <x v="2"/>
    <s v="204 D"/>
    <n v="2"/>
    <s v="Espacios de integración"/>
    <s v="Vicerrectoría de Bienestar Universitario "/>
    <s v="Sala de Teatro y música "/>
    <s v="Procesos de apoyo"/>
    <n v="15"/>
    <n v="70.56"/>
    <d v="2022-05-17T00:00:00"/>
    <s v="Si"/>
  </r>
  <r>
    <x v="4"/>
    <s v="CONSTRUIDA"/>
    <s v="Arriendo"/>
    <x v="2"/>
    <m/>
    <n v="2"/>
    <s v="Auditorios"/>
    <s v="Centro de Recursos Educativos "/>
    <s v="Auditorio Santa Clara"/>
    <s v="Procesos de apoyo"/>
    <n v="80"/>
    <n v="110"/>
    <d v="2022-05-17T00:00:00"/>
    <s v="Si"/>
  </r>
  <r>
    <x v="0"/>
    <s v="CONSTRUIDA"/>
    <s v="Arriendo"/>
    <x v="2"/>
    <m/>
    <s v="Sotano"/>
    <s v="Cuartos de servicio"/>
    <s v="Secretaría General "/>
    <s v="Archivo secretaría General "/>
    <s v="N/A"/>
    <n v="0"/>
    <n v="44.73"/>
    <d v="2022-05-17T00:00:00"/>
    <s v="Si"/>
  </r>
  <r>
    <x v="0"/>
    <s v="CONSTRUIDA"/>
    <s v="Arriendo"/>
    <x v="2"/>
    <m/>
    <s v="Sotano"/>
    <s v="Cuartos de servicio"/>
    <s v="Vicerrectoría Administrativa Financiera "/>
    <s v="Cuarto de aseo"/>
    <s v="N/A"/>
    <n v="0"/>
    <n v="2.7"/>
    <d v="2022-05-17T00:00:00"/>
    <s v="Si"/>
  </r>
  <r>
    <x v="1"/>
    <s v="CONSTRUIDA"/>
    <s v="Arriendo"/>
    <x v="2"/>
    <m/>
    <s v="Sotano"/>
    <s v="Servicios sanitarios públicos"/>
    <s v="Vicerrectoría Administrativa Financiera "/>
    <s v="Baños Mixto"/>
    <s v="N/A"/>
    <n v="2"/>
    <n v="9.25"/>
    <d v="2022-05-17T00:00:00"/>
    <s v="Si"/>
  </r>
  <r>
    <x v="1"/>
    <s v="CONSTRUIDA"/>
    <s v="Arriendo"/>
    <x v="2"/>
    <m/>
    <n v="2"/>
    <s v="Servicios sanitarios públicos"/>
    <s v="Vicerrectoría Administrativa Financiera "/>
    <s v="Baños Damas teatro y música  "/>
    <s v="N/A"/>
    <n v="1"/>
    <n v="3.35"/>
    <d v="2022-05-17T00:00:00"/>
    <s v="Si"/>
  </r>
  <r>
    <x v="1"/>
    <s v="CONSTRUIDA"/>
    <s v="Arriendo"/>
    <x v="2"/>
    <m/>
    <n v="2"/>
    <s v="Servicios sanitarios públicos"/>
    <s v="Vicerrectoría Administrativa Financiera "/>
    <s v="Baños Hombres teatro  y música"/>
    <s v="N/A"/>
    <n v="1"/>
    <n v="3.35"/>
    <d v="2022-05-17T00:00:00"/>
    <s v="Si"/>
  </r>
  <r>
    <x v="2"/>
    <s v="CONSTRUIDA"/>
    <s v="Arriendo"/>
    <x v="2"/>
    <m/>
    <n v="2"/>
    <s v="Malla de circulación"/>
    <s v="Vicerrectoría Administrativa Financiera "/>
    <s v="Pasillos"/>
    <s v="N/A"/>
    <n v="0"/>
    <n v="196"/>
    <d v="2022-05-17T00:00:00"/>
    <s v="Si"/>
  </r>
  <r>
    <x v="2"/>
    <s v="CONSTRUIDA"/>
    <s v="Arriendo"/>
    <x v="2"/>
    <m/>
    <n v="2"/>
    <s v="Malla de circulación"/>
    <s v="Vicerrectoría Administrativa Financiera "/>
    <s v="Hall Acceso"/>
    <s v="N/A"/>
    <n v="0"/>
    <n v="20.55"/>
    <d v="2022-05-17T00:00:00"/>
    <s v="Si"/>
  </r>
  <r>
    <x v="2"/>
    <s v="CONSTRUIDA"/>
    <s v="Arriendo"/>
    <x v="2"/>
    <m/>
    <n v="2"/>
    <s v="Escaleras"/>
    <s v="Vicerrectoría Administrativa Financiera "/>
    <s v="Gradas acceso"/>
    <s v="Procesos de apoyo"/>
    <n v="0"/>
    <n v="23.77"/>
    <d v="2022-05-17T00:00:00"/>
    <s v="Si"/>
  </r>
  <r>
    <x v="1"/>
    <s v="CONSTRUIDA"/>
    <s v="Arriendo"/>
    <x v="2"/>
    <m/>
    <n v="3"/>
    <s v="Servicios sanitarios públicos"/>
    <s v="Vicerrectoría Administrativa Financiera "/>
    <s v="Baños públicos hombre Auditorio Santa Clara "/>
    <s v="N/A"/>
    <n v="1"/>
    <n v="2.94"/>
    <d v="2022-05-17T00:00:00"/>
    <s v="Si"/>
  </r>
  <r>
    <x v="1"/>
    <s v="CONSTRUIDA"/>
    <s v="Arriendo"/>
    <x v="2"/>
    <m/>
    <n v="3"/>
    <s v="Servicios sanitarios públicos"/>
    <s v="Vicerrectoría Administrativa Financiera "/>
    <s v="Baños públicos mujeres Auditorio Santa Clara"/>
    <s v="N/A"/>
    <n v="1"/>
    <n v="2.19"/>
    <d v="2022-05-17T00:00:00"/>
    <s v="Si"/>
  </r>
  <r>
    <x v="2"/>
    <s v="CONSTRUIDA"/>
    <s v="Arriendo"/>
    <x v="2"/>
    <m/>
    <n v="3"/>
    <s v="Accesos"/>
    <s v="Vicerrectoría Administrativa Financiera "/>
    <s v="Hall Acceso Auditorio Santa Clara "/>
    <s v="N/A"/>
    <n v="0"/>
    <n v="31.5"/>
    <d v="2022-05-17T00:00:00"/>
    <s v="Si"/>
  </r>
  <r>
    <x v="0"/>
    <s v="CONSTRUIDA"/>
    <s v="Arriendo"/>
    <x v="2"/>
    <m/>
    <n v="2"/>
    <s v="Bodegas"/>
    <s v="AEMG"/>
    <s v="Residuos Biológicos "/>
    <s v="N/A"/>
    <n v="0"/>
    <n v="2.7"/>
    <d v="2022-05-17T00:00:00"/>
    <s v="Si"/>
  </r>
  <r>
    <x v="0"/>
    <s v="CONSTRUIDA"/>
    <s v="Arriendo"/>
    <x v="2"/>
    <m/>
    <n v="3"/>
    <s v="Bodegas"/>
    <s v="Centro de Recursos Educativos "/>
    <s v="Bodega Auditorio Santa Clara"/>
    <s v="N/A"/>
    <n v="0"/>
    <n v="4.8"/>
    <d v="2022-05-17T00:00:00"/>
    <s v="Si"/>
  </r>
  <r>
    <x v="1"/>
    <s v="CONSTRUIDA"/>
    <s v="Propiedad"/>
    <x v="3"/>
    <n v="102"/>
    <n v="1"/>
    <s v="Cafeterías privadas"/>
    <s v="Vicerrectoría Administrativa Financiera "/>
    <s v="Cafetería Funcionarios"/>
    <s v="Procesos de apoyo"/>
    <n v="25"/>
    <n v="37.090000000000003"/>
    <d v="2022-05-23T00:00:00"/>
    <s v="Si"/>
  </r>
  <r>
    <x v="0"/>
    <s v="CONSTRUIDA"/>
    <s v="Propiedad"/>
    <x v="3"/>
    <s v="101A"/>
    <n v="1"/>
    <s v="Oficinas"/>
    <s v="Secretaría General "/>
    <s v="Archivo - unidad de archivo y correspondencia "/>
    <s v="Procesos de apoyo"/>
    <n v="2"/>
    <n v="10.06"/>
    <d v="2022-05-23T00:00:00"/>
    <s v="Si"/>
  </r>
  <r>
    <x v="0"/>
    <s v="CONSTRUIDA"/>
    <s v="Propiedad"/>
    <x v="3"/>
    <s v="101A"/>
    <n v="1"/>
    <s v="Oficinas"/>
    <s v="Secretaría General "/>
    <s v="Archivo Cental - Oficina técnicos y auxiliar "/>
    <s v="Procesos de apoyo"/>
    <n v="3"/>
    <n v="54.95"/>
    <d v="2022-05-23T00:00:00"/>
    <s v="Si"/>
  </r>
  <r>
    <x v="0"/>
    <s v="CONSTRUIDA"/>
    <s v="Propiedad"/>
    <x v="3"/>
    <s v="101C"/>
    <n v="1"/>
    <s v="Oficinas"/>
    <s v="Secretaría General "/>
    <s v="Proceso de archivo"/>
    <s v="Procesos de apoyo"/>
    <n v="0"/>
    <n v="23.61"/>
    <d v="2022-05-23T00:00:00"/>
    <s v="Si"/>
  </r>
  <r>
    <x v="4"/>
    <s v="CONSTRUIDA"/>
    <s v="Propiedad"/>
    <x v="3"/>
    <n v="104"/>
    <n v="1"/>
    <s v="IPS Psicológica"/>
    <s v="Unidad de Servicios Psicológicos "/>
    <s v="Unidad de servicios psicologicos coordinación y secretaría "/>
    <s v="DOCENCIA"/>
    <n v="2"/>
    <n v="14.69"/>
    <d v="2022-05-23T00:00:00"/>
    <s v="Si"/>
  </r>
  <r>
    <x v="4"/>
    <s v="CONSTRUIDA"/>
    <s v="Propiedad"/>
    <x v="3"/>
    <m/>
    <n v="1"/>
    <s v="Consultorios Médicos"/>
    <s v="Unidad de Servicios Psicológicos "/>
    <s v="Consultorío 1 USP"/>
    <s v="DOCENCIA"/>
    <n v="2"/>
    <n v="5.65"/>
    <d v="2022-05-23T00:00:00"/>
    <s v="No"/>
  </r>
  <r>
    <x v="4"/>
    <s v="CONSTRUIDA"/>
    <s v="Propiedad"/>
    <x v="3"/>
    <m/>
    <n v="1"/>
    <s v="Consultorios Médicos"/>
    <s v="Unidad de Servicios Psicológicos "/>
    <s v="Consultorío 2 USP"/>
    <s v="DOCENCIA"/>
    <n v="2"/>
    <n v="5.65"/>
    <d v="2022-05-23T00:00:00"/>
    <s v="No"/>
  </r>
  <r>
    <x v="4"/>
    <s v="CONSTRUIDA"/>
    <s v="Propiedad"/>
    <x v="3"/>
    <m/>
    <n v="1"/>
    <s v="Consultorios Médicos"/>
    <s v="Unidad de Servicios Psicológicos "/>
    <s v="Consultorío 3 USP"/>
    <s v="DOCENCIA"/>
    <n v="2"/>
    <n v="5.65"/>
    <d v="2022-05-23T00:00:00"/>
    <s v="No"/>
  </r>
  <r>
    <x v="4"/>
    <s v="CONSTRUIDA"/>
    <s v="Propiedad"/>
    <x v="3"/>
    <m/>
    <n v="1"/>
    <s v="Consultorios Médicos"/>
    <s v="Unidad de Servicios Psicológicos "/>
    <s v="Consultorío 4 USP"/>
    <s v="DOCENCIA"/>
    <n v="2"/>
    <n v="5.65"/>
    <d v="2022-05-23T00:00:00"/>
    <s v="No"/>
  </r>
  <r>
    <x v="4"/>
    <s v="CONSTRUIDA"/>
    <s v="Propiedad"/>
    <x v="3"/>
    <m/>
    <n v="1"/>
    <s v="Consultorios Médicos"/>
    <s v="Unidad de Servicios Psicológicos "/>
    <s v="Consultorío 5 USP"/>
    <s v="DOCENCIA"/>
    <n v="2"/>
    <n v="5.65"/>
    <d v="2022-05-23T00:00:00"/>
    <s v="No"/>
  </r>
  <r>
    <x v="4"/>
    <s v="CONSTRUIDA"/>
    <s v="Propiedad"/>
    <x v="3"/>
    <m/>
    <n v="1"/>
    <s v="Consultorios Médicos"/>
    <s v="Unidad de Servicios Psicológicos "/>
    <s v="Consultorío 6 USP"/>
    <s v="DOCENCIA"/>
    <n v="2"/>
    <n v="6.42"/>
    <d v="2022-05-23T00:00:00"/>
    <s v="No"/>
  </r>
  <r>
    <x v="0"/>
    <s v="CONSTRUIDA"/>
    <s v="Propiedad"/>
    <x v="3"/>
    <m/>
    <n v="1"/>
    <s v="Cuartos técnicos"/>
    <s v="Coordinación de Planta Física y Mantenimiento "/>
    <s v="Cuarto tecnico"/>
    <s v="Integral"/>
    <n v="1"/>
    <n v="6.73"/>
    <d v="2022-05-23T00:00:00"/>
    <s v="No"/>
  </r>
  <r>
    <x v="0"/>
    <s v="CONSTRUIDA"/>
    <s v="Propiedad"/>
    <x v="3"/>
    <m/>
    <n v="1"/>
    <s v="Cuartos de servicio"/>
    <s v="Unidad de Servicios Psicológicos "/>
    <s v="Deposito de residuos"/>
    <s v="DOCENCIA"/>
    <n v="1"/>
    <n v="1.34"/>
    <d v="2022-05-23T00:00:00"/>
    <s v="No"/>
  </r>
  <r>
    <x v="0"/>
    <s v="CONSTRUIDA"/>
    <s v="Propiedad"/>
    <x v="3"/>
    <m/>
    <n v="1"/>
    <s v="Malla de circulación"/>
    <s v="Unidad de Servicios Psicológicos "/>
    <s v="hall de circulacion"/>
    <s v="Procesos de apoyo"/>
    <n v="10"/>
    <n v="19.75"/>
    <d v="2022-05-23T00:00:00"/>
    <s v="Si"/>
  </r>
  <r>
    <x v="0"/>
    <s v="CONSTRUIDA"/>
    <s v="Propiedad"/>
    <x v="3"/>
    <m/>
    <n v="1"/>
    <s v="Malla de circulación"/>
    <s v="Unidad de Servicios Psicológicos "/>
    <s v="sala de espera"/>
    <s v="Procesos de apoyo"/>
    <n v="15"/>
    <n v="11.3"/>
    <d v="2022-05-23T00:00:00"/>
    <s v="Si"/>
  </r>
  <r>
    <x v="4"/>
    <s v="CONSTRUIDA"/>
    <s v="Propiedad"/>
    <x v="3"/>
    <n v="105"/>
    <n v="1"/>
    <s v="Cuartos de servicio"/>
    <s v="Unidad de Servicios Psicológicos "/>
    <s v="Archivo"/>
    <s v="DOCENCIA"/>
    <n v="1"/>
    <n v="3.17"/>
    <d v="2022-05-23T00:00:00"/>
    <s v="Si"/>
  </r>
  <r>
    <x v="0"/>
    <s v="CONSTRUIDA"/>
    <s v="Propiedad"/>
    <x v="3"/>
    <n v="106"/>
    <n v="1"/>
    <s v="Cuartos técnicos"/>
    <s v="Coordinación de Redes y Comunicaciones "/>
    <s v="Cuarto técnico "/>
    <s v="N/A"/>
    <n v="1"/>
    <n v="6.73"/>
    <d v="2022-05-23T00:00:00"/>
    <s v="Si"/>
  </r>
  <r>
    <x v="0"/>
    <s v="CONSTRUIDA"/>
    <s v="Propiedad"/>
    <x v="3"/>
    <m/>
    <n v="1"/>
    <s v="Cuartos de servicio"/>
    <s v="Vicerrectoría Administrativa Financiera "/>
    <s v="cuarto de aseo"/>
    <s v="Procesos de apoyo"/>
    <n v="1"/>
    <n v="3.8"/>
    <d v="2022-05-23T00:00:00"/>
    <s v="Si"/>
  </r>
  <r>
    <x v="0"/>
    <s v="CONSTRUIDA"/>
    <s v="Propiedad"/>
    <x v="4"/>
    <m/>
    <n v="1"/>
    <s v="Cafeterías públicas"/>
    <s v="Vicerrectoría Administrativa Financiera "/>
    <s v="Cafetería Pública"/>
    <s v="Procesos de apoyo"/>
    <n v="93"/>
    <n v="234.1"/>
    <d v="2022-05-23T00:00:00"/>
    <s v="Si"/>
  </r>
  <r>
    <x v="0"/>
    <s v="CONSTRUIDA"/>
    <s v="Propiedad"/>
    <x v="4"/>
    <m/>
    <n v="1"/>
    <s v="Biblioteca"/>
    <s v="Biblioteca"/>
    <s v="Biblioteca - Casilleros "/>
    <s v="Integral"/>
    <n v="110"/>
    <n v="12.08"/>
    <d v="2022-05-23T00:00:00"/>
    <s v="Si"/>
  </r>
  <r>
    <x v="0"/>
    <s v="CONSTRUIDA"/>
    <s v="Propiedad"/>
    <x v="4"/>
    <m/>
    <n v="1"/>
    <s v="Biblioteca"/>
    <s v="Biblioteca"/>
    <s v="Prestamo y devolucion "/>
    <s v="Integral"/>
    <n v="2"/>
    <n v="10.61"/>
    <d v="2022-05-23T00:00:00"/>
    <s v="Si"/>
  </r>
  <r>
    <x v="0"/>
    <s v="CONSTRUIDA"/>
    <s v="Propiedad"/>
    <x v="4"/>
    <m/>
    <n v="1"/>
    <s v="Biblioteca"/>
    <s v="Biblioteca"/>
    <s v="Estanteria"/>
    <s v="Integral"/>
    <m/>
    <n v="67.13"/>
    <d v="2022-05-23T00:00:00"/>
    <m/>
  </r>
  <r>
    <x v="0"/>
    <s v="CONSTRUIDA"/>
    <s v="Propiedad"/>
    <x v="4"/>
    <m/>
    <n v="1"/>
    <s v="Cuartos de servicio"/>
    <s v="Vicerrectoría Administrativa Financiera "/>
    <s v="Cuarto de aseo"/>
    <s v="Integral"/>
    <n v="1"/>
    <n v="5.41"/>
    <d v="2022-05-23T00:00:00"/>
    <s v="Si"/>
  </r>
  <r>
    <x v="0"/>
    <s v="CONSTRUIDA"/>
    <s v="Propiedad"/>
    <x v="4"/>
    <m/>
    <n v="1"/>
    <s v="Cuartos de servicio"/>
    <s v="Biblioteca"/>
    <s v="Depositos"/>
    <s v="Integral"/>
    <n v="1"/>
    <n v="2.71"/>
    <d v="2022-05-23T00:00:00"/>
    <s v="No"/>
  </r>
  <r>
    <x v="0"/>
    <s v="CONSTRUIDA"/>
    <s v="Propiedad"/>
    <x v="4"/>
    <m/>
    <n v="1"/>
    <s v="Biblioteca"/>
    <s v="Biblioteca"/>
    <s v="Prestamo y devolucion "/>
    <s v="Integral"/>
    <n v="1"/>
    <n v="8.91"/>
    <d v="2022-05-23T00:00:00"/>
    <s v="Si"/>
  </r>
  <r>
    <x v="0"/>
    <s v="CONSTRUIDA"/>
    <s v="Propiedad"/>
    <x v="4"/>
    <m/>
    <n v="1"/>
    <s v="Oficinas"/>
    <s v="Biblioteca"/>
    <s v="Direccion"/>
    <s v="Integral"/>
    <n v="1"/>
    <n v="10.6"/>
    <d v="2022-05-23T00:00:00"/>
    <s v="No"/>
  </r>
  <r>
    <x v="0"/>
    <s v="CONSTRUIDA"/>
    <s v="Propiedad"/>
    <x v="4"/>
    <m/>
    <n v="1"/>
    <s v="Oficinas"/>
    <s v="Biblioteca"/>
    <s v="Sistemas"/>
    <s v="Integral"/>
    <n v="1"/>
    <n v="10.57"/>
    <d v="2022-05-23T00:00:00"/>
    <s v="Si"/>
  </r>
  <r>
    <x v="0"/>
    <s v="CONSTRUIDA"/>
    <s v="Propiedad"/>
    <x v="4"/>
    <m/>
    <n v="1"/>
    <s v="Oficinas"/>
    <s v="Biblioteca"/>
    <s v="Procesos tecnicos"/>
    <s v="Integral"/>
    <n v="2"/>
    <n v="28.55"/>
    <d v="2022-05-23T00:00:00"/>
    <s v="No"/>
  </r>
  <r>
    <x v="3"/>
    <s v="CONSTRUIDA"/>
    <s v="Propiedad"/>
    <x v="4"/>
    <m/>
    <n v="1"/>
    <s v="Oficinas"/>
    <s v="Rectoría"/>
    <s v="Secretaria vicerrector"/>
    <s v="Integral"/>
    <n v="3"/>
    <n v="16.420000000000002"/>
    <d v="2022-05-23T00:00:00"/>
    <s v="Si"/>
  </r>
  <r>
    <x v="0"/>
    <s v="CONSTRUIDA"/>
    <s v="Propiedad"/>
    <x v="4"/>
    <m/>
    <n v="1"/>
    <s v="Oficinas"/>
    <s v="Biblioteca"/>
    <s v="Vicerrectoria evangelizacion de las culturas"/>
    <s v="Integral"/>
    <n v="1"/>
    <n v="20.28"/>
    <d v="2022-05-23T00:00:00"/>
    <s v="Si"/>
  </r>
  <r>
    <x v="0"/>
    <s v="CONSTRUIDA"/>
    <s v="Propiedad"/>
    <x v="4"/>
    <m/>
    <n v="1"/>
    <s v="Biblioteca"/>
    <s v="Biblioteca"/>
    <s v="Sala general"/>
    <s v="Integral"/>
    <n v="51"/>
    <n v="96.12"/>
    <d v="2022-05-23T00:00:00"/>
    <s v="Si"/>
  </r>
  <r>
    <x v="2"/>
    <s v="CONSTRUIDA"/>
    <s v="Propiedad"/>
    <x v="4"/>
    <m/>
    <n v="1"/>
    <s v="Malla de circulación"/>
    <s v="Biblioteca"/>
    <s v="Biblioteca - Pasillos "/>
    <s v="N/A"/>
    <n v="0"/>
    <n v="97.81"/>
    <d v="2022-05-23T00:00:00"/>
    <s v="Si"/>
  </r>
  <r>
    <x v="0"/>
    <s v="CONSTRUIDA"/>
    <s v="Propiedad"/>
    <x v="4"/>
    <m/>
    <n v="1"/>
    <s v="Biblioteca"/>
    <s v="Biblioteca"/>
    <s v="Sala de reserva"/>
    <s v="Integral"/>
    <n v="2"/>
    <n v="143.11000000000001"/>
    <d v="2022-05-23T00:00:00"/>
    <s v="Si"/>
  </r>
  <r>
    <x v="0"/>
    <s v="CONSTRUIDA"/>
    <s v="Propiedad"/>
    <x v="4"/>
    <m/>
    <n v="1"/>
    <s v="Biblioteca"/>
    <s v="Biblioteca"/>
    <s v="Consulta informatica"/>
    <s v="Integral"/>
    <n v="10"/>
    <n v="5.43"/>
    <d v="2022-05-23T00:00:00"/>
    <s v="Si"/>
  </r>
  <r>
    <x v="0"/>
    <s v="CONSTRUIDA"/>
    <s v="Propiedad"/>
    <x v="4"/>
    <m/>
    <n v="1"/>
    <s v="Biblioteca"/>
    <s v="Biblioteca"/>
    <s v="Area documentos tesis"/>
    <s v="Integral"/>
    <n v="34"/>
    <n v="85.47"/>
    <d v="2022-05-23T00:00:00"/>
    <s v="Si"/>
  </r>
  <r>
    <x v="0"/>
    <s v="CONSTRUIDA"/>
    <s v="Propiedad"/>
    <x v="4"/>
    <m/>
    <n v="1"/>
    <s v="Biblioteca"/>
    <s v="Biblioteca"/>
    <s v="Hemeroteca"/>
    <s v="Integral"/>
    <n v="30"/>
    <n v="74.09"/>
    <d v="2022-05-23T00:00:00"/>
    <s v="Si"/>
  </r>
  <r>
    <x v="0"/>
    <s v="CONSTRUIDA"/>
    <s v="Propiedad"/>
    <x v="4"/>
    <m/>
    <n v="1"/>
    <s v="Malla de circulación"/>
    <s v="Biblioteca"/>
    <s v="Escaleras - Acceso segundo piso"/>
    <s v="Integral"/>
    <n v="0"/>
    <n v="10.35"/>
    <d v="2022-05-23T00:00:00"/>
    <s v="Si"/>
  </r>
  <r>
    <x v="0"/>
    <s v="CONSTRUIDA"/>
    <s v="Propiedad"/>
    <x v="4"/>
    <m/>
    <n v="1"/>
    <s v="Biblioteca"/>
    <s v="Biblioteca"/>
    <s v="Lectura Libre - Area de muebles"/>
    <s v="Integral"/>
    <n v="12"/>
    <n v="22.81"/>
    <d v="2022-05-23T00:00:00"/>
    <s v="Si"/>
  </r>
  <r>
    <x v="0"/>
    <s v="CONSTRUIDA"/>
    <s v="Propiedad"/>
    <x v="4"/>
    <m/>
    <n v="1"/>
    <s v="Servicios sanitarios privados"/>
    <s v="Vicerrectoría Administrativa Financiera "/>
    <s v="BañoS OficinaHombres 1ER PISO"/>
    <s v="N/A"/>
    <n v="1"/>
    <n v="1.65"/>
    <d v="2022-05-23T00:00:00"/>
    <s v="Si"/>
  </r>
  <r>
    <x v="0"/>
    <s v="CONSTRUIDA"/>
    <s v="Propiedad"/>
    <x v="3"/>
    <m/>
    <n v="1"/>
    <s v="Servicios sanitarios privados"/>
    <s v="Vicerrectoría Administrativa Financiera "/>
    <s v="Baño OficinaMujeres 1ER PISO"/>
    <s v="N/A"/>
    <n v="1"/>
    <n v="1.649"/>
    <d v="2022-05-23T00:00:00"/>
    <s v="Si"/>
  </r>
  <r>
    <x v="0"/>
    <s v="CONSTRUIDA"/>
    <s v="Propiedad"/>
    <x v="4"/>
    <m/>
    <n v="1"/>
    <s v="Servicios sanitarios privados"/>
    <s v="Vicerrectoría Administrativa Financiera "/>
    <s v="Baño OficinaMujeres 1ER PISO"/>
    <s v="N/A"/>
    <n v="1"/>
    <n v="1.649"/>
    <d v="2022-05-23T00:00:00"/>
    <s v="Si"/>
  </r>
  <r>
    <x v="1"/>
    <s v="CONSTRUIDA"/>
    <s v="Propiedad"/>
    <x v="3"/>
    <m/>
    <n v="1"/>
    <s v="Servicios sanitarios públicos"/>
    <s v="Coordinación de Planta Física y Mantenimiento "/>
    <s v="Baño hombres 1ER PISO"/>
    <s v="N/A"/>
    <n v="1"/>
    <n v="4.7"/>
    <d v="2022-05-23T00:00:00"/>
    <s v="Si"/>
  </r>
  <r>
    <x v="1"/>
    <s v="CONSTRUIDA"/>
    <s v="Propiedad"/>
    <x v="3"/>
    <m/>
    <n v="1"/>
    <s v="Servicios sanitarios públicos"/>
    <s v="Coordinación de Planta Física y Mantenimiento "/>
    <s v="Baño mujeres 1ER PISO "/>
    <s v="N/A"/>
    <n v="2"/>
    <n v="4.7"/>
    <d v="2022-05-23T00:00:00"/>
    <s v="Si"/>
  </r>
  <r>
    <x v="1"/>
    <s v="CONSTRUIDA"/>
    <s v="Propiedad"/>
    <x v="3"/>
    <m/>
    <n v="1"/>
    <s v="Servicios sanitarios públicos"/>
    <s v="Coordinación de Planta Física y Mantenimiento "/>
    <s v="Baño para movilidad reducida x2"/>
    <s v="N/A"/>
    <n v="1"/>
    <n v="7.52"/>
    <d v="2022-05-23T00:00:00"/>
    <s v="Si"/>
  </r>
  <r>
    <x v="2"/>
    <s v="CONSTRUIDA"/>
    <s v="Propiedad"/>
    <x v="3"/>
    <m/>
    <n v="1"/>
    <s v="Malla de circulación"/>
    <s v="Vicerrectoría Administrativa Financiera "/>
    <s v="Pasillos exterior primer piso "/>
    <s v="N/A"/>
    <n v="0"/>
    <n v="115.86"/>
    <d v="2022-05-23T00:00:00"/>
    <s v="Si"/>
  </r>
  <r>
    <x v="2"/>
    <s v="CONSTRUIDA"/>
    <s v="Propiedad"/>
    <x v="3"/>
    <m/>
    <n v="1"/>
    <s v="Malla de circulación"/>
    <s v="Vicerrectoría Administrativa Financiera "/>
    <s v="Pasillos interior primer piso "/>
    <s v="N/A"/>
    <n v="0"/>
    <n v="127.15"/>
    <d v="2022-05-23T00:00:00"/>
    <s v="Si"/>
  </r>
  <r>
    <x v="2"/>
    <s v="CONSTRUIDA"/>
    <s v="Propiedad"/>
    <x v="3"/>
    <m/>
    <n v="1"/>
    <s v="Malla de circulación"/>
    <s v="Vicerrectoría Administrativa Financiera "/>
    <s v="Gradas acceso primer piso"/>
    <s v="Procesos de apoyo"/>
    <n v="0"/>
    <n v="16.2"/>
    <d v="2022-05-23T00:00:00"/>
    <s v="Si"/>
  </r>
  <r>
    <x v="3"/>
    <s v="CONSTRUIDA"/>
    <s v="Propiedad"/>
    <x v="3"/>
    <s v="H201"/>
    <n v="2"/>
    <s v="Aulas"/>
    <s v="Centro de Recursos Educativos "/>
    <s v="Aula de clases video beam instalado"/>
    <s v="DOCENCIA"/>
    <n v="16"/>
    <n v="31.6"/>
    <d v="2022-05-25T00:00:00"/>
    <s v="No"/>
  </r>
  <r>
    <x v="3"/>
    <s v="CONSTRUIDA"/>
    <s v="Propiedad"/>
    <x v="4"/>
    <n v="207"/>
    <n v="2"/>
    <s v="Salas de Tutores (salas de profesores)"/>
    <s v="Decanatura Ciencias Adminstrativas y Contables"/>
    <s v="Sala de docentes  TC Administración y Contaduría "/>
    <s v="DOCENCIA"/>
    <n v="20"/>
    <n v="50.75"/>
    <d v="2022-05-25T00:00:00"/>
    <s v="No"/>
  </r>
  <r>
    <x v="3"/>
    <s v="CONSTRUIDA"/>
    <s v="Propiedad"/>
    <x v="4"/>
    <s v="I208"/>
    <n v="2"/>
    <s v="Aulas"/>
    <s v="Centro de Recursos Educativos "/>
    <s v="Aula de Clases"/>
    <s v="DOCENCIA"/>
    <n v="22"/>
    <n v="43.78"/>
    <d v="2022-05-25T00:00:00"/>
    <s v="No"/>
  </r>
  <r>
    <x v="3"/>
    <s v="CONSTRUIDA"/>
    <s v="Propiedad"/>
    <x v="4"/>
    <s v="I209"/>
    <n v="2"/>
    <s v="Aulas"/>
    <s v="Centro de Recursos Educativos "/>
    <s v="Aula de Clases"/>
    <s v="DOCENCIA"/>
    <n v="26"/>
    <n v="52.43"/>
    <d v="2022-05-25T00:00:00"/>
    <s v="No"/>
  </r>
  <r>
    <x v="3"/>
    <s v="CONSTRUIDA"/>
    <s v="Propiedad"/>
    <x v="4"/>
    <s v="I212"/>
    <n v="2"/>
    <s v="Aulas"/>
    <s v="Centro de Recursos Educativos "/>
    <s v="Aula de Clases"/>
    <s v="DOCENCIA"/>
    <n v="25"/>
    <n v="50.05"/>
    <d v="2022-05-25T00:00:00"/>
    <s v="No"/>
  </r>
  <r>
    <x v="3"/>
    <s v="CONSTRUIDA"/>
    <s v="Propiedad"/>
    <x v="4"/>
    <s v="I213"/>
    <n v="2"/>
    <s v="Aulas"/>
    <s v="Coordinación de Posgrados en Convenio"/>
    <s v="Aula de Clases"/>
    <s v="DOCENCIA"/>
    <n v="27"/>
    <n v="50"/>
    <d v="2022-05-25T00:00:00"/>
    <s v="No"/>
  </r>
  <r>
    <x v="3"/>
    <s v="CONSTRUIDA"/>
    <s v="Propiedad"/>
    <x v="3"/>
    <m/>
    <n v="2"/>
    <s v="Salas de investigadores"/>
    <s v="Vicerrectoría de Investigaciones"/>
    <s v="Sala de semilleros de investigacion y editorial "/>
    <s v="INVESTIGACIÓN"/>
    <n v="12"/>
    <n v="50.13"/>
    <d v="2022-05-25T00:00:00"/>
    <s v="No"/>
  </r>
  <r>
    <x v="3"/>
    <s v="CONSTRUIDA"/>
    <s v="Propiedad"/>
    <x v="4"/>
    <s v="206 E y F"/>
    <n v="2"/>
    <s v="Salas de Tutores (salas de profesores)"/>
    <s v="Decanatura Ciencias Adminstrativas y Contables"/>
    <s v="Sala de docentes"/>
    <s v="DOCENCIA"/>
    <n v="14"/>
    <n v="33.119999999999997"/>
    <d v="2022-05-25T00:00:00"/>
    <s v="No"/>
  </r>
  <r>
    <x v="0"/>
    <s v="CONSTRUIDA"/>
    <s v="Propiedad"/>
    <x v="4"/>
    <s v="206A"/>
    <n v="2"/>
    <s v="Oficinas"/>
    <s v="Programa de Contaduría Pública"/>
    <s v="Oficina Secretaría de programa "/>
    <s v="DOCENCIA"/>
    <n v="2"/>
    <n v="21.91"/>
    <d v="2022-05-25T00:00:00"/>
    <s v="No"/>
  </r>
  <r>
    <x v="0"/>
    <s v="CONSTRUIDA"/>
    <s v="Propiedad"/>
    <x v="4"/>
    <s v="206B"/>
    <n v="2"/>
    <s v="Oficinas"/>
    <s v="Programa de Contaduría Pública"/>
    <s v="Oficina Dirección de programa "/>
    <s v="DOCENCIA"/>
    <n v="1"/>
    <n v="10.119999999999999"/>
    <d v="2022-05-25T00:00:00"/>
    <s v="No"/>
  </r>
  <r>
    <x v="0"/>
    <s v="CONSTRUIDA"/>
    <s v="Propiedad"/>
    <x v="4"/>
    <s v="206C"/>
    <n v="2"/>
    <s v="Oficinas"/>
    <s v="Programa de Administración de Empresas"/>
    <s v="Oficina Secretaría de programa "/>
    <s v="DOCENCIA"/>
    <n v="1"/>
    <n v="19.21"/>
    <d v="2022-05-25T00:00:00"/>
    <s v="No"/>
  </r>
  <r>
    <x v="0"/>
    <s v="CONSTRUIDA"/>
    <s v="Propiedad"/>
    <x v="4"/>
    <s v="206D"/>
    <n v="2"/>
    <s v="Oficinas"/>
    <s v="Programa de Administración de Empresas"/>
    <s v="Oficina Dirección e programa "/>
    <s v="DOCENCIA"/>
    <n v="1"/>
    <n v="16.440000000000001"/>
    <d v="2022-05-25T00:00:00"/>
    <s v="No"/>
  </r>
  <r>
    <x v="0"/>
    <s v="CONSTRUIDA"/>
    <s v="Propiedad"/>
    <x v="3"/>
    <m/>
    <n v="2"/>
    <s v="Salas de reunión"/>
    <s v="Centro de Recursos Educativos "/>
    <s v="Sala de Juntas (Bellina)"/>
    <s v="Procesos de apoyo"/>
    <n v="20"/>
    <n v="43.62"/>
    <d v="2022-05-25T00:00:00"/>
    <s v="No"/>
  </r>
  <r>
    <x v="0"/>
    <s v="CONSTRUIDA"/>
    <s v="Propiedad"/>
    <x v="3"/>
    <m/>
    <n v="2"/>
    <s v="Malla de circulación"/>
    <s v="Programa de Administración de Empresas"/>
    <s v="Sala de espera 2 do piso"/>
    <s v="Procesos de apoyo"/>
    <n v="12"/>
    <n v="17.48"/>
    <d v="2022-05-25T00:00:00"/>
    <s v="No"/>
  </r>
  <r>
    <x v="0"/>
    <s v="CONSTRUIDA"/>
    <s v="Propiedad"/>
    <x v="3"/>
    <m/>
    <n v="2"/>
    <s v="Cuartos de servicio"/>
    <s v="Centro de Recursos Educativos "/>
    <s v="Multicopias CREE"/>
    <s v="Procesos de apoyo"/>
    <n v="2"/>
    <n v="10.130000000000001"/>
    <d v="2022-05-25T00:00:00"/>
    <s v="No"/>
  </r>
  <r>
    <x v="0"/>
    <s v="CONSTRUIDA"/>
    <s v="Propiedad"/>
    <x v="3"/>
    <m/>
    <n v="2"/>
    <s v="Oficinas"/>
    <s v="Centro de Recursos Educativos "/>
    <s v="Oficina Secretaría CRE"/>
    <s v="Procesos de apoyo"/>
    <n v="1"/>
    <n v="10.11"/>
    <d v="2022-05-25T00:00:00"/>
    <s v="No"/>
  </r>
  <r>
    <x v="0"/>
    <s v="CONSTRUIDA"/>
    <s v="Propiedad"/>
    <x v="3"/>
    <m/>
    <n v="2"/>
    <s v="Oficinas"/>
    <s v="Centro de Recursos Educativos "/>
    <s v="Oficina Direccion CRE"/>
    <s v="Procesos de apoyo"/>
    <n v="1"/>
    <n v="16.66"/>
    <d v="2022-05-25T00:00:00"/>
    <s v="No"/>
  </r>
  <r>
    <x v="0"/>
    <s v="CONSTRUIDA"/>
    <s v="Propiedad"/>
    <x v="3"/>
    <m/>
    <n v="2"/>
    <s v="Cuartos de servicio"/>
    <s v="Centro de Recursos Educativos "/>
    <s v="Bodega Direccion CRE"/>
    <s v="N/A"/>
    <n v="0"/>
    <n v="7.21"/>
    <d v="2022-05-25T00:00:00"/>
    <s v="No"/>
  </r>
  <r>
    <x v="0"/>
    <s v="CONSTRUIDA"/>
    <s v="Propiedad"/>
    <x v="3"/>
    <m/>
    <n v="2"/>
    <s v="Oficinas"/>
    <s v="Centro de Recursos Educativos "/>
    <s v="Oficina Auxiliares CRE"/>
    <s v="Procesos de apoyo"/>
    <n v="7"/>
    <n v="19.559999999999999"/>
    <d v="2022-05-25T00:00:00"/>
    <s v="No"/>
  </r>
  <r>
    <x v="0"/>
    <s v="CONSTRUIDA"/>
    <s v="Propiedad"/>
    <x v="3"/>
    <m/>
    <n v="2"/>
    <s v="Cuartos de servicio"/>
    <s v="Centro de Recursos Educativos "/>
    <s v="Deposito material  audivisual"/>
    <s v="N/A"/>
    <n v="0"/>
    <n v="27.17"/>
    <d v="2022-05-25T00:00:00"/>
    <s v="No"/>
  </r>
  <r>
    <x v="0"/>
    <s v="CONSTRUIDA"/>
    <s v="Propiedad"/>
    <x v="3"/>
    <m/>
    <n v="2"/>
    <s v="Oficinas"/>
    <s v="Centro de Recursos Educativos "/>
    <s v="Centro de idiomas"/>
    <s v="Procesos de apoyo"/>
    <n v="3"/>
    <n v="11.1"/>
    <d v="2022-05-25T00:00:00"/>
    <s v="No"/>
  </r>
  <r>
    <x v="0"/>
    <s v="CONSTRUIDA"/>
    <s v="Propiedad"/>
    <x v="3"/>
    <m/>
    <n v="2"/>
    <s v="Oficinas"/>
    <s v="Centro de Recursos Educativos "/>
    <s v="Sala de docentes idiomas"/>
    <s v="DOCENCIA"/>
    <n v="10"/>
    <n v="22.67"/>
    <d v="2022-05-25T00:00:00"/>
    <s v="No"/>
  </r>
  <r>
    <x v="0"/>
    <s v="CONSTRUIDA"/>
    <s v="Propiedad"/>
    <x v="3"/>
    <m/>
    <n v="2"/>
    <s v="Oficinas"/>
    <s v="Centro de Recursos Educativos "/>
    <s v="Direccion departamento de Idiomas"/>
    <s v="DOCENCIA"/>
    <n v="3"/>
    <n v="11.2"/>
    <d v="2022-05-25T00:00:00"/>
    <s v="No"/>
  </r>
  <r>
    <x v="0"/>
    <s v="CONSTRUIDA"/>
    <s v="Propiedad"/>
    <x v="3"/>
    <m/>
    <n v="2"/>
    <s v="Oficinas"/>
    <s v="Rectoría"/>
    <s v="Oficina Relaciones interuniversitarias "/>
    <s v="Procesos de apoyo"/>
    <n v="2"/>
    <n v="21.29"/>
    <d v="2022-05-25T00:00:00"/>
    <s v="No"/>
  </r>
  <r>
    <x v="0"/>
    <s v="CONSTRUIDA"/>
    <s v="Propiedad"/>
    <x v="3"/>
    <m/>
    <n v="2"/>
    <s v="Oficinas"/>
    <s v="Coordinación Internacionalización "/>
    <s v="Coordinacion e internacionalizacion y proyeccion universitaria"/>
    <s v="DOCENCIA"/>
    <n v="17"/>
    <n v="42.18"/>
    <d v="2022-05-25T00:00:00"/>
    <s v="No"/>
  </r>
  <r>
    <x v="0"/>
    <s v="CONSTRUIDA"/>
    <s v="Propiedad"/>
    <x v="3"/>
    <m/>
    <n v="2"/>
    <s v="Oficinas"/>
    <s v="Coordinación Egresados "/>
    <s v="Coordinacion de Egresados"/>
    <s v="DOCENCIA"/>
    <n v="3"/>
    <n v="9.68"/>
    <d v="2022-05-25T00:00:00"/>
    <s v="No"/>
  </r>
  <r>
    <x v="0"/>
    <s v="CONSTRUIDA"/>
    <s v="Propiedad"/>
    <x v="3"/>
    <m/>
    <n v="2"/>
    <s v="Oficinas"/>
    <s v="Dirección de Posgrados "/>
    <s v="Coordinacion de posgrados y maestrias"/>
    <s v="DOCENCIA"/>
    <n v="38"/>
    <n v="74.27"/>
    <d v="2022-05-25T00:00:00"/>
    <s v="No"/>
  </r>
  <r>
    <x v="0"/>
    <s v="CONSTRUIDA"/>
    <s v="Propiedad"/>
    <x v="3"/>
    <m/>
    <n v="2"/>
    <s v="Servicios sanitarios privados"/>
    <s v="Vicerrectoría Administrativa Financiera "/>
    <s v="Baños administrativos damas "/>
    <s v="N/A"/>
    <n v="1"/>
    <n v="3.63"/>
    <d v="2022-05-25T00:00:00"/>
    <s v="No"/>
  </r>
  <r>
    <x v="1"/>
    <s v="CONSTRUIDA"/>
    <s v="Propiedad"/>
    <x v="3"/>
    <m/>
    <n v="2"/>
    <s v="Servicios sanitarios privados"/>
    <s v="Vicerrectoría Administrativa Financiera "/>
    <s v="Baños administrativos caballeros"/>
    <s v="N/A"/>
    <n v="1"/>
    <n v="3.63"/>
    <d v="2022-05-25T00:00:00"/>
    <s v="No"/>
  </r>
  <r>
    <x v="0"/>
    <s v="CONSTRUIDA"/>
    <s v="Propiedad"/>
    <x v="3"/>
    <m/>
    <n v="2"/>
    <s v="Servicios sanitarios privados"/>
    <s v="Vicerrectoría Administrativa Financiera "/>
    <s v="Baños Administrativos Damas Decanatura ciencias Admon y contables "/>
    <s v="N/A"/>
    <n v="1"/>
    <n v="1.6"/>
    <d v="2022-05-25T00:00:00"/>
    <s v="No"/>
  </r>
  <r>
    <x v="0"/>
    <s v="CONSTRUIDA"/>
    <s v="Propiedad"/>
    <x v="3"/>
    <m/>
    <n v="2"/>
    <s v="Servicios sanitarios privados"/>
    <s v="Vicerrectoría Administrativa Financiera "/>
    <s v="Baños administrativos hombres Decanatura ciencias Admon y contables  "/>
    <s v="N/A"/>
    <n v="1"/>
    <n v="1.6"/>
    <d v="2022-05-25T00:00:00"/>
    <s v="No"/>
  </r>
  <r>
    <x v="1"/>
    <s v="CONSTRUIDA"/>
    <s v="Propiedad"/>
    <x v="3"/>
    <m/>
    <n v="2"/>
    <s v="Servicios sanitarios públicos"/>
    <s v="Vicerrectoría Administrativa Financiera "/>
    <s v="Baños públicos caballeros"/>
    <s v="N/A"/>
    <n v="1"/>
    <n v="8.26"/>
    <d v="2022-05-25T00:00:00"/>
    <s v="Si"/>
  </r>
  <r>
    <x v="2"/>
    <s v="CONSTRUIDA"/>
    <s v="Propiedad"/>
    <x v="3"/>
    <m/>
    <n v="2"/>
    <s v="Malla de circulación"/>
    <s v="Coordinación de Planta Física y Mantenimiento "/>
    <s v="Escaleras piso a piso"/>
    <s v="Procesos de apoyo"/>
    <n v="0"/>
    <n v="16.190000000000001"/>
    <d v="2022-05-25T00:00:00"/>
    <s v="Si"/>
  </r>
  <r>
    <x v="2"/>
    <s v="CONSTRUIDA"/>
    <s v="Propiedad"/>
    <x v="3"/>
    <m/>
    <n v="2"/>
    <s v="Malla de circulación"/>
    <s v="Vicerrectoría Administrativa Financiera "/>
    <s v="Pasillos general segundo piso "/>
    <s v="N/A"/>
    <n v="0"/>
    <n v="277.39999999999998"/>
    <d v="2022-05-25T00:00:00"/>
    <s v="Si"/>
  </r>
  <r>
    <x v="1"/>
    <s v="CONSTRUIDA"/>
    <s v="Propiedad"/>
    <x v="3"/>
    <m/>
    <n v="2"/>
    <s v="Espacios de integración"/>
    <s v="Vicerrectoría Administrativa Financiera "/>
    <s v="Hall estudio - descanso (mesas)"/>
    <s v="Procesos de apoyo"/>
    <n v="0"/>
    <n v="28.09"/>
    <d v="2022-05-25T00:00:00"/>
    <s v="No"/>
  </r>
  <r>
    <x v="0"/>
    <s v="CONSTRUIDA"/>
    <s v="Propiedad"/>
    <x v="4"/>
    <m/>
    <n v="2"/>
    <s v="Cuartos de servicio"/>
    <s v="Jefatura de Compras y Suministros "/>
    <s v="Deposito de compras"/>
    <s v="N/A"/>
    <n v="0"/>
    <n v="6.7"/>
    <d v="2022-05-25T00:00:00"/>
    <s v="No"/>
  </r>
  <r>
    <x v="0"/>
    <s v="CONSTRUIDA"/>
    <s v="Propiedad"/>
    <x v="4"/>
    <m/>
    <n v="2"/>
    <s v="Cuartos de servicio"/>
    <s v="Vicerrectoría Administrativa Financiera "/>
    <s v="Cuarto de aseo"/>
    <s v="N/A"/>
    <n v="0"/>
    <n v="3.03"/>
    <d v="2022-05-25T00:00:00"/>
    <s v="No"/>
  </r>
  <r>
    <x v="0"/>
    <s v="CONSTRUIDA"/>
    <s v="Propiedad"/>
    <x v="4"/>
    <m/>
    <n v="2"/>
    <s v="Cuartos técnicos"/>
    <s v="Coordinación de Redes y Comunicaciones "/>
    <s v="Cuarto técnico "/>
    <s v="N/A"/>
    <n v="0"/>
    <n v="7.41"/>
    <d v="2022-05-25T00:00:00"/>
    <s v="No"/>
  </r>
  <r>
    <x v="3"/>
    <s v="CONSTRUIDA"/>
    <s v="Propiedad"/>
    <x v="4"/>
    <m/>
    <n v="2"/>
    <s v="Biblioteca"/>
    <s v="Biblioteca"/>
    <s v="Biblioteca - Balcon "/>
    <s v="Integral"/>
    <n v="25"/>
    <n v="29.44"/>
    <d v="2022-05-25T00:00:00"/>
    <s v="No"/>
  </r>
  <r>
    <x v="3"/>
    <s v="CONSTRUIDA"/>
    <s v="Propiedad"/>
    <x v="4"/>
    <m/>
    <n v="2"/>
    <s v="Biblioteca"/>
    <s v="Biblioteca"/>
    <s v="Biblioteca - Planoteca"/>
    <s v="Integral"/>
    <n v="35"/>
    <n v="64.39"/>
    <d v="2022-05-25T00:00:00"/>
    <s v="No"/>
  </r>
  <r>
    <x v="3"/>
    <s v="CONSTRUIDA"/>
    <s v="Propiedad"/>
    <x v="4"/>
    <m/>
    <n v="2"/>
    <s v="Biblioteca"/>
    <s v="Biblioteca"/>
    <s v="BibliotecaSala Fray Ansermo Caradona fondos especiales y autores Nariñenses "/>
    <s v="Integral"/>
    <n v="20"/>
    <n v="40.06"/>
    <d v="2022-05-25T00:00:00"/>
    <s v="No"/>
  </r>
  <r>
    <x v="3"/>
    <s v="CONSTRUIDA"/>
    <s v="Propiedad"/>
    <x v="4"/>
    <m/>
    <n v="2"/>
    <s v="Salas_Cómputo"/>
    <s v="Biblioteca"/>
    <s v="Biblioteca - Sala de sistemas"/>
    <s v="Integral"/>
    <n v="16"/>
    <n v="59.41"/>
    <d v="2022-05-25T00:00:00"/>
    <s v="No"/>
  </r>
  <r>
    <x v="3"/>
    <s v="CONSTRUIDA"/>
    <s v="Propiedad"/>
    <x v="4"/>
    <m/>
    <n v="2"/>
    <s v="Biblioteca"/>
    <s v="Biblioteca"/>
    <s v="Modulo auxiliar - Sala de sistemas"/>
    <s v="Procesos de apoyo"/>
    <n v="1"/>
    <n v="3.5"/>
    <d v="2022-05-25T00:00:00"/>
    <s v="No"/>
  </r>
  <r>
    <x v="2"/>
    <s v="CONSTRUIDA"/>
    <s v="Propiedad"/>
    <x v="4"/>
    <m/>
    <n v="2"/>
    <s v="Malla_de_circulación"/>
    <s v="Biblioteca"/>
    <s v="Escaleras aceeso 2do piso biblioteca"/>
    <s v="Procesos de apoyo"/>
    <n v="0"/>
    <n v="12.38"/>
    <d v="2022-05-25T00:00:00"/>
    <s v="Si"/>
  </r>
  <r>
    <x v="0"/>
    <s v="CONSTRUIDA"/>
    <s v="Propiedad"/>
    <x v="3"/>
    <s v="301A"/>
    <n v="3"/>
    <s v="Oficinas"/>
    <s v="Vicerrectoría Administrativa Financiera "/>
    <s v="Auditoria Interna y Oficinas de Presupuesto"/>
    <s v="DOCENCIA"/>
    <n v="7"/>
    <n v="19.09"/>
    <d v="2022-05-30T00:00:00"/>
    <s v="No"/>
  </r>
  <r>
    <x v="0"/>
    <s v="CONSTRUIDA"/>
    <s v="Propiedad"/>
    <x v="3"/>
    <s v="301B"/>
    <n v="3"/>
    <s v="Oficinas"/>
    <s v="Departamento de Ciencias Básicas"/>
    <s v="Oficina Secretaría ciencias básicas"/>
    <s v="DOCENCIA"/>
    <n v="1"/>
    <n v="10.56"/>
    <d v="2022-05-30T00:00:00"/>
    <s v="No"/>
  </r>
  <r>
    <x v="0"/>
    <s v="CONSTRUIDA"/>
    <s v="Propiedad"/>
    <x v="3"/>
    <s v="301C"/>
    <n v="3"/>
    <s v="Oficinas"/>
    <s v="Departamento de Ciencias Básicas"/>
    <s v="Oficina Dirección ciencias básicas"/>
    <s v="DOCENCIA"/>
    <n v="1"/>
    <n v="12.9"/>
    <d v="2022-05-30T00:00:00"/>
    <s v="No"/>
  </r>
  <r>
    <x v="3"/>
    <s v="CONSTRUIDA"/>
    <s v="Propiedad"/>
    <x v="3"/>
    <s v="301D"/>
    <n v="3"/>
    <s v="Salas de Tutores (salas de profesores)"/>
    <s v="Departamento de Ciencias Básicas"/>
    <s v="Sala de docentes TC ciencias básicas "/>
    <s v="DOCENCIA"/>
    <n v="6"/>
    <n v="27.63"/>
    <d v="2022-05-30T00:00:00"/>
    <s v="No"/>
  </r>
  <r>
    <x v="3"/>
    <s v="CONSTRUIDA"/>
    <s v="Propiedad"/>
    <x v="3"/>
    <m/>
    <n v="3"/>
    <s v="Servicios sanitarios privados"/>
    <s v="Departamento de Ciencias Básicas"/>
    <s v="Baño hombres privado"/>
    <s v="DOCENCIA"/>
    <n v="1"/>
    <n v="2.21"/>
    <d v="2022-05-30T00:00:00"/>
    <s v="No"/>
  </r>
  <r>
    <x v="3"/>
    <s v="CONSTRUIDA"/>
    <s v="Propiedad"/>
    <x v="3"/>
    <m/>
    <n v="3"/>
    <s v="Servicios sanitarios privados"/>
    <s v="Departamento de Ciencias Básicas"/>
    <s v="Baño mujeres privado"/>
    <s v="DOCENCIA"/>
    <n v="1"/>
    <n v="4.1100000000000003"/>
    <d v="2022-05-30T00:00:00"/>
    <s v="No"/>
  </r>
  <r>
    <x v="3"/>
    <s v="CONSTRUIDA"/>
    <s v="Propiedad"/>
    <x v="3"/>
    <s v="H302"/>
    <n v="3"/>
    <s v="Aulas"/>
    <s v="Centro de Recursos Educativos "/>
    <s v="Aula de Clase "/>
    <s v="DOCENCIA"/>
    <n v="32"/>
    <n v="77.489999999999995"/>
    <d v="2022-05-30T00:00:00"/>
    <s v="No"/>
  </r>
  <r>
    <x v="3"/>
    <s v="CONSTRUIDA"/>
    <s v="Propiedad"/>
    <x v="3"/>
    <s v="H305"/>
    <n v="3"/>
    <s v="Aulas"/>
    <s v="Centro de Recursos Educativos "/>
    <s v="Aula de Clase "/>
    <s v="DOCENCIA"/>
    <n v="32"/>
    <n v="74.83"/>
    <d v="2022-05-30T00:00:00"/>
    <s v="No"/>
  </r>
  <r>
    <x v="3"/>
    <s v="CONSTRUIDA"/>
    <s v="Propiedad"/>
    <x v="3"/>
    <s v="H306"/>
    <n v="3"/>
    <s v="Aulas"/>
    <s v="Centro de Recursos Educativos "/>
    <s v="Aula de Clases"/>
    <s v="DOCENCIA"/>
    <n v="64"/>
    <n v="74.98"/>
    <d v="2022-05-30T00:00:00"/>
    <s v="No"/>
  </r>
  <r>
    <x v="0"/>
    <s v="CONSTRUIDA"/>
    <s v="Propiedad"/>
    <x v="3"/>
    <m/>
    <n v="3"/>
    <s v="Bodegas"/>
    <s v="Recreación y Deporte "/>
    <s v="Bodega Recreacion y deporte "/>
    <s v="N/A"/>
    <n v="0"/>
    <n v="5.89"/>
    <d v="2022-05-30T00:00:00"/>
    <s v="No"/>
  </r>
  <r>
    <x v="0"/>
    <s v="CONSTRUIDA"/>
    <s v="Propiedad"/>
    <x v="3"/>
    <m/>
    <n v="3"/>
    <s v="Cuartos técnicos"/>
    <s v="Coordinación de Redes y Comunicaciones "/>
    <s v="Cuarto técnico"/>
    <s v="N/A"/>
    <n v="0"/>
    <n v="5.74"/>
    <d v="2022-05-30T00:00:00"/>
    <s v="No"/>
  </r>
  <r>
    <x v="0"/>
    <s v="CONSTRUIDA"/>
    <s v="Propiedad"/>
    <x v="4"/>
    <m/>
    <n v="3"/>
    <s v="Cuartos de servicio"/>
    <s v="Vicerrectoría Administrativa Financiera "/>
    <s v="Deposito - Cuarto de aseo"/>
    <s v="N/A"/>
    <n v="0"/>
    <n v="3.37"/>
    <d v="2022-05-30T00:00:00"/>
    <s v="No"/>
  </r>
  <r>
    <x v="0"/>
    <s v="CONSTRUIDA"/>
    <s v="Propiedad"/>
    <x v="4"/>
    <m/>
    <n v="3"/>
    <s v="Cuartos de servicio"/>
    <s v="Jefatura de Compras y Suministros "/>
    <s v="Deposito - Bodega almacén "/>
    <s v="N/A"/>
    <n v="0"/>
    <n v="6.86"/>
    <d v="2022-05-30T00:00:00"/>
    <s v="No"/>
  </r>
  <r>
    <x v="4"/>
    <s v="CONSTRUIDA"/>
    <s v="Propiedad"/>
    <x v="3"/>
    <m/>
    <n v="3"/>
    <s v="Cuartos de servicio"/>
    <s v="Coordinación de Planta Física y Mantenimiento "/>
    <s v="Fotocopiadora Pública"/>
    <s v="Procesos de apoyo"/>
    <n v="0"/>
    <n v="6.6"/>
    <d v="2022-05-30T00:00:00"/>
    <s v="No"/>
  </r>
  <r>
    <x v="0"/>
    <s v="CONSTRUIDA"/>
    <s v="Propiedad"/>
    <x v="3"/>
    <m/>
    <n v="3"/>
    <s v="Servicios sanitarios públicos"/>
    <s v="Vicerrectoría Administrativa Financiera "/>
    <s v="Bateria de baños hombres "/>
    <s v="N/A"/>
    <n v="2"/>
    <n v="8.6300000000000008"/>
    <d v="2022-05-30T00:00:00"/>
    <s v="Si"/>
  </r>
  <r>
    <x v="0"/>
    <s v="CONSTRUIDA"/>
    <s v="Propiedad"/>
    <x v="3"/>
    <m/>
    <n v="3"/>
    <s v="Servicios sanitarios públicos"/>
    <s v="Vicerrectoría Administrativa Financiera "/>
    <s v="Bateria de baños mujeres"/>
    <s v="N/A"/>
    <n v="2"/>
    <n v="7.71"/>
    <d v="2022-05-30T00:00:00"/>
    <s v="Si"/>
  </r>
  <r>
    <x v="2"/>
    <s v="CONSTRUIDA"/>
    <s v="Propiedad"/>
    <x v="3"/>
    <m/>
    <n v="3"/>
    <s v="Malla de circulación"/>
    <s v="Coordinación de Planta Física y Mantenimiento "/>
    <s v="Escalera"/>
    <s v="Procesos de apoyo"/>
    <n v="0"/>
    <n v="16.89"/>
    <d v="2022-05-30T00:00:00"/>
    <s v="Si"/>
  </r>
  <r>
    <x v="2"/>
    <s v="CONSTRUIDA"/>
    <s v="Propiedad"/>
    <x v="3"/>
    <m/>
    <n v="3"/>
    <s v="Espacios de integración"/>
    <s v="Coordinación de Planta Física y Mantenimiento "/>
    <s v="Area de mesas"/>
    <s v="Procesos de apoyo"/>
    <n v="8"/>
    <n v="7.57"/>
    <d v="2022-05-30T00:00:00"/>
    <s v="Si"/>
  </r>
  <r>
    <x v="0"/>
    <s v="CONSTRUIDA"/>
    <s v="Propiedad"/>
    <x v="4"/>
    <s v="I307"/>
    <n v="3"/>
    <s v="Oficinas"/>
    <s v="Vicerrectoría de Investigaciones"/>
    <s v="Oficina de practica Universitaria"/>
    <s v="INVESTIGACIÓN"/>
    <n v="3"/>
    <n v="21.78"/>
    <d v="2022-05-30T00:00:00"/>
    <s v="No"/>
  </r>
  <r>
    <x v="3"/>
    <s v="CONSTRUIDA"/>
    <s v="Propiedad"/>
    <x v="4"/>
    <s v="I308"/>
    <n v="3"/>
    <s v="Aulas"/>
    <s v="Centro de Recursos Educativos "/>
    <s v="Aula de Clases"/>
    <s v="DOCENCIA"/>
    <n v="28"/>
    <n v="40.33"/>
    <d v="2022-05-30T00:00:00"/>
    <s v="No"/>
  </r>
  <r>
    <x v="3"/>
    <s v="CONSTRUIDA"/>
    <s v="Propiedad"/>
    <x v="4"/>
    <s v="I309"/>
    <n v="3"/>
    <s v="Aulas"/>
    <s v="Centro de Recursos Educativos "/>
    <s v="Aula de Clases"/>
    <s v="DOCENCIA"/>
    <n v="42"/>
    <n v="63.57"/>
    <d v="2022-05-30T00:00:00"/>
    <s v="No"/>
  </r>
  <r>
    <x v="3"/>
    <s v="CONSTRUIDA"/>
    <s v="Propiedad"/>
    <x v="4"/>
    <s v="I310"/>
    <n v="3"/>
    <s v="Aulas"/>
    <s v="Centro de Recursos Educativos "/>
    <s v="Aula de Clases"/>
    <s v="DOCENCIA"/>
    <n v="30"/>
    <n v="38.020000000000003"/>
    <d v="2022-05-30T00:00:00"/>
    <s v="No"/>
  </r>
  <r>
    <x v="3"/>
    <s v="CONSTRUIDA"/>
    <s v="Propiedad"/>
    <x v="4"/>
    <s v="I311"/>
    <n v="3"/>
    <s v="Aulas"/>
    <s v="Centro de Recursos Educativos "/>
    <s v="Aula de Clases"/>
    <s v="DOCENCIA"/>
    <n v="36"/>
    <n v="34.590000000000003"/>
    <d v="2022-05-30T00:00:00"/>
    <s v="No"/>
  </r>
  <r>
    <x v="3"/>
    <s v="CONSTRUIDA"/>
    <s v="Propiedad"/>
    <x v="4"/>
    <s v="I312"/>
    <n v="3"/>
    <s v="Aulas"/>
    <s v="Centro de Recursos Educativos "/>
    <s v="Aula de Clases"/>
    <s v="DOCENCIA"/>
    <n v="48"/>
    <n v="55.03"/>
    <d v="2022-05-30T00:00:00"/>
    <s v="No"/>
  </r>
  <r>
    <x v="3"/>
    <s v="CONSTRUIDA"/>
    <s v="Propiedad"/>
    <x v="4"/>
    <s v="I315"/>
    <n v="3"/>
    <s v="Aulas"/>
    <s v="Centro de Recursos Educativos "/>
    <s v="Aula de Clases"/>
    <s v="DOCENCIA"/>
    <n v="48"/>
    <n v="49.99"/>
    <d v="2022-05-30T00:00:00"/>
    <s v="No"/>
  </r>
  <r>
    <x v="3"/>
    <s v="CONSTRUIDA"/>
    <s v="Propiedad"/>
    <x v="4"/>
    <s v="I316"/>
    <n v="3"/>
    <s v="Aulas"/>
    <s v="Centro de Recursos Educativos "/>
    <s v="Aula de Clases"/>
    <s v="DOCENCIA"/>
    <n v="48"/>
    <n v="49.5"/>
    <d v="2022-05-30T00:00:00"/>
    <s v="No"/>
  </r>
  <r>
    <x v="3"/>
    <s v="CONSTRUIDA"/>
    <s v="Propiedad"/>
    <x v="4"/>
    <s v="I317"/>
    <n v="3"/>
    <s v="Aulas"/>
    <s v="Centro de Recursos Educativos "/>
    <s v="Aula de Clases"/>
    <s v="DOCENCIA"/>
    <n v="45"/>
    <n v="50.13"/>
    <d v="2022-05-30T00:00:00"/>
    <s v="No"/>
  </r>
  <r>
    <x v="0"/>
    <s v="CONSTRUIDA"/>
    <s v="Propiedad"/>
    <x v="4"/>
    <s v="318B"/>
    <n v="3"/>
    <s v="Oficinas"/>
    <s v="Jefatura de Espiritualidad Franciscana "/>
    <s v="Oficinade Escuela Franciscana de  Espiritualidad Franciscana y de escuela de paz y fraternidad Coordinación"/>
    <s v="DOCENCIA"/>
    <n v="1"/>
    <n v="16.18"/>
    <d v="2022-05-30T00:00:00"/>
    <s v="No"/>
  </r>
  <r>
    <x v="3"/>
    <s v="CONSTRUIDA"/>
    <s v="Propiedad"/>
    <x v="4"/>
    <s v="318C"/>
    <n v="3"/>
    <s v="Salas de Tutores (salas de profesores)"/>
    <s v="Jefatura de Espiritualidad Franciscana "/>
    <s v="Sala de docentes Escuelas Franciscanas"/>
    <s v="DOCENCIA"/>
    <n v="12"/>
    <n v="39.51"/>
    <d v="2022-05-30T00:00:00"/>
    <s v="No"/>
  </r>
  <r>
    <x v="0"/>
    <s v="CONSTRUIDA"/>
    <s v="Propiedad"/>
    <x v="4"/>
    <s v="318D"/>
    <n v="3"/>
    <s v="Oficinas"/>
    <s v="Jefatura de Espiritualidad Franciscana "/>
    <s v="Oficinade Espiritualidad Franciscana Capellania "/>
    <s v="Procesos de apoyo"/>
    <n v="1"/>
    <n v="10.29"/>
    <d v="2022-05-30T00:00:00"/>
    <s v="No"/>
  </r>
  <r>
    <x v="0"/>
    <s v="CONSTRUIDA"/>
    <s v="Propiedad"/>
    <x v="4"/>
    <s v="318E"/>
    <n v="3"/>
    <s v="Oficinas"/>
    <s v="Jefatura de Espiritualidad Franciscana "/>
    <s v="Secretaria area de evangelizacion"/>
    <s v="DOCENCIA"/>
    <n v="1"/>
    <n v="10.27"/>
    <d v="2022-05-30T00:00:00"/>
    <s v="No"/>
  </r>
  <r>
    <x v="0"/>
    <s v="CONSTRUIDA"/>
    <s v="Propiedad"/>
    <x v="4"/>
    <s v="318F"/>
    <n v="3"/>
    <s v="Oficinas"/>
    <s v="Jefatura de Espiritualidad Franciscana "/>
    <s v="Area de Humanidades Dirección "/>
    <s v="DOCENCIA"/>
    <n v="1"/>
    <n v="15.92"/>
    <d v="2022-05-30T00:00:00"/>
    <s v="No"/>
  </r>
  <r>
    <x v="0"/>
    <s v="CONSTRUIDA"/>
    <s v="Propiedad"/>
    <x v="4"/>
    <s v="318F"/>
    <n v="3"/>
    <s v="Malla de circulación"/>
    <s v="Jefatura de Espiritualidad Franciscana "/>
    <s v="Sala de espera Escuela de Espiritualidad "/>
    <s v="Procesos de apoyo"/>
    <n v="6"/>
    <n v="9.94"/>
    <d v="2022-05-30T00:00:00"/>
    <s v="No"/>
  </r>
  <r>
    <x v="0"/>
    <s v="CONSTRUIDA"/>
    <s v="Propiedad"/>
    <x v="4"/>
    <m/>
    <n v="3"/>
    <s v="Servicios sanitarios privados"/>
    <s v="Vicerrectoría Administrativa Financiera "/>
    <s v="Baños damas Esp. Franciscana tercer piso"/>
    <s v="N/A"/>
    <n v="1"/>
    <n v="1.44"/>
    <d v="2022-05-30T00:00:00"/>
    <s v="No"/>
  </r>
  <r>
    <x v="0"/>
    <s v="CONSTRUIDA"/>
    <s v="Propiedad"/>
    <x v="4"/>
    <m/>
    <n v="3"/>
    <s v="Servicios sanitarios privados"/>
    <s v="Vicerrectoría Administrativa Financiera "/>
    <s v="Baños caballeros Esp. Franciscana tercer piso"/>
    <s v="N/A"/>
    <n v="1"/>
    <n v="1.44"/>
    <d v="2022-05-30T00:00:00"/>
    <s v="No"/>
  </r>
  <r>
    <x v="2"/>
    <s v="CONSTRUIDA"/>
    <s v="Propiedad"/>
    <x v="4"/>
    <m/>
    <n v="3"/>
    <s v="Malla de circulación"/>
    <s v="Vicerrectoría Administrativa Financiera "/>
    <s v="Pasillos Ed. Italia/ Ed. Holanda"/>
    <s v="N/A"/>
    <n v="95"/>
    <n v="191.23"/>
    <d v="2022-05-30T00:00:00"/>
    <s v="No"/>
  </r>
  <r>
    <x v="3"/>
    <s v="CONSTRUIDA"/>
    <s v="Propiedad"/>
    <x v="3"/>
    <s v="H401"/>
    <n v="4"/>
    <s v="Aulas"/>
    <s v="Centro de Recursos Educativos "/>
    <s v="Aula de Clases"/>
    <s v="DOCENCIA"/>
    <n v="30"/>
    <n v="36.450000000000003"/>
    <d v="2022-06-02T00:00:00"/>
    <s v="No"/>
  </r>
  <r>
    <x v="3"/>
    <s v="CONSTRUIDA"/>
    <s v="Propiedad"/>
    <x v="3"/>
    <s v="H402"/>
    <n v="4"/>
    <s v="Aulas"/>
    <s v="Centro de Recursos Educativos "/>
    <s v="Aula de clases (Mesas de dibujo)"/>
    <s v="DOCENCIA"/>
    <n v="24"/>
    <n v="55.06"/>
    <d v="2022-06-02T00:00:00"/>
    <s v="No"/>
  </r>
  <r>
    <x v="3"/>
    <s v="CONSTRUIDA"/>
    <s v="Propiedad"/>
    <x v="3"/>
    <s v="H403"/>
    <n v="4"/>
    <s v="Aulas"/>
    <s v="Centro de Recursos Educativos "/>
    <s v="Aula de clases (Mesas de dibujo)"/>
    <s v="DOCENCIA"/>
    <n v="30"/>
    <n v="79.86"/>
    <d v="2022-06-02T00:00:00"/>
    <s v="No"/>
  </r>
  <r>
    <x v="0"/>
    <s v="CONSTRUIDA"/>
    <s v="Propiedad"/>
    <x v="3"/>
    <s v="H404"/>
    <n v="4"/>
    <s v="Bodegas"/>
    <s v="Jefatura de Compras y Suministros "/>
    <s v="Bodega de compras"/>
    <s v="N/A"/>
    <n v="0"/>
    <n v="5.89"/>
    <d v="2022-06-02T00:00:00"/>
    <s v="No"/>
  </r>
  <r>
    <x v="0"/>
    <s v="CONSTRUIDA"/>
    <s v="Propiedad"/>
    <x v="3"/>
    <s v="H405"/>
    <n v="4"/>
    <s v="Cuartos técnicos"/>
    <s v="Coordinación de Redes y Comunicaciones "/>
    <s v="Cuarto técnico"/>
    <s v="N/A"/>
    <n v="0"/>
    <n v="5.74"/>
    <d v="2022-06-02T00:00:00"/>
    <s v="No"/>
  </r>
  <r>
    <x v="3"/>
    <s v="CONSTRUIDA"/>
    <s v="Propiedad"/>
    <x v="3"/>
    <s v="H406"/>
    <n v="4"/>
    <s v="Aulas"/>
    <s v="Centro de Recursos Educativos "/>
    <s v="Aula de Clase  con mesas de dibujo"/>
    <s v="DOCENCIA"/>
    <n v="32"/>
    <n v="72.81"/>
    <d v="2022-06-02T00:00:00"/>
    <s v="No"/>
  </r>
  <r>
    <x v="3"/>
    <s v="CONSTRUIDA"/>
    <s v="Propiedad"/>
    <x v="3"/>
    <s v="H407"/>
    <n v="4"/>
    <s v="Aulas"/>
    <s v="Centro de Recursos Educativos "/>
    <s v="Aula de Clase  con mesas de dibujo"/>
    <s v="DOCENCIA"/>
    <n v="40"/>
    <n v="75.099999999999994"/>
    <d v="2022-06-02T00:00:00"/>
    <s v="No"/>
  </r>
  <r>
    <x v="0"/>
    <s v="CONSTRUIDA"/>
    <s v="Propiedad"/>
    <x v="3"/>
    <s v="H408"/>
    <n v="4"/>
    <s v="Salas especializadas y de práctica"/>
    <s v="Centro de Recursos Educativos "/>
    <s v="ClÍnica Jurídica - Sala de docentes de derecho"/>
    <s v="DOCENCIA"/>
    <n v="5"/>
    <n v="21.78"/>
    <d v="2022-06-02T00:00:00"/>
    <s v="No"/>
  </r>
  <r>
    <x v="3"/>
    <s v="CONSTRUIDA"/>
    <s v="Propiedad"/>
    <x v="3"/>
    <s v="H409"/>
    <n v="4"/>
    <s v="Aulas"/>
    <s v="Centro de Recursos Educativos "/>
    <s v="Aula de Clases"/>
    <s v="DOCENCIA"/>
    <n v="38"/>
    <n v="39.729999999999997"/>
    <d v="2022-06-02T00:00:00"/>
    <s v="No"/>
  </r>
  <r>
    <x v="3"/>
    <s v="CONSTRUIDA"/>
    <s v="Propiedad"/>
    <x v="3"/>
    <m/>
    <n v="4"/>
    <s v="Servicios sanitarios públicos"/>
    <s v="Vicerrectoría Administrativa Financiera "/>
    <s v="Bateria de baños hombres "/>
    <s v="N/A"/>
    <n v="2"/>
    <n v="8.6300000000000008"/>
    <d v="2022-06-02T00:00:00"/>
    <s v="Si"/>
  </r>
  <r>
    <x v="3"/>
    <s v="CONSTRUIDA"/>
    <s v="Propiedad"/>
    <x v="3"/>
    <m/>
    <n v="4"/>
    <s v="Servicios sanitarios públicos"/>
    <s v="Vicerrectoría Administrativa Financiera "/>
    <s v="Bateria de baños mujeres"/>
    <s v="N/A"/>
    <n v="2"/>
    <n v="7.71"/>
    <d v="2022-06-02T00:00:00"/>
    <s v="Si"/>
  </r>
  <r>
    <x v="2"/>
    <s v="CONSTRUIDA"/>
    <s v="Propiedad"/>
    <x v="3"/>
    <m/>
    <n v="4"/>
    <s v="Escaleras"/>
    <s v="Coordinación de Planta Física y Mantenimiento "/>
    <s v="Escaleras"/>
    <s v="Procesos de apoyo"/>
    <n v="0"/>
    <n v="16.89"/>
    <d v="2022-06-02T00:00:00"/>
    <s v="Si"/>
  </r>
  <r>
    <x v="4"/>
    <s v="CONSTRUIDA"/>
    <s v="Propiedad"/>
    <x v="3"/>
    <m/>
    <n v="4"/>
    <s v="Cuartos de servicio"/>
    <s v="Vicerrectoría Administrativa Financiera "/>
    <s v="Oficina supergiros"/>
    <s v="Procesos de apoyo"/>
    <n v="2"/>
    <n v="15.15"/>
    <d v="2022-06-02T00:00:00"/>
    <s v="Si"/>
  </r>
  <r>
    <x v="2"/>
    <s v="CONSTRUIDA"/>
    <s v="Propiedad"/>
    <x v="3"/>
    <m/>
    <n v="4"/>
    <s v="Espacios de integración"/>
    <s v="Vicerrectoría Administrativa Financiera "/>
    <s v="Area de mesas "/>
    <s v="Procesos de apoyo"/>
    <n v="8"/>
    <n v="7.62"/>
    <d v="2022-06-02T00:00:00"/>
    <s v="Si"/>
  </r>
  <r>
    <x v="3"/>
    <s v="CONSTRUIDA"/>
    <s v="Propiedad"/>
    <x v="4"/>
    <s v="H410"/>
    <n v="4"/>
    <s v="Aulas"/>
    <s v="Centro de Recursos Educativos "/>
    <s v="Aula de Clase  con mesas de dibujo"/>
    <s v="DOCENCIA"/>
    <n v="45"/>
    <n v="63.47"/>
    <d v="2022-06-02T00:00:00"/>
    <s v="No"/>
  </r>
  <r>
    <x v="3"/>
    <s v="CONSTRUIDA"/>
    <s v="Propiedad"/>
    <x v="4"/>
    <s v="I411"/>
    <n v="4"/>
    <s v="Aulas"/>
    <s v="Centro de Recursos Educativos "/>
    <s v="Aula de Clases"/>
    <s v="DOCENCIA"/>
    <n v="28"/>
    <n v="38.020000000000003"/>
    <d v="2022-06-02T00:00:00"/>
    <s v="No"/>
  </r>
  <r>
    <x v="3"/>
    <s v="CONSTRUIDA"/>
    <s v="Propiedad"/>
    <x v="4"/>
    <s v="I412"/>
    <n v="4"/>
    <s v="Aulas"/>
    <s v="Centro de Recursos Educativos "/>
    <s v="Aula de Clases"/>
    <s v="DOCENCIA"/>
    <n v="30"/>
    <n v="41.63"/>
    <d v="2022-06-02T00:00:00"/>
    <s v="No"/>
  </r>
  <r>
    <x v="3"/>
    <s v="CONSTRUIDA"/>
    <s v="Propiedad"/>
    <x v="4"/>
    <s v="I413"/>
    <n v="4"/>
    <s v="Aulas"/>
    <s v="Centro de Recursos Educativos "/>
    <s v="Aula de Clases"/>
    <s v="DOCENCIA"/>
    <n v="48"/>
    <n v="55.03"/>
    <d v="2022-06-02T00:00:00"/>
    <s v="No"/>
  </r>
  <r>
    <x v="3"/>
    <s v="CONSTRUIDA"/>
    <s v="Propiedad"/>
    <x v="4"/>
    <s v="I416"/>
    <n v="4"/>
    <s v="Aulas"/>
    <s v="Centro de Recursos Educativos "/>
    <s v="Aula de Clases"/>
    <s v="DOCENCIA"/>
    <n v="48"/>
    <n v="49.99"/>
    <d v="2022-06-02T00:00:00"/>
    <s v="No"/>
  </r>
  <r>
    <x v="3"/>
    <s v="CONSTRUIDA"/>
    <s v="Propiedad"/>
    <x v="4"/>
    <s v="I417"/>
    <n v="4"/>
    <s v="Aulas"/>
    <s v="Centro de Recursos Educativos "/>
    <s v="Aula de Clases"/>
    <s v="DOCENCIA"/>
    <n v="48"/>
    <n v="49.5"/>
    <d v="2022-06-02T00:00:00"/>
    <s v="No"/>
  </r>
  <r>
    <x v="3"/>
    <s v="CONSTRUIDA"/>
    <s v="Propiedad"/>
    <x v="4"/>
    <s v="I418"/>
    <n v="4"/>
    <s v="Aulas"/>
    <s v="Centro de Recursos Educativos "/>
    <s v="Aula de Clases"/>
    <s v="DOCENCIA"/>
    <n v="45"/>
    <n v="50.13"/>
    <d v="2022-06-02T00:00:00"/>
    <s v="No"/>
  </r>
  <r>
    <x v="0"/>
    <s v="CONSTRUIDA"/>
    <s v="Propiedad"/>
    <x v="4"/>
    <s v="I419"/>
    <n v="4"/>
    <s v="Oficinas"/>
    <s v="Decanatura Facultad de Ingenierías"/>
    <s v="Oficinas Secretarías de programa de la Facultad de Ingeniería"/>
    <s v="DOCENCIA"/>
    <n v="3"/>
    <n v="15.34"/>
    <d v="2022-06-02T00:00:00"/>
    <s v="No"/>
  </r>
  <r>
    <x v="0"/>
    <s v="CONSTRUIDA"/>
    <s v="Propiedad"/>
    <x v="4"/>
    <s v="I420"/>
    <n v="4"/>
    <s v="Oficinas"/>
    <s v="Decanatura Facultad de Ingenierías"/>
    <s v="Oficina Decanatura"/>
    <s v="DOCENCIA"/>
    <n v="3"/>
    <n v="16.66"/>
    <d v="2022-06-02T00:00:00"/>
    <s v="No"/>
  </r>
  <r>
    <x v="3"/>
    <s v="CONSTRUIDA"/>
    <s v="Propiedad"/>
    <x v="4"/>
    <s v="I421"/>
    <n v="4"/>
    <s v="Salas de reunión"/>
    <s v="Decanatura Facultad de Ingenierías"/>
    <s v="Sala de Juntas"/>
    <s v="DOCENCIA"/>
    <n v="3"/>
    <n v="10.57"/>
    <d v="2022-06-02T00:00:00"/>
    <s v="No"/>
  </r>
  <r>
    <x v="3"/>
    <s v="CONSTRUIDA"/>
    <s v="Propiedad"/>
    <x v="4"/>
    <m/>
    <n v="4"/>
    <s v="Oficinas"/>
    <s v="Programa de Ingeniería Electrónica"/>
    <s v="Oficina Dirección Ing. Electrónica"/>
    <s v="DOCENCIA"/>
    <n v="3"/>
    <n v="7.59"/>
    <d v="2022-06-02T00:00:00"/>
    <s v="No"/>
  </r>
  <r>
    <x v="3"/>
    <s v="CONSTRUIDA"/>
    <s v="Propiedad"/>
    <x v="4"/>
    <m/>
    <n v="4"/>
    <s v="Salas de Tutores (salas de profesores)"/>
    <s v="Decanatura Facultad de Ingenierías"/>
    <s v="Sala de Docentes Facultad de Ingeniería"/>
    <s v="DOCENCIA"/>
    <n v="18"/>
    <n v="39.15"/>
    <d v="2022-06-02T00:00:00"/>
    <s v="No"/>
  </r>
  <r>
    <x v="3"/>
    <s v="CONSTRUIDA"/>
    <s v="Propiedad"/>
    <x v="4"/>
    <m/>
    <n v="4"/>
    <s v="Malla de circulación"/>
    <s v="N/A"/>
    <s v="DECANATURA DE INGENIERÍA "/>
    <s v="Procesos de apoyo"/>
    <n v="5"/>
    <n v="11.75"/>
    <d v="2022-06-02T00:00:00"/>
    <s v="No"/>
  </r>
  <r>
    <x v="0"/>
    <s v="CONSTRUIDA"/>
    <s v="Propiedad"/>
    <x v="4"/>
    <m/>
    <n v="4"/>
    <s v="Cuartos de servicio"/>
    <s v="Jefatura de Compras y Suministros "/>
    <s v="SECRETARIAS DE LA FACULTAD"/>
    <s v="N/A"/>
    <n v="0"/>
    <n v="5.09"/>
    <d v="2022-06-02T00:00:00"/>
    <s v="No"/>
  </r>
  <r>
    <x v="0"/>
    <s v="CONSTRUIDA"/>
    <s v="Propiedad"/>
    <x v="4"/>
    <m/>
    <n v="4"/>
    <s v="Cuartos de servicio"/>
    <s v="Programa de Ingeniería de Sistemas"/>
    <s v="DIRECCION DE SISTEMAS O IN. F D"/>
    <s v="N/A"/>
    <n v="0"/>
    <n v="5.14"/>
    <d v="2022-06-02T00:00:00"/>
    <s v="No"/>
  </r>
  <r>
    <x v="0"/>
    <s v="CONSTRUIDA"/>
    <s v="Propiedad"/>
    <x v="4"/>
    <m/>
    <n v="4"/>
    <s v="Servicios sanitarios privados"/>
    <s v="Decanatura Facultad de Ingenierías"/>
    <s v="Baños"/>
    <s v="N/A"/>
    <n v="1"/>
    <n v="1.44"/>
    <d v="2022-06-02T00:00:00"/>
    <s v="No"/>
  </r>
  <r>
    <x v="0"/>
    <s v="CONSTRUIDA"/>
    <s v="Propiedad"/>
    <x v="4"/>
    <m/>
    <n v="4"/>
    <s v="Servicios sanitarios privados"/>
    <s v="Decanatura Facultad de Ingenierías"/>
    <s v="Baños"/>
    <s v="N/A"/>
    <n v="1"/>
    <n v="1.44"/>
    <d v="2022-06-02T00:00:00"/>
    <s v="No"/>
  </r>
  <r>
    <x v="2"/>
    <s v="CONSTRUIDA"/>
    <s v="Propiedad"/>
    <x v="4"/>
    <m/>
    <n v="4"/>
    <s v="Malla de circulación"/>
    <s v="Vicerrectoría Administrativa Financiera "/>
    <s v="DECANATURA DE INGENIERÍA SALA DE ESPERA"/>
    <s v="Procesos de apoyo"/>
    <n v="0"/>
    <n v="10.92"/>
    <d v="2022-06-02T00:00:00"/>
    <s v="No"/>
  </r>
  <r>
    <x v="2"/>
    <s v="CONSTRUIDA"/>
    <s v="Propiedad"/>
    <x v="4"/>
    <m/>
    <n v="4"/>
    <s v="Malla de circulación"/>
    <s v="Vicerrectoría Administrativa Financiera "/>
    <s v="Pasillos cuarto piso"/>
    <s v="N/A"/>
    <n v="0"/>
    <n v="189.14"/>
    <d v="2022-06-02T00:00:00"/>
    <s v="No"/>
  </r>
  <r>
    <x v="3"/>
    <s v="CONSTRUIDA"/>
    <s v="Propiedad"/>
    <x v="3"/>
    <s v="H501"/>
    <n v="5"/>
    <s v="Aulas"/>
    <s v="Centro de Recursos Educativos "/>
    <s v="Aula de Clases"/>
    <s v="DOCENCIA"/>
    <n v="30"/>
    <n v="36.450000000000003"/>
    <d v="2022-06-06T00:00:00"/>
    <s v="No"/>
  </r>
  <r>
    <x v="3"/>
    <s v="CONSTRUIDA"/>
    <s v="Propiedad"/>
    <x v="3"/>
    <s v="H502"/>
    <n v="5"/>
    <s v="Aulas"/>
    <s v="Centro de Recursos Educativos "/>
    <s v="Aula de Clase  con mesas de dibujo"/>
    <s v="DOCENCIA"/>
    <n v="24"/>
    <n v="55.06"/>
    <d v="2022-06-06T00:00:00"/>
    <s v="No"/>
  </r>
  <r>
    <x v="3"/>
    <s v="CONSTRUIDA"/>
    <s v="Propiedad"/>
    <x v="3"/>
    <s v="H503"/>
    <n v="5"/>
    <s v="Aulas"/>
    <s v="Centro de Recursos Educativos "/>
    <s v="Aula de Clase  con mesas de dibujo"/>
    <s v="DOCENCIA"/>
    <n v="30"/>
    <n v="79.86"/>
    <d v="2022-06-06T00:00:00"/>
    <s v="No"/>
  </r>
  <r>
    <x v="3"/>
    <s v="CONSTRUIDA"/>
    <s v="Propiedad"/>
    <x v="3"/>
    <s v="H505"/>
    <n v="5"/>
    <s v="Aulas"/>
    <s v="Centro de Recursos Educativos "/>
    <s v="Aula de Clase  con mesas de dibujo"/>
    <s v="DOCENCIA"/>
    <n v="32"/>
    <n v="72.81"/>
    <d v="2022-06-06T00:00:00"/>
    <s v="No"/>
  </r>
  <r>
    <x v="3"/>
    <s v="CONSTRUIDA"/>
    <s v="Propiedad"/>
    <x v="3"/>
    <s v="H506"/>
    <n v="5"/>
    <s v="Aulas"/>
    <s v="Centro de Recursos Educativos "/>
    <s v="Aula de Clases"/>
    <s v="DOCENCIA"/>
    <n v="40"/>
    <n v="75.099999999999994"/>
    <d v="2022-06-06T00:00:00"/>
    <s v="No"/>
  </r>
  <r>
    <x v="0"/>
    <s v="CONSTRUIDA"/>
    <s v="Propiedad"/>
    <x v="3"/>
    <s v="H508"/>
    <n v="5"/>
    <s v="Oficinas"/>
    <s v="Coordinación de Redes y Comunicaciones "/>
    <s v="Coordinación técnico y auxiliar  de redes y comunicaciones "/>
    <s v="Procesos de apoyo"/>
    <n v="3"/>
    <n v="33.15"/>
    <d v="2022-06-06T00:00:00"/>
    <s v="No"/>
  </r>
  <r>
    <x v="0"/>
    <s v="CONSTRUIDA"/>
    <s v="Propiedad"/>
    <x v="3"/>
    <m/>
    <n v="5"/>
    <s v="Oficinas"/>
    <s v="Jefatura Administriva de Proyectos "/>
    <s v="Secretaria y oficina de proyectos"/>
    <s v="DOCENCIA"/>
    <n v="4"/>
    <n v="20.73"/>
    <d v="2022-06-06T00:00:00"/>
    <s v="No"/>
  </r>
  <r>
    <x v="0"/>
    <s v="CONSTRUIDA"/>
    <s v="Propiedad"/>
    <x v="4"/>
    <m/>
    <n v="5"/>
    <s v="Laboratorios Especializados"/>
    <s v="Jefatura de Comunicaciones Publicidad y Mercadeo "/>
    <s v="Acceso radio y television / cabina de radio / edicion"/>
    <s v="Procesos de apoyo"/>
    <n v="10"/>
    <n v="50.99"/>
    <d v="2022-06-06T00:00:00"/>
    <s v="No"/>
  </r>
  <r>
    <x v="0"/>
    <s v="CONSTRUIDA"/>
    <s v="Propiedad"/>
    <x v="3"/>
    <m/>
    <n v="5"/>
    <s v="Servicios sanitarios públicos"/>
    <s v="Vicerrectoría Administrativa Financiera "/>
    <s v="Bateria de baños hombres "/>
    <s v="N/A"/>
    <n v="2"/>
    <n v="8.6300000000000008"/>
    <d v="2022-06-06T00:00:00"/>
    <s v="Si"/>
  </r>
  <r>
    <x v="0"/>
    <s v="CONSTRUIDA"/>
    <s v="Propiedad"/>
    <x v="3"/>
    <m/>
    <n v="5"/>
    <s v="Servicios sanitarios públicos"/>
    <s v="Vicerrectoría Administrativa Financiera "/>
    <s v="Bateria de baños mujeres"/>
    <s v="N/A"/>
    <n v="2"/>
    <n v="7.71"/>
    <d v="2022-06-06T00:00:00"/>
    <s v="Si"/>
  </r>
  <r>
    <x v="2"/>
    <s v="CONSTRUIDA"/>
    <s v="Propiedad"/>
    <x v="3"/>
    <m/>
    <n v="5"/>
    <s v="Malla de circulación"/>
    <s v="Coordinación de Planta Física y Mantenimiento "/>
    <s v="Punto fijo central"/>
    <s v="Procesos de apoyo"/>
    <n v="0"/>
    <n v="16.89"/>
    <d v="2022-06-06T00:00:00"/>
    <s v="Si"/>
  </r>
  <r>
    <x v="3"/>
    <s v="CONSTRUIDA"/>
    <s v="Propiedad"/>
    <x v="4"/>
    <n v="509"/>
    <n v="5"/>
    <s v="Laboratorios Especializados"/>
    <s v="Programa de Psicología"/>
    <s v="Pendiente por asignar"/>
    <s v="DOCENCIA"/>
    <n v="10"/>
    <n v="55.56"/>
    <d v="2022-06-06T00:00:00"/>
    <s v="No"/>
  </r>
  <r>
    <x v="3"/>
    <s v="CONSTRUIDA"/>
    <s v="Propiedad"/>
    <x v="4"/>
    <n v="510"/>
    <n v="5"/>
    <s v="Oficinas"/>
    <s v="Centro de Recursos Educativos "/>
    <s v="Sala de pruebas/psicologicas"/>
    <s v="DOCENCIA"/>
    <n v="46"/>
    <n v="44.46"/>
    <d v="2022-06-06T00:00:00"/>
    <s v="No"/>
  </r>
  <r>
    <x v="3"/>
    <s v="CONSTRUIDA"/>
    <s v="Propiedad"/>
    <x v="4"/>
    <n v="511"/>
    <n v="5"/>
    <s v="Laboratorios Especializados"/>
    <s v="Programa de Psicología"/>
    <s v="Laboratorio de pruebas"/>
    <s v="DOCENCIA"/>
    <n v="20"/>
    <n v="9.0299999999999994"/>
    <d v="2022-06-06T00:00:00"/>
    <s v="No"/>
  </r>
  <r>
    <x v="3"/>
    <s v="CONSTRUIDA"/>
    <s v="Propiedad"/>
    <x v="3"/>
    <m/>
    <n v="5"/>
    <s v="Consultorios"/>
    <s v="Programa de Psicología"/>
    <s v="CAMARA DE GESSEL"/>
    <s v="Procesos de apoyo"/>
    <n v="3"/>
    <n v="9.18"/>
    <d v="2022-06-06T00:00:00"/>
    <s v="No"/>
  </r>
  <r>
    <x v="3"/>
    <s v="CONSTRUIDA"/>
    <s v="Propiedad"/>
    <x v="4"/>
    <n v="512"/>
    <n v="5"/>
    <s v="Salas especializadas y de práctica"/>
    <s v="Programa de Psicología"/>
    <s v="CAMARA DE GESSEL"/>
    <s v="DOCENCIA"/>
    <n v="50"/>
    <n v="84.17"/>
    <d v="2022-06-06T00:00:00"/>
    <s v="No"/>
  </r>
  <r>
    <x v="0"/>
    <s v="CONSTRUIDA"/>
    <s v="Propiedad"/>
    <x v="4"/>
    <n v="514"/>
    <n v="5"/>
    <s v="Oficinas"/>
    <s v="Programa de Derecho"/>
    <s v="Oficina secretaría dirección y preparatorios "/>
    <s v="DOCENCIA"/>
    <n v="2"/>
    <n v="17.62"/>
    <d v="2022-06-06T00:00:00"/>
    <s v="No"/>
  </r>
  <r>
    <x v="3"/>
    <s v="CONSTRUIDA"/>
    <s v="Propiedad"/>
    <x v="4"/>
    <n v="515"/>
    <n v="5"/>
    <s v="Salas de Tutores (salas de profesores)"/>
    <s v="Programa de Derecho"/>
    <s v="Sala de docentes TC programa de derecho"/>
    <s v="DOCENCIA"/>
    <n v="27"/>
    <n v="54.11"/>
    <d v="2022-06-06T00:00:00"/>
    <s v="No"/>
  </r>
  <r>
    <x v="3"/>
    <s v="CONSTRUIDA"/>
    <s v="Propiedad"/>
    <x v="4"/>
    <n v="516"/>
    <n v="5"/>
    <s v="Salas de Tutores (salas de profesores)"/>
    <s v="Programa de Psicología"/>
    <s v="Sala de Docentes TC Y MT programa de Psicología "/>
    <s v="DOCENCIA"/>
    <n v="29"/>
    <n v="54.89"/>
    <d v="2022-06-06T00:00:00"/>
    <s v="No"/>
  </r>
  <r>
    <x v="0"/>
    <s v="CONSTRUIDA"/>
    <s v="Propiedad"/>
    <x v="4"/>
    <n v="517"/>
    <n v="5"/>
    <s v="Oficinas"/>
    <s v="Programa de Psicología"/>
    <s v="Oficina Dirección de programa "/>
    <s v="DOCENCIA"/>
    <n v="5"/>
    <n v="12.1"/>
    <d v="2022-06-06T00:00:00"/>
    <s v="No"/>
  </r>
  <r>
    <x v="0"/>
    <s v="CONSTRUIDA"/>
    <s v="Propiedad"/>
    <x v="4"/>
    <n v="517"/>
    <n v="5"/>
    <s v="Oficinas"/>
    <s v="Programa de Psicología"/>
    <s v="Oficina coordinación académica"/>
    <s v="DOCENCIA"/>
    <n v="5"/>
    <n v="13.55"/>
    <d v="2022-06-06T00:00:00"/>
    <s v="No"/>
  </r>
  <r>
    <x v="0"/>
    <s v="CONSTRUIDA"/>
    <s v="Propiedad"/>
    <x v="4"/>
    <n v="517"/>
    <n v="5"/>
    <s v="Oficinas"/>
    <s v="Programa de Psicología"/>
    <s v="Oficina coordinación de práctica "/>
    <s v="DOCENCIA"/>
    <n v="5"/>
    <n v="4.13"/>
    <d v="2022-06-06T00:00:00"/>
    <s v="No"/>
  </r>
  <r>
    <x v="0"/>
    <s v="CONSTRUIDA"/>
    <s v="Propiedad"/>
    <x v="4"/>
    <n v="517"/>
    <n v="5"/>
    <s v="Oficinas"/>
    <s v="Programa de Psicología"/>
    <s v="Oficina secretaría de programa "/>
    <s v="DOCENCIA"/>
    <n v="5"/>
    <n v="17.62"/>
    <d v="2022-06-06T00:00:00"/>
    <s v="No"/>
  </r>
  <r>
    <x v="0"/>
    <s v="CONSTRUIDA"/>
    <s v="Propiedad"/>
    <x v="4"/>
    <n v="518"/>
    <n v="5"/>
    <s v="Oficinas"/>
    <s v="Programa de Derecho"/>
    <s v="Coordinador académico y coordinador Preparatorios "/>
    <s v="DOCENCIA"/>
    <n v="2"/>
    <n v="16.96"/>
    <d v="2022-06-06T00:00:00"/>
    <s v="No"/>
  </r>
  <r>
    <x v="0"/>
    <s v="CONSTRUIDA"/>
    <s v="Propiedad"/>
    <x v="4"/>
    <n v="519"/>
    <n v="5"/>
    <s v="Oficinas"/>
    <s v="Decanatura Ciencias Humanas y Sociales"/>
    <s v="Oficina Decano Facultad "/>
    <s v="DOCENCIA"/>
    <n v="1"/>
    <n v="19.95"/>
    <d v="2022-06-06T00:00:00"/>
    <s v="No"/>
  </r>
  <r>
    <x v="0"/>
    <s v="CONSTRUIDA"/>
    <s v="Propiedad"/>
    <x v="4"/>
    <m/>
    <n v="5"/>
    <s v="Oficinas"/>
    <s v="Decanatura Ciencias Humanas y Sociales"/>
    <s v="Oficina Secretaría Facultad"/>
    <s v="DOCENCIA"/>
    <n v="1"/>
    <n v="8.01"/>
    <d v="2022-06-06T00:00:00"/>
    <s v="No"/>
  </r>
  <r>
    <x v="0"/>
    <s v="CONSTRUIDA"/>
    <s v="Propiedad"/>
    <x v="4"/>
    <n v="520"/>
    <n v="5"/>
    <s v="Oficinas"/>
    <s v="Programa de Derecho"/>
    <s v="OficinaDirección programa de derecho"/>
    <s v="DOCENCIA"/>
    <n v="1"/>
    <n v="18.27"/>
    <d v="2022-06-06T00:00:00"/>
    <s v="No"/>
  </r>
  <r>
    <x v="0"/>
    <s v="CONSTRUIDA"/>
    <s v="Propiedad"/>
    <x v="4"/>
    <s v="502A"/>
    <n v="5"/>
    <s v="Cuartos de servicio"/>
    <s v="Vicerrectoría Administrativa Financiera "/>
    <s v="Bodega"/>
    <s v="N/A"/>
    <n v="0"/>
    <n v="5.63"/>
    <d v="2022-06-06T00:00:00"/>
    <s v="No"/>
  </r>
  <r>
    <x v="0"/>
    <s v="CONSTRUIDA"/>
    <s v="Propiedad"/>
    <x v="3"/>
    <s v="502B"/>
    <n v="5"/>
    <s v="Cuartos técnicos"/>
    <s v="Coordinación de Redes y Comunicaciones "/>
    <s v="Cuarto técnico "/>
    <s v="N/A"/>
    <n v="0"/>
    <n v="6.8"/>
    <d v="2022-06-06T00:00:00"/>
    <s v="No"/>
  </r>
  <r>
    <x v="0"/>
    <s v="CONSTRUIDA"/>
    <s v="Propiedad"/>
    <x v="3"/>
    <s v="502A"/>
    <n v="5"/>
    <s v="Cuartos técnicos"/>
    <s v="Coordinación de Redes y Comunicaciones "/>
    <s v="Cuarto técnico "/>
    <s v="N/A"/>
    <n v="0"/>
    <n v="6.85"/>
    <d v="2022-06-06T00:00:00"/>
    <s v="No"/>
  </r>
  <r>
    <x v="0"/>
    <s v="CONSTRUIDA"/>
    <s v="Propiedad"/>
    <x v="4"/>
    <s v="512A"/>
    <n v="5"/>
    <s v="Cuartos de servicio"/>
    <s v="Vicerrectoría Administrativa Financiera "/>
    <s v="Bodega de auxiliares "/>
    <s v="N/A"/>
    <n v="0"/>
    <n v="4.17"/>
    <d v="2022-06-06T00:00:00"/>
    <s v="No"/>
  </r>
  <r>
    <x v="0"/>
    <s v="CONSTRUIDA"/>
    <s v="Propiedad"/>
    <x v="4"/>
    <s v="518A"/>
    <n v="5"/>
    <s v="Oficinas"/>
    <s v="Programa de Derecho"/>
    <s v="Coordinación centro de Investigación SocioJurídica CIS"/>
    <s v="DOCENCIA"/>
    <n v="3"/>
    <n v="19.41"/>
    <d v="2022-06-06T00:00:00"/>
    <s v="No"/>
  </r>
  <r>
    <x v="2"/>
    <s v="CONSTRUIDA"/>
    <s v="Propiedad"/>
    <x v="4"/>
    <m/>
    <n v="5"/>
    <s v="Malla de circulación"/>
    <s v="Vicerrectoría Administrativa Financiera "/>
    <s v="Pasillos quinto piso  "/>
    <s v="N/A"/>
    <n v="40"/>
    <n v="121.68"/>
    <d v="2022-06-06T00:00:00"/>
    <s v="No"/>
  </r>
  <r>
    <x v="0"/>
    <s v="CONSTRUIDA"/>
    <s v="Propiedad"/>
    <x v="3"/>
    <n v="600"/>
    <n v="6"/>
    <s v="Oficinas"/>
    <s v="Centro de Recursos Educativos "/>
    <s v="Oficina Laboratorista del CRE"/>
    <s v="Procesos de apoyo"/>
    <n v="2"/>
    <n v="10.79"/>
    <d v="2022-06-06T00:00:00"/>
    <s v="No"/>
  </r>
  <r>
    <x v="0"/>
    <s v="CONSTRUIDA"/>
    <s v="Propiedad"/>
    <x v="3"/>
    <s v="600a"/>
    <n v="6"/>
    <s v="Cuartos de servicio"/>
    <s v="Centro de Recursos Educativos "/>
    <s v="Bodega"/>
    <s v="N/A"/>
    <n v="0"/>
    <n v="5.58"/>
    <d v="2022-06-06T00:00:00"/>
    <s v="No"/>
  </r>
  <r>
    <x v="3"/>
    <s v="CONSTRUIDA"/>
    <s v="Propiedad"/>
    <x v="3"/>
    <m/>
    <n v="6"/>
    <s v="Laboratorios Especializados"/>
    <s v="Centro de Recursos Educativos "/>
    <s v="Laboratorio de física  "/>
    <s v="DOCENCIA"/>
    <n v="30"/>
    <n v="97.36"/>
    <d v="2022-06-06T00:00:00"/>
    <s v="No"/>
  </r>
  <r>
    <x v="3"/>
    <s v="CONSTRUIDA"/>
    <s v="Propiedad"/>
    <x v="3"/>
    <m/>
    <n v="6"/>
    <s v="Laboratorios Especializados"/>
    <s v="Centro de Recursos Educativos "/>
    <s v="Laboratorio San Buenaventura"/>
    <s v="DOCENCIA"/>
    <n v="37"/>
    <n v="94.38"/>
    <d v="2022-06-06T00:00:00"/>
    <s v="No"/>
  </r>
  <r>
    <x v="0"/>
    <s v="CONSTRUIDA"/>
    <s v="Propiedad"/>
    <x v="3"/>
    <m/>
    <n v="6"/>
    <s v="Oficinas"/>
    <s v="Programa de Ingeniería Electrónica"/>
    <s v="Oficina grupo de investigacion "/>
    <s v="DOCENCIA"/>
    <n v="1"/>
    <n v="10.79"/>
    <d v="2022-06-06T00:00:00"/>
    <s v="No"/>
  </r>
  <r>
    <x v="5"/>
    <s v="CONSTRUIDA"/>
    <s v="Propiedad"/>
    <x v="3"/>
    <m/>
    <n v="6"/>
    <s v="Oficinas"/>
    <s v="Programa de Ingeniería Electrónica"/>
    <s v="prototipado grupo rampa"/>
    <s v="Procesos de apoyo"/>
    <n v="1"/>
    <n v="7.87"/>
    <d v="2022-06-06T00:00:00"/>
    <s v="No"/>
  </r>
  <r>
    <x v="0"/>
    <s v="CONSTRUIDA"/>
    <s v="Propiedad"/>
    <x v="3"/>
    <m/>
    <n v="6"/>
    <s v="Cuartos técnicos"/>
    <s v="Coordinación de Redes y Comunicaciones "/>
    <s v="Cuarto técnico "/>
    <s v="N/A"/>
    <n v="0"/>
    <n v="7.91"/>
    <d v="2022-06-06T00:00:00"/>
    <s v="No"/>
  </r>
  <r>
    <x v="0"/>
    <s v="CONSTRUIDA"/>
    <s v="Propiedad"/>
    <x v="3"/>
    <n v="602"/>
    <n v="6"/>
    <s v="Cuartos de servicio"/>
    <s v="Vicerrectoría Administrativa Financiera "/>
    <s v="Bodega "/>
    <s v="N/A"/>
    <n v="0"/>
    <n v="7.74"/>
    <d v="2022-06-06T00:00:00"/>
    <s v="No"/>
  </r>
  <r>
    <x v="0"/>
    <s v="CONSTRUIDA"/>
    <s v="Propiedad"/>
    <x v="3"/>
    <n v="603"/>
    <n v="6"/>
    <s v="Cuartos técnicos"/>
    <s v="Coordinación de Planta Física y Mantenimiento "/>
    <s v="Cuarto Técnico - electrico"/>
    <s v="N/A"/>
    <n v="0"/>
    <n v="7.17"/>
    <d v="2022-06-06T00:00:00"/>
    <s v="No"/>
  </r>
  <r>
    <x v="2"/>
    <s v="CONSTRUIDA"/>
    <s v="Propiedad"/>
    <x v="3"/>
    <m/>
    <n v="6"/>
    <s v="Malla de circulación"/>
    <s v="Vicerrectoría Administrativa Financiera "/>
    <s v="Pasillos sexto piso "/>
    <s v="N/A"/>
    <n v="0"/>
    <n v="46.46"/>
    <d v="2022-06-06T00:00:00"/>
    <s v="Si"/>
  </r>
  <r>
    <x v="0"/>
    <s v="CONSTRUIDA"/>
    <s v="Propiedad"/>
    <x v="4"/>
    <m/>
    <n v="6"/>
    <s v="Espacios de integración"/>
    <s v="Vicerrectoría Administrativa Financiera "/>
    <s v="Cocina / cafetería Alvernia "/>
    <s v="Procesos de apoyo"/>
    <n v="2"/>
    <n v="15.82"/>
    <d v="2022-06-06T00:00:00"/>
    <s v="No"/>
  </r>
  <r>
    <x v="0"/>
    <s v="CONSTRUIDA"/>
    <s v="Propiedad"/>
    <x v="4"/>
    <m/>
    <n v="6"/>
    <s v="Espacios de integración"/>
    <s v="Vicerrectoría Administrativa Financiera "/>
    <s v="Cocina / cafetería Alvernia "/>
    <s v="Procesos de apoyo"/>
    <n v="1"/>
    <n v="4.68"/>
    <d v="2022-06-06T00:00:00"/>
    <s v="No"/>
  </r>
  <r>
    <x v="1"/>
    <s v="CONSTRUIDA"/>
    <s v="Propiedad"/>
    <x v="4"/>
    <m/>
    <n v="6"/>
    <s v="Espacios de integración"/>
    <s v="Vicerrectoría Administrativa Financiera "/>
    <s v="Terraza Alvernia "/>
    <s v="Procesos de apoyo"/>
    <n v="60"/>
    <n v="240.74"/>
    <d v="2022-06-06T00:00:00"/>
    <s v="Si"/>
  </r>
  <r>
    <x v="2"/>
    <s v="CONSTRUIDA"/>
    <s v="Propiedad"/>
    <x v="5"/>
    <m/>
    <s v="Sotano"/>
    <s v="Malla de circulación"/>
    <s v="Vicerrectoría Administrativa Financiera "/>
    <s v="Sotano"/>
    <s v="N/A"/>
    <n v="0"/>
    <n v="398.16"/>
    <m/>
    <s v="No"/>
  </r>
  <r>
    <x v="6"/>
    <s v="CONSTRUIDA"/>
    <s v="Propiedad"/>
    <x v="5"/>
    <m/>
    <s v="Sotano"/>
    <s v="Parqueaderos"/>
    <s v="Vicerrectoría Administrativa Financiera "/>
    <s v="Parqueadero vias"/>
    <s v="N/A"/>
    <n v="38"/>
    <n v="477"/>
    <m/>
    <m/>
  </r>
  <r>
    <x v="6"/>
    <s v="CONSTRUIDA"/>
    <s v="Propiedad"/>
    <x v="5"/>
    <m/>
    <s v="Sotano"/>
    <s v="Parqueaderos"/>
    <s v="Vicerrectoría Administrativa Financiera "/>
    <s v="Parqueadero"/>
    <s v="N/A"/>
    <n v="0"/>
    <n v="395.39"/>
    <d v="2022-01-29T00:00:00"/>
    <m/>
  </r>
  <r>
    <x v="2"/>
    <s v="CONSTRUIDA"/>
    <s v="Propiedad"/>
    <x v="2"/>
    <m/>
    <s v="Sotano"/>
    <s v="Oficinas"/>
    <s v="Jefatura de Seguridad y Salud en Trabajo "/>
    <s v="Traslado de mobiliaria"/>
    <s v="N/A"/>
    <m/>
    <m/>
    <d v="2022-06-07T00:00:00"/>
    <s v="No"/>
  </r>
  <r>
    <x v="2"/>
    <s v="CONSTRUIDA"/>
    <s v="Propiedad"/>
    <x v="3"/>
    <m/>
    <s v="Sotano"/>
    <s v="Oficinas"/>
    <s v="Vicerrectoría Académica"/>
    <s v="Traslado de mobiliaria"/>
    <s v="N/A"/>
    <m/>
    <m/>
    <d v="2022-06-07T00:00:00"/>
    <s v="No"/>
  </r>
  <r>
    <x v="0"/>
    <s v="CONSTRUIDA"/>
    <s v="Propiedad"/>
    <x v="5"/>
    <m/>
    <s v="Sotano"/>
    <s v="Cuartos de servicio"/>
    <s v="Coordinación de Planta Física y Mantenimiento "/>
    <s v="Taller Carpintería"/>
    <s v="Procesos de apoyo"/>
    <n v="1"/>
    <n v="62.43"/>
    <d v="2021-07-16T00:00:00"/>
    <s v="No"/>
  </r>
  <r>
    <x v="0"/>
    <s v="CONSTRUIDA"/>
    <s v="Propiedad"/>
    <x v="5"/>
    <m/>
    <s v="Sotano"/>
    <s v="Cuartos de servicio"/>
    <s v="Coordinación de Planta Física y Mantenimiento "/>
    <s v="Taller mantenimiento"/>
    <s v="Procesos de apoyo"/>
    <n v="1"/>
    <n v="10.85"/>
    <d v="2021-07-16T00:00:00"/>
    <s v="No"/>
  </r>
  <r>
    <x v="0"/>
    <s v="CONSTRUIDA"/>
    <s v="Propiedad"/>
    <x v="5"/>
    <m/>
    <s v="Sotano"/>
    <s v="Cuartos de servicio"/>
    <s v="Coordinación de Planta Física y Mantenimiento "/>
    <s v="Taller Artístico"/>
    <s v="Procesos de apoyo"/>
    <n v="1"/>
    <n v="10.85"/>
    <d v="2021-07-16T00:00:00"/>
    <s v="No"/>
  </r>
  <r>
    <x v="0"/>
    <s v="CONSTRUIDA"/>
    <s v="Propiedad"/>
    <x v="5"/>
    <m/>
    <s v="Sotano"/>
    <s v="Cuartos de servicio"/>
    <s v="Coordinación de Planta Física y Mantenimiento "/>
    <s v="Zona planta electrica"/>
    <s v="Procesos de apoyo"/>
    <n v="1"/>
    <n v="13.18"/>
    <d v="2021-07-16T00:00:00"/>
    <s v="No"/>
  </r>
  <r>
    <x v="0"/>
    <s v="CONSTRUIDA"/>
    <s v="Propiedad"/>
    <x v="5"/>
    <m/>
    <s v="Sotano"/>
    <s v="Cuartos técnicos"/>
    <s v="Coordinación de Planta Física y Mantenimiento "/>
    <s v="Cuarto tecnico -  hidraulico  - bombas"/>
    <s v="Procesos de apoyo"/>
    <n v="1"/>
    <n v="23.71"/>
    <d v="2021-07-16T00:00:00"/>
    <s v="No"/>
  </r>
  <r>
    <x v="0"/>
    <s v="CONSTRUIDA"/>
    <s v="Propiedad"/>
    <x v="5"/>
    <m/>
    <s v="Sotano"/>
    <s v="Cuartos técnicos"/>
    <s v="Coordinación de Planta Física y Mantenimiento "/>
    <s v="Cuarto eléctrico electrico"/>
    <s v="N/A"/>
    <n v="0"/>
    <n v="13.12"/>
    <d v="2021-07-16T00:00:00"/>
    <s v="No"/>
  </r>
  <r>
    <x v="0"/>
    <s v="CONSTRUIDA"/>
    <s v="Propiedad"/>
    <x v="5"/>
    <m/>
    <s v="Sotano"/>
    <s v="Cuartos técnicos"/>
    <s v="Coordinación de Planta Física y Mantenimiento "/>
    <s v="Cuarto tecnico redes"/>
    <s v="N/A"/>
    <n v="0"/>
    <n v="24.71"/>
    <d v="2021-07-16T00:00:00"/>
    <s v="No"/>
  </r>
  <r>
    <x v="0"/>
    <s v="CONSTRUIDA"/>
    <s v="Propiedad"/>
    <x v="5"/>
    <m/>
    <s v="Sotano"/>
    <s v="Cuartos técnicos"/>
    <s v="Coordinación de Planta Física y Mantenimiento "/>
    <s v="Cuarto técnico - tanques reserva"/>
    <s v="N/A"/>
    <n v="0"/>
    <n v="24.65"/>
    <d v="2021-07-16T00:00:00"/>
    <s v="No"/>
  </r>
  <r>
    <x v="0"/>
    <s v="CONSTRUIDA"/>
    <s v="Propiedad"/>
    <x v="5"/>
    <m/>
    <s v="Sotano"/>
    <s v="Módulos"/>
    <s v="Vicerrectoría Administrativa Financiera "/>
    <s v="Portería con baño"/>
    <s v="Procesos de apoyo"/>
    <n v="1"/>
    <n v="4.51"/>
    <d v="2021-07-16T00:00:00"/>
    <s v="No"/>
  </r>
  <r>
    <x v="0"/>
    <s v="CONSTRUIDA"/>
    <s v="Propiedad"/>
    <x v="5"/>
    <m/>
    <s v="Sotano"/>
    <s v="Cuartos de servicio"/>
    <s v="Vicerrectoría Administrativa Financiera "/>
    <s v="Bodega 1"/>
    <s v="N/A"/>
    <n v="0"/>
    <n v="52.25"/>
    <d v="2021-07-16T00:00:00"/>
    <s v="No"/>
  </r>
  <r>
    <x v="0"/>
    <s v="CONSTRUIDA"/>
    <s v="Propiedad"/>
    <x v="5"/>
    <m/>
    <s v="Sotano"/>
    <s v="Cuartos de servicio"/>
    <s v="Vicerrectoría Administrativa Financiera "/>
    <s v="Bodega 2"/>
    <s v="N/A"/>
    <n v="0"/>
    <n v="11.31"/>
    <d v="2021-07-16T00:00:00"/>
    <s v="No"/>
  </r>
  <r>
    <x v="0"/>
    <s v="CONSTRUIDA"/>
    <s v="Propiedad"/>
    <x v="5"/>
    <m/>
    <s v="Sotano"/>
    <s v="Cuartos de servicio"/>
    <s v="Vicerrectoría Administrativa Financiera "/>
    <s v="Bodega 3"/>
    <s v="N/A"/>
    <n v="0"/>
    <n v="15.51"/>
    <d v="2021-07-16T00:00:00"/>
    <s v="No"/>
  </r>
  <r>
    <x v="0"/>
    <s v="CONSTRUIDA"/>
    <s v="Propiedad"/>
    <x v="5"/>
    <m/>
    <s v="Sotano"/>
    <s v="Cuartos de servicio"/>
    <s v="Vicerrectoría Administrativa Financiera "/>
    <s v="Bodega 4"/>
    <s v="N/A"/>
    <n v="0"/>
    <n v="7.96"/>
    <d v="2021-07-16T00:00:00"/>
    <s v="No"/>
  </r>
  <r>
    <x v="2"/>
    <m/>
    <s v="Propiedad"/>
    <x v="5"/>
    <m/>
    <s v="Sotano"/>
    <s v="Malla de circulación"/>
    <s v="Coordinación de Planta Física y Mantenimiento "/>
    <s v="Escaleras, acceso parqueaderos"/>
    <s v="N/A"/>
    <n v="0"/>
    <n v="8.32"/>
    <d v="2021-07-16T00:00:00"/>
    <s v="Si"/>
  </r>
  <r>
    <x v="2"/>
    <m/>
    <s v="Propiedad"/>
    <x v="5"/>
    <m/>
    <s v="Sotano"/>
    <s v="Malla de circulación"/>
    <s v="Coordinación de Planta Física y Mantenimiento "/>
    <s v="Area para ascensores"/>
    <s v="N/A"/>
    <n v="0"/>
    <n v="12.92"/>
    <d v="2021-07-16T00:00:00"/>
    <s v="Si"/>
  </r>
  <r>
    <x v="0"/>
    <s v="CONSTRUIDA"/>
    <s v="Propiedad"/>
    <x v="5"/>
    <m/>
    <s v="Sotano"/>
    <s v="Cuartos de servicio"/>
    <s v="Vicerrectoría Administrativa Financiera "/>
    <s v="Depósito - cuarto basuras "/>
    <s v="N/A"/>
    <n v="0"/>
    <n v="10.28"/>
    <d v="2021-07-16T00:00:00"/>
    <s v="No"/>
  </r>
  <r>
    <x v="3"/>
    <s v="CONSTRUIDA"/>
    <s v="Propiedad"/>
    <x v="5"/>
    <n v="100"/>
    <s v="M1"/>
    <s v="Cuartos técnicos"/>
    <s v="Coordinación de Planta Física y Mantenimiento "/>
    <s v="Cuarto electrico - Servidores "/>
    <s v="Procesos de apoyo"/>
    <n v="3"/>
    <n v="40"/>
    <d v="2021-07-14T00:00:00"/>
    <s v="No"/>
  </r>
  <r>
    <x v="3"/>
    <s v="CONSTRUIDA"/>
    <s v="Propiedad"/>
    <x v="5"/>
    <n v="101"/>
    <s v="M1"/>
    <s v="Aulas"/>
    <s v="Centro de Recursos Educativos "/>
    <s v="Aula de Clase  con mesas de dibujo"/>
    <s v="DOCENCIA"/>
    <n v="36"/>
    <n v="128"/>
    <d v="2021-07-14T00:00:00"/>
    <s v="No"/>
  </r>
  <r>
    <x v="3"/>
    <s v="CONSTRUIDA"/>
    <s v="Propiedad"/>
    <x v="5"/>
    <n v="102"/>
    <s v="M1"/>
    <s v="Salas especializadas y de práctica"/>
    <s v="Programa de Derecho"/>
    <s v="Sala de audiencias "/>
    <s v="DOCENCIA"/>
    <n v="31"/>
    <n v="63.63"/>
    <d v="2021-07-14T00:00:00"/>
    <s v="No"/>
  </r>
  <r>
    <x v="1"/>
    <s v="CONSTRUIDA"/>
    <s v="Propiedad"/>
    <x v="5"/>
    <m/>
    <s v="M1"/>
    <s v="Servicios sanitarios públicos"/>
    <s v="Vicerrectoría Administrativa Financiera "/>
    <s v="Baños públicos hombres M1"/>
    <s v="N/A"/>
    <n v="2"/>
    <n v="20.32"/>
    <d v="2021-07-14T00:00:00"/>
    <s v="Si"/>
  </r>
  <r>
    <x v="1"/>
    <s v="CONSTRUIDA"/>
    <s v="Propiedad"/>
    <x v="5"/>
    <m/>
    <s v="M1"/>
    <s v="Servicios sanitarios públicos"/>
    <s v="Vicerrectoría Administrativa Financiera "/>
    <s v="Baño públicos mujeres   M1"/>
    <s v="N/A"/>
    <n v="5"/>
    <n v="19.37"/>
    <d v="2021-07-14T00:00:00"/>
    <s v="Si"/>
  </r>
  <r>
    <x v="1"/>
    <s v="CONSTRUIDA"/>
    <s v="Propiedad"/>
    <x v="5"/>
    <m/>
    <s v="M1"/>
    <s v="Servicios sanitarios públicos"/>
    <s v="Vicerrectoría Administrativa Financiera "/>
    <s v="Baño personas con mobilidad reducida M1"/>
    <s v="N/A"/>
    <n v="1"/>
    <n v="4"/>
    <d v="2021-07-14T00:00:00"/>
    <s v="No"/>
  </r>
  <r>
    <x v="2"/>
    <s v="CONSTRUIDA"/>
    <s v="Propiedad"/>
    <x v="5"/>
    <m/>
    <s v="M1"/>
    <s v="Malla de circulación"/>
    <s v="Jefatura de Seguridad y Salud en Trabajo "/>
    <s v="Hall seguridad y salud en el trabajo"/>
    <s v="N/A"/>
    <n v="1"/>
    <n v="12.78"/>
    <d v="2021-07-14T00:00:00"/>
    <s v="Si"/>
  </r>
  <r>
    <x v="0"/>
    <s v="CONSTRUIDA"/>
    <s v="Propiedad"/>
    <x v="5"/>
    <m/>
    <s v="M1"/>
    <s v="Oficinas"/>
    <s v="Jefatura de Seguridad y Salud en Trabajo "/>
    <s v="Coordinación de seguridad y salud en el trabajo "/>
    <s v="Procesos de apoyo"/>
    <n v="18"/>
    <n v="45.1"/>
    <d v="2021-07-14T00:00:00"/>
    <s v="No"/>
  </r>
  <r>
    <x v="0"/>
    <s v="CONSTRUIDA"/>
    <s v="Propiedad"/>
    <x v="5"/>
    <m/>
    <s v="M1"/>
    <s v="Cuartos de servicio"/>
    <s v="Vicerrectoría Administrativa Financiera "/>
    <s v="Bodega Seguridad y salud al trabajo"/>
    <s v="Procesos de apoyo"/>
    <n v="4"/>
    <n v="8.08"/>
    <d v="2021-07-14T00:00:00"/>
    <s v="No"/>
  </r>
  <r>
    <x v="0"/>
    <s v="CONSTRUIDA"/>
    <s v="Propiedad"/>
    <x v="5"/>
    <m/>
    <s v="M1"/>
    <s v="Oficinas"/>
    <s v="Vicerrectoría Administrativa Financiera "/>
    <s v="Por asignar"/>
    <s v="Procesos de apoyo"/>
    <n v="1"/>
    <n v="7.84"/>
    <d v="2021-07-14T00:00:00"/>
    <s v="No"/>
  </r>
  <r>
    <x v="0"/>
    <s v="CONSTRUIDA"/>
    <s v="Propiedad"/>
    <x v="5"/>
    <m/>
    <s v="M1"/>
    <s v="Oficinas"/>
    <s v="Vicerrectoría Administrativa Financiera "/>
    <s v="Coordinacion de seguridad y salud al trabajo"/>
    <s v="Procesos de apoyo"/>
    <n v="7"/>
    <n v="13.96"/>
    <d v="2021-07-14T00:00:00"/>
    <s v="No"/>
  </r>
  <r>
    <x v="0"/>
    <s v="CONSTRUIDA"/>
    <s v="Propiedad"/>
    <x v="5"/>
    <m/>
    <s v="M1"/>
    <s v="Oficinas"/>
    <s v="N/A"/>
    <s v="Asociacion de egresados"/>
    <s v="Procesos de apoyo"/>
    <n v="4"/>
    <n v="9.1"/>
    <d v="2021-07-14T00:00:00"/>
    <s v="No"/>
  </r>
  <r>
    <x v="0"/>
    <s v="CONSTRUIDA"/>
    <s v="Propiedad"/>
    <x v="5"/>
    <m/>
    <s v="M1"/>
    <s v="Servicios sanitarios privados"/>
    <s v="Vicerrectoría Administrativa Financiera "/>
    <s v="Baño libre"/>
    <s v="N/A"/>
    <n v="1"/>
    <n v="3.49"/>
    <d v="2021-07-14T00:00:00"/>
    <s v="No"/>
  </r>
  <r>
    <x v="7"/>
    <s v="CONSTRUIDA"/>
    <s v="Propiedad"/>
    <x v="5"/>
    <m/>
    <s v="M1"/>
    <s v="Salas de investigadores"/>
    <s v="Vicerrectoría de Investigaciones"/>
    <s v="Área de Investigadores"/>
    <s v="INVESTIGACIÓN"/>
    <n v="22"/>
    <n v="90.9"/>
    <d v="2021-07-14T00:00:00"/>
    <s v="No"/>
  </r>
  <r>
    <x v="7"/>
    <s v="CONSTRUIDA"/>
    <s v="Propiedad"/>
    <x v="5"/>
    <m/>
    <s v="M1"/>
    <s v="Salas de investigadores"/>
    <s v="Vicerrectoría de Investigaciones"/>
    <s v="Sala de investigadores "/>
    <s v="Procesos de apoyo"/>
    <n v="4"/>
    <n v="15.84"/>
    <d v="2021-07-14T00:00:00"/>
    <s v="No"/>
  </r>
  <r>
    <x v="7"/>
    <s v="CONSTRUIDA"/>
    <s v="Propiedad"/>
    <x v="5"/>
    <m/>
    <s v="M1"/>
    <s v="Salas de investigadores"/>
    <s v="Vicerrectoría de Investigaciones"/>
    <s v="Oficina de investigadores "/>
    <s v="INVESTIGACIÓN"/>
    <n v="9"/>
    <n v="39.42"/>
    <d v="2021-07-14T00:00:00"/>
    <s v="No"/>
  </r>
  <r>
    <x v="0"/>
    <s v="CONSTRUIDA"/>
    <s v="Propiedad"/>
    <x v="5"/>
    <m/>
    <s v="M1"/>
    <s v="Cuartos de servicio"/>
    <s v="Vicerrectoría Administrativa Financiera "/>
    <s v="Archivo Investigaciones"/>
    <s v="INVESTIGACIÓN"/>
    <n v="2"/>
    <n v="19.41"/>
    <d v="2021-07-14T00:00:00"/>
    <s v="No"/>
  </r>
  <r>
    <x v="0"/>
    <s v="CONSTRUIDA"/>
    <s v="Propiedad"/>
    <x v="5"/>
    <m/>
    <s v="M1"/>
    <s v="Cuartos técnicos"/>
    <s v="Coordinación de Redes y Comunicaciones "/>
    <s v="Area de servidores - electrico"/>
    <s v="N/A"/>
    <n v="3"/>
    <n v="65.25"/>
    <m/>
    <m/>
  </r>
  <r>
    <x v="0"/>
    <s v="CONSTRUIDA"/>
    <s v="Propiedad"/>
    <x v="5"/>
    <m/>
    <s v="M1"/>
    <s v="Cuartos técnicos"/>
    <s v="Coordinación de Planta Física y Mantenimiento "/>
    <s v="Cuarto electrico "/>
    <s v="N/A"/>
    <n v="0"/>
    <n v="14.62"/>
    <d v="2021-07-14T00:00:00"/>
    <s v="No"/>
  </r>
  <r>
    <x v="0"/>
    <s v="CONSTRUIDA"/>
    <s v="Propiedad"/>
    <x v="5"/>
    <m/>
    <s v="M1"/>
    <s v="Cuartos de servicio"/>
    <s v="Coordinación de Planta Física y Mantenimiento "/>
    <s v="Camaras de vigilancia"/>
    <s v="N/A"/>
    <n v="1"/>
    <n v="12.15"/>
    <d v="2021-07-14T00:00:00"/>
    <s v="No"/>
  </r>
  <r>
    <x v="0"/>
    <s v="CONSTRUIDA"/>
    <s v="Propiedad"/>
    <x v="5"/>
    <m/>
    <s v="M1"/>
    <s v="Cuartos técnicos"/>
    <s v="Coordinación de Redes y Comunicaciones "/>
    <s v="Cuarto técnico servidores ups"/>
    <s v="N/A"/>
    <n v="0"/>
    <n v="11.24"/>
    <d v="2021-07-14T00:00:00"/>
    <s v="Si"/>
  </r>
  <r>
    <x v="2"/>
    <s v="CONSTRUIDA"/>
    <s v="Propiedad"/>
    <x v="5"/>
    <m/>
    <s v="M1"/>
    <s v="Malla de circulación"/>
    <s v="Vicerrectoría Administrativa Financiera "/>
    <s v="Pasillos o corredores "/>
    <s v="N/A"/>
    <n v="0"/>
    <n v="132"/>
    <d v="2021-07-14T00:00:00"/>
    <s v="No"/>
  </r>
  <r>
    <x v="0"/>
    <s v="CONSTRUIDA"/>
    <s v="Propiedad"/>
    <x v="5"/>
    <m/>
    <s v="M1"/>
    <s v="Cuartos de servicio"/>
    <s v="Coordinación de Planta Física y Mantenimiento "/>
    <s v="Bodega mantenimiento "/>
    <s v="N/A"/>
    <n v="0"/>
    <n v="47.69"/>
    <d v="2021-07-14T00:00:00"/>
    <s v="No"/>
  </r>
  <r>
    <x v="0"/>
    <s v="CONSTRUIDA"/>
    <s v="Propiedad"/>
    <x v="5"/>
    <m/>
    <s v="M1"/>
    <s v="Cuartos de servicio"/>
    <s v="Coordinación de Redes y Comunicaciones "/>
    <s v="Área de Monitores - Cuarto de crisis"/>
    <s v="Procesos de apoyo"/>
    <n v="2"/>
    <n v="10.64"/>
    <d v="2021-07-14T00:00:00"/>
    <s v="No"/>
  </r>
  <r>
    <x v="2"/>
    <s v="CONSTRUIDA"/>
    <s v="Propiedad"/>
    <x v="5"/>
    <m/>
    <n v="1"/>
    <s v="Malla de circulación"/>
    <s v="Vicerrectoría Administrativa Financiera "/>
    <s v="Hall acceso piso 1 - SECTOR AV AMERICAS"/>
    <s v="N/A"/>
    <n v="0"/>
    <n v="36"/>
    <d v="2021-07-14T00:00:00"/>
    <s v="Si"/>
  </r>
  <r>
    <x v="0"/>
    <s v="CONSTRUIDA"/>
    <s v="Propiedad"/>
    <x v="5"/>
    <m/>
    <n v="1"/>
    <s v="Oficinas"/>
    <s v="Jefatura de crédito y Cartera"/>
    <s v="Ofina Jefe, secretaría, técnico y auxiliares "/>
    <s v="Procesos de apoyo"/>
    <n v="10"/>
    <n v="80.52"/>
    <d v="2021-07-14T00:00:00"/>
    <s v="Si"/>
  </r>
  <r>
    <x v="2"/>
    <s v="CONSTRUIDA"/>
    <s v="Propiedad"/>
    <x v="5"/>
    <m/>
    <n v="1"/>
    <s v="Malla de circulación"/>
    <s v="Vicerrectoría Administrativa Financiera "/>
    <s v="Lobby auditorio-Hall credito y cartera - publicidad y mercadeo"/>
    <s v="N/A"/>
    <n v="45"/>
    <n v="135.34"/>
    <d v="2021-07-14T00:00:00"/>
    <s v="Si"/>
  </r>
  <r>
    <x v="1"/>
    <s v="CONSTRUIDA"/>
    <s v="Propiedad"/>
    <x v="5"/>
    <m/>
    <n v="1"/>
    <s v="Servicios sanitarios públicos"/>
    <s v="Vicerrectoría Administrativa Financiera "/>
    <s v="Baños hombres y aseo primer piso"/>
    <s v="N/A"/>
    <n v="3"/>
    <n v="19.68"/>
    <d v="2021-07-14T00:00:00"/>
    <s v="Si"/>
  </r>
  <r>
    <x v="1"/>
    <s v="CONSTRUIDA"/>
    <s v="Propiedad"/>
    <x v="5"/>
    <m/>
    <n v="1"/>
    <s v="Servicios sanitarios públicos"/>
    <s v="Vicerrectoría Administrativa Financiera "/>
    <s v="Baños mujeres primer piso"/>
    <s v="N/A"/>
    <n v="4"/>
    <n v="17.62"/>
    <d v="2021-07-15T00:00:00"/>
    <s v="Si"/>
  </r>
  <r>
    <x v="1"/>
    <s v="CONSTRUIDA"/>
    <s v="Propiedad"/>
    <x v="5"/>
    <m/>
    <n v="1"/>
    <s v="Servicios sanitarios públicos"/>
    <s v="Vicerrectoría Administrativa Financiera "/>
    <s v="Baño personas con mobilidad reducida primer piso"/>
    <s v="N/A"/>
    <n v="1"/>
    <n v="4.1500000000000004"/>
    <d v="2021-07-15T00:00:00"/>
    <s v="Si"/>
  </r>
  <r>
    <x v="0"/>
    <s v="CONSTRUIDA"/>
    <s v="Propiedad"/>
    <x v="5"/>
    <m/>
    <n v="1"/>
    <s v="Cuartos de servicio"/>
    <s v="Vicerrectoría Administrativa Financiera "/>
    <s v="Shut de Basura - cuarto escoba mágica"/>
    <s v="N/A"/>
    <n v="0"/>
    <n v="1.71"/>
    <m/>
    <s v="Si"/>
  </r>
  <r>
    <x v="2"/>
    <s v="CONSTRUIDA"/>
    <s v="Propiedad"/>
    <x v="5"/>
    <m/>
    <n v="1"/>
    <s v="Malla de circulación"/>
    <s v="Vicerrectoría Administrativa Financiera "/>
    <s v="Hall ascensores y escaleras primer piso"/>
    <s v="N/A"/>
    <n v="28"/>
    <n v="56.51"/>
    <d v="2021-07-15T00:00:00"/>
    <s v="Si"/>
  </r>
  <r>
    <x v="2"/>
    <s v="CONSTRUIDA"/>
    <s v="Propiedad"/>
    <x v="5"/>
    <m/>
    <n v="1"/>
    <s v="Malla de circulación"/>
    <s v="Vicerrectoría Administrativa Financiera "/>
    <s v="Terraza posterior primer piso se incluye area cubierta"/>
    <s v="N/A"/>
    <n v="0"/>
    <n v="72.94"/>
    <d v="2021-07-15T00:00:00"/>
    <s v="Si"/>
  </r>
  <r>
    <x v="0"/>
    <s v="CONSTRUIDA"/>
    <s v="Propiedad"/>
    <x v="5"/>
    <m/>
    <n v="1"/>
    <s v="Oficinas"/>
    <s v="Jefatura de Comunicaciones Publicidad y Mercadeo "/>
    <s v="Públicidad y Mercadeo primer piso"/>
    <s v="Procesos de apoyo"/>
    <n v="5"/>
    <n v="62.29"/>
    <d v="2021-07-15T00:00:00"/>
    <s v="Si"/>
  </r>
  <r>
    <x v="2"/>
    <s v="CONSTRUIDA"/>
    <s v="Propiedad"/>
    <x v="5"/>
    <m/>
    <n v="1"/>
    <s v="Malla de circulación"/>
    <s v="Vicerrectoría Administrativa Financiera "/>
    <s v="PLAZOLETA PRINCIPAL primer piso"/>
    <s v="N/A"/>
    <n v="23"/>
    <n v="71.56"/>
    <d v="2021-07-15T00:00:00"/>
    <s v="Si"/>
  </r>
  <r>
    <x v="2"/>
    <s v="CONSTRUIDA"/>
    <s v="Propiedad"/>
    <x v="5"/>
    <m/>
    <n v="1"/>
    <s v="Malla de circulación"/>
    <s v="Vicerrectoría Administrativa Financiera "/>
    <s v="Escaleras acceso a parqueaderos"/>
    <s v="Procesos de apoyo"/>
    <n v="0"/>
    <n v="17.82"/>
    <d v="2021-07-15T00:00:00"/>
    <s v="Si"/>
  </r>
  <r>
    <x v="2"/>
    <s v="CONSTRUIDA"/>
    <s v="Propiedad"/>
    <x v="5"/>
    <m/>
    <n v="1"/>
    <s v="Malla de circulación"/>
    <s v="Vicerrectoría Administrativa Financiera "/>
    <s v="Escaleras internas de aceeso primer piso"/>
    <s v="Procesos de apoyo"/>
    <n v="0"/>
    <n v="15.38"/>
    <d v="2021-07-15T00:00:00"/>
    <s v="Si"/>
  </r>
  <r>
    <x v="2"/>
    <s v="CONSTRUIDA"/>
    <s v="Propiedad"/>
    <x v="5"/>
    <m/>
    <n v="1"/>
    <s v="Malla de circulación"/>
    <s v="Vicerrectoría Administrativa Financiera "/>
    <s v="Escaleras acceso primer piso  - entrada "/>
    <s v="Procesos de apoyo"/>
    <n v="0"/>
    <n v="92.95"/>
    <d v="2021-07-15T00:00:00"/>
    <s v="Si"/>
  </r>
  <r>
    <x v="2"/>
    <s v="CONSTRUIDA"/>
    <s v="Propiedad"/>
    <x v="5"/>
    <m/>
    <n v="1"/>
    <s v="Malla de circulación"/>
    <s v="Vicerrectoría Administrativa Financiera "/>
    <s v="Rampas primer piso pendiente 12%"/>
    <s v="Procesos de apoyo"/>
    <n v="0"/>
    <n v="33.86"/>
    <d v="2021-07-15T00:00:00"/>
    <s v="Si"/>
  </r>
  <r>
    <x v="2"/>
    <s v="CONSTRUIDA"/>
    <s v="Propiedad"/>
    <x v="5"/>
    <m/>
    <n v="1"/>
    <s v="Cuartos de servicio"/>
    <s v="Coordinación de Planta Física y Mantenimiento "/>
    <s v="Area para instalacion de estractores de aire- ventilacion parqueaderos - 2"/>
    <s v="Procesos de apoyo"/>
    <n v="0"/>
    <n v="46.83"/>
    <d v="2021-07-15T00:00:00"/>
    <m/>
  </r>
  <r>
    <x v="2"/>
    <s v="CONSTRUIDA"/>
    <s v="Propiedad"/>
    <x v="5"/>
    <m/>
    <n v="1"/>
    <s v="Malla de circulación"/>
    <s v="Vicerrectoría Administrativa Financiera "/>
    <s v="Terraza acceso San Francisco primer piso"/>
    <s v="Procesos de apoyo"/>
    <n v="29"/>
    <n v="87.39"/>
    <d v="2021-07-15T00:00:00"/>
    <s v="Si"/>
  </r>
  <r>
    <x v="4"/>
    <s v="CONSTRUIDA"/>
    <s v="Propiedad"/>
    <x v="5"/>
    <m/>
    <n v="1"/>
    <s v="Auditorios"/>
    <s v="Centro de Recursos Educativos "/>
    <s v="AUDITORIO SAN FRANCISCO 1"/>
    <s v="Procesos de apoyo"/>
    <n v="268"/>
    <n v="382.5"/>
    <d v="2021-07-15T00:00:00"/>
    <s v="Si"/>
  </r>
  <r>
    <x v="4"/>
    <s v="CONSTRUIDA"/>
    <s v="Propiedad"/>
    <x v="5"/>
    <m/>
    <n v="1"/>
    <s v="Auditorios"/>
    <s v="Centro de Recursos Educativos "/>
    <s v="AUDITORIO SAN FRANCISCO 2"/>
    <s v="Procesos de apoyo"/>
    <n v="140"/>
    <n v="154.08000000000001"/>
    <d v="2021-07-15T00:00:00"/>
    <s v="Si"/>
  </r>
  <r>
    <x v="0"/>
    <s v="CONSTRUIDA"/>
    <s v="Propiedad"/>
    <x v="5"/>
    <m/>
    <s v="M2"/>
    <s v="Oficinas"/>
    <m/>
    <s v="Oficina Dirección Programa de Lic. en Química."/>
    <s v="DOCENCIA"/>
    <n v="2"/>
    <n v="19.940000000000001"/>
    <d v="2021-07-15T00:00:00"/>
    <s v="No"/>
  </r>
  <r>
    <x v="0"/>
    <s v="CONSTRUIDA"/>
    <s v="Propiedad"/>
    <x v="5"/>
    <m/>
    <s v="M2"/>
    <s v="Oficinas"/>
    <s v="Vicerrectoría Académica"/>
    <s v=" SALA DE JUNTAS"/>
    <s v="DOCENCIA"/>
    <n v="5"/>
    <n v="17.96"/>
    <d v="2021-07-15T00:00:00"/>
    <s v="No"/>
  </r>
  <r>
    <x v="0"/>
    <s v="CONSTRUIDA"/>
    <s v="Propiedad"/>
    <x v="5"/>
    <m/>
    <s v="M2"/>
    <s v="Salas de Tutores (salas de profesores)"/>
    <s v="Vicerrectoría Académica"/>
    <s v="Sala de docentes intinerante"/>
    <s v="DOCENCIA"/>
    <n v="40"/>
    <n v="87.99"/>
    <d v="2021-07-15T00:00:00"/>
    <s v="No"/>
  </r>
  <r>
    <x v="0"/>
    <s v="CONSTRUIDA"/>
    <s v="Propiedad"/>
    <x v="5"/>
    <m/>
    <s v="M2"/>
    <s v="Cuartos técnicos"/>
    <s v="Coordinación de Redes y Comunicaciones "/>
    <s v="Cuarto técnico "/>
    <s v="N/A"/>
    <n v="0"/>
    <n v="8.6300000000000008"/>
    <d v="2021-07-15T00:00:00"/>
    <s v="No"/>
  </r>
  <r>
    <x v="0"/>
    <s v="CONSTRUIDA"/>
    <s v="Propiedad"/>
    <x v="5"/>
    <m/>
    <s v="M2"/>
    <s v="Servicios sanitarios privados"/>
    <s v="Vicerrectoría Administrativa Financiera "/>
    <s v="Baño personal hombres "/>
    <s v="N/A"/>
    <n v="1"/>
    <n v="2.75"/>
    <d v="2021-07-15T00:00:00"/>
    <s v="No"/>
  </r>
  <r>
    <x v="0"/>
    <s v="CONSTRUIDA"/>
    <s v="Propiedad"/>
    <x v="5"/>
    <m/>
    <s v="M2"/>
    <s v="Servicios sanitarios privados"/>
    <s v="Vicerrectoría Administrativa Financiera "/>
    <s v="Baño personal mujeres "/>
    <s v="N/A"/>
    <n v="1"/>
    <n v="2.6"/>
    <d v="2021-07-15T00:00:00"/>
    <s v="No"/>
  </r>
  <r>
    <x v="0"/>
    <s v="CONSTRUIDA"/>
    <s v="Propiedad"/>
    <x v="5"/>
    <m/>
    <s v="M2"/>
    <s v="Oficinas"/>
    <s v="Vicerrectoría Académica"/>
    <s v="Dirección de Desarrollo Académico"/>
    <s v="DOCENCIA"/>
    <n v="1"/>
    <n v="12.99"/>
    <d v="2021-07-15T00:00:00"/>
    <s v="No"/>
  </r>
  <r>
    <x v="0"/>
    <s v="CONSTRUIDA"/>
    <s v="Propiedad"/>
    <x v="5"/>
    <m/>
    <s v="M2"/>
    <s v="Oficinas"/>
    <s v="Vicerrectoría Académica"/>
    <s v="Por asignar"/>
    <s v="DOCENCIA"/>
    <n v="1"/>
    <n v="13.6"/>
    <d v="2021-07-15T00:00:00"/>
    <s v="No"/>
  </r>
  <r>
    <x v="0"/>
    <s v="CONSTRUIDA"/>
    <s v="Propiedad"/>
    <x v="5"/>
    <m/>
    <s v="M2"/>
    <s v="Oficinas"/>
    <s v="Vicerrectoría Académica"/>
    <s v="Oficina Vicerrectoría Académica"/>
    <s v="DOCENCIA"/>
    <n v="1"/>
    <n v="13.78"/>
    <d v="2021-07-15T00:00:00"/>
    <s v="No"/>
  </r>
  <r>
    <x v="0"/>
    <s v="CONSTRUIDA"/>
    <s v="Propiedad"/>
    <x v="5"/>
    <m/>
    <s v="M2"/>
    <s v="Oficinas"/>
    <s v="Vicerrectoría Académica"/>
    <s v="Secretaria vicerrectoría academica"/>
    <s v="Procesos de apoyo"/>
    <n v="4"/>
    <n v="9.14"/>
    <d v="2021-07-15T00:00:00"/>
    <s v="No"/>
  </r>
  <r>
    <x v="0"/>
    <s v="CONSTRUIDA"/>
    <s v="Propiedad"/>
    <x v="5"/>
    <m/>
    <s v="M3"/>
    <s v="Oficinas"/>
    <s v="Vicerrectoría Académica"/>
    <s v="Por asignar"/>
    <m/>
    <m/>
    <n v="13.76"/>
    <m/>
    <m/>
  </r>
  <r>
    <x v="2"/>
    <s v="CONSTRUIDA"/>
    <s v="Propiedad"/>
    <x v="5"/>
    <m/>
    <s v="M2"/>
    <s v="Salas de Tutores (salas de profesores)"/>
    <s v="Vicerrectoría Administrativa Financiera "/>
    <s v="Sala de docentes itinerantes"/>
    <s v="Procesos de apoyo"/>
    <n v="0"/>
    <n v="18.13"/>
    <d v="2021-07-15T00:00:00"/>
    <s v="Si"/>
  </r>
  <r>
    <x v="2"/>
    <s v="CONSTRUIDA"/>
    <s v="Propiedad"/>
    <x v="5"/>
    <m/>
    <s v="M2"/>
    <s v="Malla de circulación"/>
    <s v="Vicerrectoría Administrativa Financiera "/>
    <s v="Escaleras de distribucion central"/>
    <s v="Procesos de apoyo"/>
    <n v="0"/>
    <n v="15.78"/>
    <d v="2021-07-15T00:00:00"/>
    <s v="Si"/>
  </r>
  <r>
    <x v="2"/>
    <s v="CONSTRUIDA"/>
    <s v="Propiedad"/>
    <x v="5"/>
    <m/>
    <s v="M2"/>
    <s v="Malla de circulación"/>
    <s v="Vicerrectoría Administrativa Financiera "/>
    <s v="Hall direcciones M2"/>
    <s v="N/A"/>
    <n v="0"/>
    <n v="14.97"/>
    <d v="2021-07-15T00:00:00"/>
    <s v="No"/>
  </r>
  <r>
    <x v="2"/>
    <s v="CONSTRUIDA"/>
    <s v="Propiedad"/>
    <x v="5"/>
    <m/>
    <s v="M2"/>
    <s v="Malla de circulación"/>
    <s v="Vicerrectoría Administrativa Financiera "/>
    <s v="Pasillos M2"/>
    <s v="N/A"/>
    <n v="0"/>
    <n v="67.84"/>
    <d v="2021-07-15T00:00:00"/>
    <s v="No"/>
  </r>
  <r>
    <x v="2"/>
    <s v="CONSTRUIDA"/>
    <s v="Propiedad"/>
    <x v="5"/>
    <m/>
    <n v="2"/>
    <s v="Espacios de integración"/>
    <s v="Vicerrectoría Administrativa Financiera "/>
    <s v="Hall de exposiciones"/>
    <s v="Procesos de apoyo"/>
    <n v="0"/>
    <n v="297"/>
    <d v="2021-07-15T00:00:00"/>
    <s v="Si"/>
  </r>
  <r>
    <x v="0"/>
    <s v="CONSTRUIDA"/>
    <s v="Propiedad"/>
    <x v="5"/>
    <m/>
    <n v="2"/>
    <s v="Oficinas"/>
    <s v="Unidad de Acompañamiento Integral al Estudiante "/>
    <s v="Oficina de acompañamiento"/>
    <s v="Procesos de apoyo"/>
    <n v="1"/>
    <n v="8.23"/>
    <m/>
    <s v="No"/>
  </r>
  <r>
    <x v="0"/>
    <s v="CONSTRUIDA"/>
    <s v="Propiedad"/>
    <x v="5"/>
    <m/>
    <n v="2"/>
    <s v="Oficinas"/>
    <s v="Unidad de Acompañamiento Integral al Estudiante "/>
    <s v="Profesional Trabajo Social "/>
    <s v="Procesos de apoyo"/>
    <n v="1"/>
    <n v="10"/>
    <d v="2021-07-15T00:00:00"/>
    <s v="No"/>
  </r>
  <r>
    <x v="0"/>
    <s v="CONSTRUIDA"/>
    <s v="Propiedad"/>
    <x v="5"/>
    <m/>
    <n v="2"/>
    <s v="Oficinas"/>
    <s v="Unidad de Acompañamiento Integral al Estudiante "/>
    <s v="Profesional Inclusión y Diversidad "/>
    <s v="Procesos de apoyo"/>
    <n v="1"/>
    <n v="10.38"/>
    <d v="2021-07-15T00:00:00"/>
    <s v="No"/>
  </r>
  <r>
    <x v="0"/>
    <s v="CONSTRUIDA"/>
    <s v="Propiedad"/>
    <x v="5"/>
    <m/>
    <n v="2"/>
    <s v="Salas de Tutores (salas de profesores)"/>
    <s v="Unidad de Acompañamiento Integral al Estudiante "/>
    <s v="Aula de Acompañamiento Unidad de acompañamiento Integral al Estudiente"/>
    <s v="Procesos de apoyo"/>
    <n v="15"/>
    <n v="43.32"/>
    <d v="2021-07-15T00:00:00"/>
    <s v="No"/>
  </r>
  <r>
    <x v="0"/>
    <s v="CONSTRUIDA"/>
    <s v="Propiedad"/>
    <x v="5"/>
    <m/>
    <n v="2"/>
    <s v="Oficinas"/>
    <s v="Unidad de Acompañamiento Integral al Estudiante "/>
    <s v="Secretaría Unidad de acompañamiento Integral al Estudiente "/>
    <s v="Procesos de apoyo"/>
    <n v="1"/>
    <n v="8.9499999999999993"/>
    <d v="2021-07-15T00:00:00"/>
    <s v="No"/>
  </r>
  <r>
    <x v="0"/>
    <s v="CONSTRUIDA"/>
    <s v="Propiedad"/>
    <x v="5"/>
    <m/>
    <n v="2"/>
    <s v="Oficinas"/>
    <s v="Unidad de Acompañamiento Integral al Estudiante "/>
    <s v="Sala Unidad de acompañamiento Integral al Estudiante"/>
    <s v="Procesos de apoyo"/>
    <n v="20"/>
    <n v="28"/>
    <d v="2021-07-15T00:00:00"/>
    <s v="No"/>
  </r>
  <r>
    <x v="1"/>
    <s v="CONSTRUIDA"/>
    <s v="Propiedad"/>
    <x v="5"/>
    <m/>
    <n v="2"/>
    <s v="Espacios de integración"/>
    <s v="Vicerrectoría Administrativa Financiera "/>
    <s v="Área mesas incluida circulacion "/>
    <s v="Procesos de apoyo"/>
    <n v="16"/>
    <n v="266.72000000000003"/>
    <d v="2021-07-15T00:00:00"/>
    <s v="Si"/>
  </r>
  <r>
    <x v="1"/>
    <s v="CONSTRUIDA"/>
    <s v="Propiedad"/>
    <x v="5"/>
    <m/>
    <n v="2"/>
    <s v="Cafeterías públicas"/>
    <s v="Vicerrectoría Administrativa Financiera "/>
    <s v="Cafetería Pública"/>
    <s v="Procesos de apoyo"/>
    <n v="2"/>
    <n v="14.27"/>
    <d v="2021-07-15T00:00:00"/>
    <s v="No"/>
  </r>
  <r>
    <x v="1"/>
    <s v="CONSTRUIDA"/>
    <s v="Propiedad"/>
    <x v="5"/>
    <m/>
    <n v="2"/>
    <s v="Cafeterías públicas"/>
    <s v="Vicerrectoría Administrativa Financiera "/>
    <s v="Cocina cafetería Pública"/>
    <s v="Procesos de apoyo"/>
    <n v="1"/>
    <n v="2.65"/>
    <d v="2021-07-15T00:00:00"/>
    <s v="No"/>
  </r>
  <r>
    <x v="1"/>
    <s v="CONSTRUIDA"/>
    <s v="Propiedad"/>
    <x v="5"/>
    <m/>
    <n v="2"/>
    <s v="Servicios sanitarios públicos"/>
    <s v="Vicerrectoría Administrativa Financiera "/>
    <s v="Baño público hombres + cuarto de aseo"/>
    <s v="N/A"/>
    <n v="2"/>
    <n v="17.43"/>
    <d v="2021-07-15T00:00:00"/>
    <s v="Si"/>
  </r>
  <r>
    <x v="1"/>
    <s v="CONSTRUIDA"/>
    <s v="Propiedad"/>
    <x v="5"/>
    <m/>
    <n v="2"/>
    <s v="Servicios sanitarios públicos"/>
    <s v="Vicerrectoría Administrativa Financiera "/>
    <s v="Baño público mujeres + cuarto de aseo"/>
    <s v="N/A"/>
    <n v="3"/>
    <n v="15.65"/>
    <d v="2021-07-15T00:00:00"/>
    <s v="Si"/>
  </r>
  <r>
    <x v="1"/>
    <s v="CONSTRUIDA"/>
    <s v="Propiedad"/>
    <x v="5"/>
    <m/>
    <n v="2"/>
    <s v="Servicios sanitarios públicos"/>
    <s v="Vicerrectoría Administrativa Financiera "/>
    <s v="Baño personas con movilidad reducida"/>
    <s v="N/A"/>
    <n v="1"/>
    <n v="3.64"/>
    <d v="2021-07-15T00:00:00"/>
    <s v="No"/>
  </r>
  <r>
    <x v="0"/>
    <s v="CONSTRUIDA"/>
    <s v="Propiedad"/>
    <x v="5"/>
    <m/>
    <n v="2"/>
    <s v="Cuartos de servicio"/>
    <s v="Vicerrectoría Administrativa Financiera "/>
    <s v="Cuarto de Aseo "/>
    <s v="N/A"/>
    <n v="0"/>
    <n v="1.29"/>
    <m/>
    <s v="No"/>
  </r>
  <r>
    <x v="0"/>
    <s v="CONSTRUIDA"/>
    <s v="Propiedad"/>
    <x v="5"/>
    <m/>
    <n v="2"/>
    <s v="Cuartos de servicio"/>
    <s v="Vicerrectoría Administrativa Financiera "/>
    <s v="Shut basura - cuarto escoba mágica"/>
    <s v="N/A"/>
    <n v="0"/>
    <n v="1.71"/>
    <m/>
    <s v="No"/>
  </r>
  <r>
    <x v="2"/>
    <s v="CONSTRUIDA"/>
    <s v="Propiedad"/>
    <x v="5"/>
    <m/>
    <n v="2"/>
    <s v="Malla de circulación"/>
    <s v="Vicerrectoría Administrativa Financiera "/>
    <s v="Pasillos"/>
    <s v="N/A"/>
    <n v="0"/>
    <n v="114.56"/>
    <m/>
    <s v="No"/>
  </r>
  <r>
    <x v="3"/>
    <s v="CONSTRUIDA"/>
    <s v="Propiedad"/>
    <x v="5"/>
    <n v="201"/>
    <n v="2"/>
    <s v="Espacios de integración"/>
    <s v="Inclusión y diversidad "/>
    <s v="Espacio de relajación"/>
    <s v="DOCENCIA"/>
    <n v="65"/>
    <n v="66.069999999999993"/>
    <d v="2021-07-15T00:00:00"/>
    <s v="No"/>
  </r>
  <r>
    <x v="3"/>
    <s v="CONSTRUIDA"/>
    <s v="Propiedad"/>
    <x v="5"/>
    <n v="202"/>
    <n v="2"/>
    <s v="Salas Cómputo"/>
    <s v="Jefatura de sistemas e Internet"/>
    <s v="Sala de Sistemas -Mac"/>
    <s v="DOCENCIA"/>
    <n v="30"/>
    <n v="63.6"/>
    <d v="2021-07-15T00:00:00"/>
    <s v="No"/>
  </r>
  <r>
    <x v="3"/>
    <s v="CONSTRUIDA"/>
    <s v="Propiedad"/>
    <x v="5"/>
    <n v="301"/>
    <n v="3"/>
    <s v="Aulas"/>
    <s v="Centro de Recursos Educativos "/>
    <s v="Aula de Clases"/>
    <s v="DOCENCIA"/>
    <n v="25"/>
    <n v="64.599999999999994"/>
    <d v="2021-07-15T00:00:00"/>
    <s v="No"/>
  </r>
  <r>
    <x v="3"/>
    <s v="CONSTRUIDA"/>
    <s v="Propiedad"/>
    <x v="5"/>
    <n v="302"/>
    <n v="3"/>
    <s v="Salas Cómputo"/>
    <s v="Jefatura de sistemas e Internet"/>
    <s v="Aula virtual - Sala de Sistemas"/>
    <s v="DOCENCIA"/>
    <n v="44"/>
    <n v="88.64"/>
    <d v="2021-07-15T00:00:00"/>
    <s v="No"/>
  </r>
  <r>
    <x v="3"/>
    <s v="CONSTRUIDA"/>
    <s v="Propiedad"/>
    <x v="5"/>
    <n v="303"/>
    <n v="3"/>
    <s v="Salas Cómputo"/>
    <s v="Jefatura de sistemas e Internet"/>
    <s v="Sala de Sistemas No. 5"/>
    <s v="DOCENCIA"/>
    <n v="41"/>
    <n v="83.35"/>
    <d v="2021-07-15T00:00:00"/>
    <s v="No"/>
  </r>
  <r>
    <x v="3"/>
    <s v="CONSTRUIDA"/>
    <s v="Propiedad"/>
    <x v="5"/>
    <n v="304"/>
    <n v="3"/>
    <s v="Salas Cómputo"/>
    <s v="Jefatura de sistemas e Internet"/>
    <s v="Sala de sistemas No. 6"/>
    <s v="DOCENCIA"/>
    <n v="41"/>
    <n v="82.06"/>
    <d v="2021-07-15T00:00:00"/>
    <s v="No"/>
  </r>
  <r>
    <x v="3"/>
    <s v="CONSTRUIDA"/>
    <s v="Propiedad"/>
    <x v="5"/>
    <n v="305"/>
    <n v="3"/>
    <s v="Salas Cómputo"/>
    <s v="Jefatura de sistemas e Internet"/>
    <s v="Sala de sistemas No. 7"/>
    <s v="DOCENCIA"/>
    <n v="34"/>
    <n v="68.599999999999994"/>
    <d v="2021-07-15T00:00:00"/>
    <s v="No"/>
  </r>
  <r>
    <x v="3"/>
    <s v="CONSTRUIDA"/>
    <s v="Propiedad"/>
    <x v="5"/>
    <n v="306"/>
    <n v="3"/>
    <s v="Salas Cómputo"/>
    <s v="Jefatura de sistemas e Internet"/>
    <s v="Aula de Sistemas Operativo"/>
    <s v="DOCENCIA"/>
    <n v="46"/>
    <n v="107.27"/>
    <d v="2021-07-15T00:00:00"/>
    <s v="No"/>
  </r>
  <r>
    <x v="0"/>
    <s v="CONSTRUIDA"/>
    <s v="Propiedad"/>
    <x v="5"/>
    <m/>
    <n v="3"/>
    <s v="Cuartos técnicos"/>
    <s v="Coordinación de Proyección Social"/>
    <s v="Bodega y Cuarto técnico"/>
    <s v="N/A"/>
    <n v="0"/>
    <n v="43.82"/>
    <d v="2021-07-15T00:00:00"/>
    <s v="No"/>
  </r>
  <r>
    <x v="0"/>
    <s v="CONSTRUIDA"/>
    <s v="Propiedad"/>
    <x v="5"/>
    <m/>
    <n v="3"/>
    <s v="Cuartos técnicos"/>
    <s v="Coordinación de Redes y Comunicaciones "/>
    <s v="Cuarto técnico A302 interno"/>
    <s v="N/A"/>
    <n v="0"/>
    <n v="9.66"/>
    <d v="2021-07-15T00:00:00"/>
    <s v="No"/>
  </r>
  <r>
    <x v="3"/>
    <s v="CONSTRUIDA"/>
    <s v="Propiedad"/>
    <x v="5"/>
    <m/>
    <n v="3"/>
    <s v="Salas Cómputo"/>
    <s v="Jefatura de sistemas e Internet"/>
    <s v="Sala de Sistemas No. 3"/>
    <s v="DOCENCIA"/>
    <n v="37"/>
    <n v="75.819999999999993"/>
    <d v="2021-07-15T00:00:00"/>
    <s v="No"/>
  </r>
  <r>
    <x v="0"/>
    <s v="CONSTRUIDA"/>
    <s v="Propiedad"/>
    <x v="5"/>
    <m/>
    <n v="3"/>
    <s v="Oficinas"/>
    <s v="Jefatura de sistemas e Internet"/>
    <s v="Oficina Principal Jefe, secretaría"/>
    <s v="Procesos de apoyo"/>
    <n v="4"/>
    <n v="55.8"/>
    <d v="2021-07-15T00:00:00"/>
    <s v="No"/>
  </r>
  <r>
    <x v="0"/>
    <s v="CONSTRUIDA"/>
    <s v="Propiedad"/>
    <x v="5"/>
    <m/>
    <n v="3"/>
    <s v="Oficinas"/>
    <s v="Jefatura de sistemas e Internet"/>
    <s v="Monitoría "/>
    <s v="Procesos de apoyo"/>
    <n v="5"/>
    <n v="17.73"/>
    <d v="2021-07-15T00:00:00"/>
    <s v="No"/>
  </r>
  <r>
    <x v="2"/>
    <s v="CONSTRUIDA"/>
    <s v="Propiedad"/>
    <x v="5"/>
    <m/>
    <n v="3"/>
    <s v="Malla de circulación"/>
    <s v="Vicerrectoría Administrativa Financiera "/>
    <s v="Pasillos tercer piso "/>
    <s v="N/A"/>
    <n v="70"/>
    <n v="245.93"/>
    <d v="2021-07-15T00:00:00"/>
    <s v="Si"/>
  </r>
  <r>
    <x v="1"/>
    <s v="CONSTRUIDA"/>
    <s v="Propiedad"/>
    <x v="5"/>
    <m/>
    <n v="3"/>
    <s v="Servicios sanitarios públicos"/>
    <s v="Vicerrectoría Administrativa Financiera "/>
    <s v="Baños públicos hombres "/>
    <s v="N/A"/>
    <n v="2"/>
    <n v="15.82"/>
    <d v="2021-07-15T00:00:00"/>
    <s v="Si"/>
  </r>
  <r>
    <x v="1"/>
    <s v="CONSTRUIDA"/>
    <s v="Propiedad"/>
    <x v="5"/>
    <m/>
    <n v="3"/>
    <s v="Servicios sanitarios públicos"/>
    <s v="Vicerrectoría Administrativa Financiera "/>
    <s v="Baños públicos mujeres "/>
    <s v="N/A"/>
    <n v="7"/>
    <n v="20.440000000000001"/>
    <d v="2021-07-15T00:00:00"/>
    <s v="Si"/>
  </r>
  <r>
    <x v="1"/>
    <s v="CONSTRUIDA"/>
    <s v="Propiedad"/>
    <x v="5"/>
    <m/>
    <n v="3"/>
    <s v="Servicios sanitarios públicos"/>
    <s v="Vicerrectoría Administrativa Financiera "/>
    <s v="Baño personas con movilidad reducida "/>
    <s v="N/A"/>
    <n v="1"/>
    <n v="3.75"/>
    <d v="2021-07-15T00:00:00"/>
    <s v="No"/>
  </r>
  <r>
    <x v="0"/>
    <s v="CONSTRUIDA"/>
    <s v="Propiedad"/>
    <x v="5"/>
    <m/>
    <n v="3"/>
    <s v="Cuartos de servicio"/>
    <s v="Vicerrectoría Administrativa Financiera "/>
    <s v="Cuarto de Aseo"/>
    <s v="N/A"/>
    <n v="1"/>
    <n v="1.37"/>
    <d v="2021-07-15T00:00:00"/>
    <s v="No"/>
  </r>
  <r>
    <x v="0"/>
    <s v="CONSTRUIDA"/>
    <s v="Propiedad"/>
    <x v="5"/>
    <m/>
    <n v="3"/>
    <s v="Cuartos técnicos"/>
    <s v="Coordinación de Planta Física y Mantenimiento "/>
    <s v="Shut de Cables "/>
    <s v="N/A"/>
    <n v="0"/>
    <n v="2.04"/>
    <d v="2021-07-15T00:00:00"/>
    <s v="No"/>
  </r>
  <r>
    <x v="2"/>
    <s v="CONSTRUIDA"/>
    <s v="Propiedad"/>
    <x v="5"/>
    <m/>
    <n v="3"/>
    <s v="Malla de circulación"/>
    <s v="Vicerrectoría Administrativa Financiera "/>
    <s v="Escaleras acceso a parqueaderos - primer piso"/>
    <s v="Procesos de apoyo"/>
    <n v="0"/>
    <n v="17.82"/>
    <d v="2021-07-16T00:00:00"/>
    <s v="Si"/>
  </r>
  <r>
    <x v="2"/>
    <s v="CONSTRUIDA"/>
    <s v="Propiedad"/>
    <x v="5"/>
    <m/>
    <n v="3"/>
    <s v="Malla de circulación"/>
    <s v="Vicerrectoría Administrativa Financiera "/>
    <s v="Escaleras internas - punto de distribucion"/>
    <s v="Procesos de apoyo"/>
    <n v="0"/>
    <n v="15.38"/>
    <d v="2021-07-16T00:00:00"/>
    <s v="Si"/>
  </r>
  <r>
    <x v="0"/>
    <s v="CONSTRUIDA"/>
    <s v="Propiedad"/>
    <x v="5"/>
    <m/>
    <n v="3"/>
    <s v="Cuartos de servicio"/>
    <s v="Vicerrectoría Administrativa Financiera "/>
    <s v="Shut de Basuras - cuarto escoba mágica"/>
    <s v="N/A"/>
    <n v="0"/>
    <n v="1.74"/>
    <d v="2021-07-15T00:00:00"/>
    <s v="No"/>
  </r>
  <r>
    <x v="0"/>
    <s v="CONSTRUIDA"/>
    <s v="Propiedad"/>
    <x v="5"/>
    <m/>
    <n v="3"/>
    <s v="Cuartos técnicos"/>
    <s v="Coordinación de Redes y Comunicaciones "/>
    <s v="Cuarto técnico servidores  "/>
    <s v="N/A"/>
    <n v="0"/>
    <n v="8.74"/>
    <d v="2021-07-15T00:00:00"/>
    <s v="No"/>
  </r>
  <r>
    <x v="3"/>
    <s v="CONSTRUIDA"/>
    <s v="Propiedad"/>
    <x v="5"/>
    <n v="401"/>
    <n v="4"/>
    <s v="Aulas"/>
    <s v="Centro de Recursos Educativos "/>
    <s v="Aula de Clases"/>
    <s v="DOCENCIA"/>
    <n v="25"/>
    <n v="64.599999999999994"/>
    <d v="2021-07-16T00:00:00"/>
    <s v="No"/>
  </r>
  <r>
    <x v="3"/>
    <s v="CONSTRUIDA"/>
    <s v="Propiedad"/>
    <x v="5"/>
    <n v="402"/>
    <n v="4"/>
    <s v="Aulas"/>
    <s v="Centro de Recursos Educativos "/>
    <s v="Aula de Clases"/>
    <s v="DOCENCIA"/>
    <n v="44"/>
    <n v="88.64"/>
    <d v="2021-07-16T00:00:00"/>
    <s v="No"/>
  </r>
  <r>
    <x v="3"/>
    <s v="CONSTRUIDA"/>
    <s v="Propiedad"/>
    <x v="5"/>
    <n v="403"/>
    <n v="4"/>
    <s v="Aulas"/>
    <s v="Centro de Recursos Educativos "/>
    <s v="Aula de Clases"/>
    <s v="DOCENCIA"/>
    <n v="41"/>
    <n v="83.35"/>
    <d v="2021-07-16T00:00:00"/>
    <s v="No"/>
  </r>
  <r>
    <x v="3"/>
    <s v="CONSTRUIDA"/>
    <s v="Propiedad"/>
    <x v="5"/>
    <n v="404"/>
    <n v="4"/>
    <s v="Salas Cómputo"/>
    <s v="Jefatura de sistemas e Internet"/>
    <s v="Sala de sistemas No. 1"/>
    <s v="DOCENCIA"/>
    <n v="41"/>
    <n v="82.06"/>
    <d v="2021-07-16T00:00:00"/>
    <s v="No"/>
  </r>
  <r>
    <x v="3"/>
    <s v="CONSTRUIDA"/>
    <s v="Propiedad"/>
    <x v="5"/>
    <n v="405"/>
    <n v="4"/>
    <s v="Salas Cómputo"/>
    <s v="Jefatura de sistemas e Internet"/>
    <s v="Sala de sistemas No. 2"/>
    <s v="DOCENCIA"/>
    <n v="34"/>
    <n v="68.599999999999994"/>
    <d v="2021-07-16T00:00:00"/>
    <s v="No"/>
  </r>
  <r>
    <x v="3"/>
    <s v="CONSTRUIDA"/>
    <s v="Propiedad"/>
    <x v="5"/>
    <n v="406"/>
    <n v="4"/>
    <s v="Aulas"/>
    <s v="Centro de Recursos Educativos "/>
    <s v="Aula de Clase  con mesas de dibujo"/>
    <s v="DOCENCIA"/>
    <n v="45"/>
    <n v="112.74"/>
    <d v="2021-07-16T00:00:00"/>
    <s v="No"/>
  </r>
  <r>
    <x v="3"/>
    <s v="CONSTRUIDA"/>
    <s v="Propiedad"/>
    <x v="5"/>
    <n v="407"/>
    <n v="4"/>
    <s v="Aulas"/>
    <s v="Centro de Recursos Educativos "/>
    <s v="Aula de Clases"/>
    <s v="DOCENCIA"/>
    <n v="24"/>
    <n v="48.03"/>
    <d v="2021-07-16T00:00:00"/>
    <s v="No"/>
  </r>
  <r>
    <x v="3"/>
    <s v="CONSTRUIDA"/>
    <s v="Propiedad"/>
    <x v="5"/>
    <n v="408"/>
    <n v="4"/>
    <s v="Aulas"/>
    <s v="Centro de Recursos Educativos "/>
    <s v="Aula de Clases"/>
    <s v="DOCENCIA"/>
    <n v="22"/>
    <n v="44.5"/>
    <d v="2021-07-16T00:00:00"/>
    <s v="No"/>
  </r>
  <r>
    <x v="3"/>
    <s v="CONSTRUIDA"/>
    <s v="Propiedad"/>
    <x v="5"/>
    <n v="409"/>
    <n v="4"/>
    <s v="Aulas"/>
    <s v="Centro de Recursos Educativos "/>
    <s v="Aula de Clases"/>
    <s v="DOCENCIA"/>
    <n v="21"/>
    <n v="43.7"/>
    <d v="2021-07-16T00:00:00"/>
    <s v="No"/>
  </r>
  <r>
    <x v="3"/>
    <s v="CONSTRUIDA"/>
    <s v="Propiedad"/>
    <x v="5"/>
    <n v="410"/>
    <n v="4"/>
    <s v="Aulas"/>
    <s v="Centro de Recursos Educativos "/>
    <s v="Aula de Clases"/>
    <s v="DOCENCIA"/>
    <n v="21"/>
    <n v="41.87"/>
    <d v="2021-07-16T00:00:00"/>
    <s v="No"/>
  </r>
  <r>
    <x v="2"/>
    <s v="CONSTRUIDA"/>
    <s v="Propiedad"/>
    <x v="5"/>
    <m/>
    <n v="4"/>
    <s v="Malla de circulación"/>
    <s v="Coordinación de Planta Física y Mantenimiento "/>
    <s v="Escaleras acceso a parqueaderos - primer piso"/>
    <s v="Procesos de apoyo"/>
    <n v="0"/>
    <n v="17.82"/>
    <d v="2021-07-16T00:00:00"/>
    <s v="Si"/>
  </r>
  <r>
    <x v="2"/>
    <s v="CONSTRUIDA"/>
    <s v="Propiedad"/>
    <x v="5"/>
    <m/>
    <n v="4"/>
    <s v="Malla de circulación"/>
    <s v="Coordinación de Planta Física y Mantenimiento "/>
    <s v="Escaleras internas - punto de distribucion"/>
    <s v="Procesos de apoyo"/>
    <n v="0"/>
    <n v="15.38"/>
    <d v="2021-07-16T00:00:00"/>
    <s v="Si"/>
  </r>
  <r>
    <x v="2"/>
    <s v="CONSTRUIDA"/>
    <s v="Propiedad"/>
    <x v="5"/>
    <m/>
    <n v="4"/>
    <s v="Malla de circulación"/>
    <s v="Vicerrectoría Administrativa Financiera "/>
    <s v="Pasillos cuarto piso"/>
    <s v="N/A"/>
    <n v="70"/>
    <n v="245.93"/>
    <d v="2021-07-16T00:00:00"/>
    <s v="Si"/>
  </r>
  <r>
    <x v="1"/>
    <s v="CONSTRUIDA"/>
    <s v="Propiedad"/>
    <x v="5"/>
    <m/>
    <n v="4"/>
    <s v="Servicios sanitarios públicos"/>
    <s v="Vicerrectoría Administrativa Financiera "/>
    <s v="Baño hombres cuarto piso"/>
    <s v="N/A"/>
    <n v="2"/>
    <n v="15.82"/>
    <d v="2021-07-16T00:00:00"/>
    <s v="Si"/>
  </r>
  <r>
    <x v="1"/>
    <s v="CONSTRUIDA"/>
    <s v="Propiedad"/>
    <x v="5"/>
    <m/>
    <n v="4"/>
    <s v="Servicios sanitarios públicos"/>
    <s v="Vicerrectoría Administrativa Financiera "/>
    <s v="Baño mujeres cuarto piso"/>
    <s v="N/A"/>
    <n v="7"/>
    <n v="20.440000000000001"/>
    <d v="2021-07-16T00:00:00"/>
    <s v="Si"/>
  </r>
  <r>
    <x v="1"/>
    <s v="CONSTRUIDA"/>
    <s v="Propiedad"/>
    <x v="5"/>
    <m/>
    <n v="4"/>
    <s v="Servicios sanitarios públicos"/>
    <s v="Vicerrectoría Administrativa Financiera "/>
    <s v="Baño personas con mobilidad reducida cuarto piso"/>
    <s v="N/A"/>
    <n v="1"/>
    <n v="3.75"/>
    <d v="2021-07-16T00:00:00"/>
    <s v="No"/>
  </r>
  <r>
    <x v="0"/>
    <s v="CONSTRUIDA"/>
    <s v="Propiedad"/>
    <x v="5"/>
    <m/>
    <n v="4"/>
    <s v="Cuartos de servicio"/>
    <s v="Vicerrectoría Administrativa Financiera "/>
    <s v="Cuarto de Aseo y lavatrapero"/>
    <s v="N/A"/>
    <n v="1"/>
    <n v="1.37"/>
    <d v="2021-07-16T00:00:00"/>
    <s v="No"/>
  </r>
  <r>
    <x v="0"/>
    <s v="CONSTRUIDA"/>
    <s v="Propiedad"/>
    <x v="5"/>
    <m/>
    <n v="4"/>
    <s v="Cuartos técnicos"/>
    <s v="Coordinación de Planta Física y Mantenimiento "/>
    <s v="Shut de Cables "/>
    <s v="N/A"/>
    <n v="0"/>
    <n v="2.04"/>
    <d v="2021-07-16T00:00:00"/>
    <s v="No"/>
  </r>
  <r>
    <x v="0"/>
    <s v="CONSTRUIDA"/>
    <s v="Propiedad"/>
    <x v="5"/>
    <m/>
    <n v="4"/>
    <s v="Cuartos de servicio"/>
    <s v="Vicerrectoría Administrativa Financiera "/>
    <s v="Shut de Basuras - cuarto escoba mágica"/>
    <s v="N/A"/>
    <n v="0"/>
    <n v="1.74"/>
    <d v="2021-07-16T00:00:00"/>
    <s v="No"/>
  </r>
  <r>
    <x v="0"/>
    <s v="CONSTRUIDA"/>
    <s v="Propiedad"/>
    <x v="5"/>
    <m/>
    <n v="4"/>
    <s v="Cuartos técnicos"/>
    <s v="Coordinación de Redes y Comunicaciones "/>
    <s v="Cuarto técnico servidores cuarto piso"/>
    <s v="N/A"/>
    <n v="0"/>
    <n v="8.74"/>
    <d v="2021-07-16T00:00:00"/>
    <s v="No"/>
  </r>
  <r>
    <x v="3"/>
    <s v="CONSTRUIDA"/>
    <s v="Propiedad"/>
    <x v="5"/>
    <n v="501"/>
    <n v="5"/>
    <s v="Aulas"/>
    <s v="Centro de Recursos Educativos "/>
    <s v="Aula de Clases"/>
    <s v="DOCENCIA"/>
    <n v="25"/>
    <n v="47.9"/>
    <d v="2021-07-16T00:00:00"/>
    <s v="No"/>
  </r>
  <r>
    <x v="3"/>
    <s v="CONSTRUIDA"/>
    <s v="Propiedad"/>
    <x v="5"/>
    <n v="502"/>
    <n v="5"/>
    <s v="Aulas"/>
    <s v="Centro de Recursos Educativos "/>
    <s v="Aula de Clases"/>
    <s v="DOCENCIA"/>
    <n v="25"/>
    <n v="42"/>
    <d v="2021-07-16T00:00:00"/>
    <s v="No"/>
  </r>
  <r>
    <x v="3"/>
    <s v="CONSTRUIDA"/>
    <s v="Propiedad"/>
    <x v="5"/>
    <n v="503"/>
    <n v="5"/>
    <s v="Aulas"/>
    <s v="Centro de Recursos Educativos "/>
    <s v="Aula de Clases"/>
    <s v="DOCENCIA"/>
    <n v="25"/>
    <n v="48.73"/>
    <d v="2021-07-16T00:00:00"/>
    <s v="No"/>
  </r>
  <r>
    <x v="3"/>
    <s v="CONSTRUIDA"/>
    <s v="Propiedad"/>
    <x v="5"/>
    <n v="504"/>
    <n v="5"/>
    <s v="Aulas"/>
    <s v="Centro de Recursos Educativos "/>
    <s v="Aula de Clases"/>
    <s v="DOCENCIA"/>
    <n v="25"/>
    <n v="48.81"/>
    <d v="2021-07-16T00:00:00"/>
    <s v="No"/>
  </r>
  <r>
    <x v="3"/>
    <s v="CONSTRUIDA"/>
    <s v="Propiedad"/>
    <x v="5"/>
    <n v="505"/>
    <n v="5"/>
    <s v="Aulas"/>
    <s v="Centro de Recursos Educativos "/>
    <s v="Aula de Clases"/>
    <s v="DOCENCIA"/>
    <n v="25"/>
    <n v="48.73"/>
    <d v="2021-07-16T00:00:00"/>
    <s v="No"/>
  </r>
  <r>
    <x v="3"/>
    <s v="CONSTRUIDA"/>
    <s v="Propiedad"/>
    <x v="5"/>
    <n v="506"/>
    <n v="5"/>
    <s v="Aulas"/>
    <s v="Centro de Recursos Educativos "/>
    <s v="Aula de Clases"/>
    <s v="DOCENCIA"/>
    <n v="25"/>
    <n v="48.64"/>
    <d v="2021-07-16T00:00:00"/>
    <s v="No"/>
  </r>
  <r>
    <x v="3"/>
    <s v="CONSTRUIDA"/>
    <s v="Propiedad"/>
    <x v="5"/>
    <n v="507"/>
    <n v="5"/>
    <s v="Aulas"/>
    <s v="Centro de Recursos Educativos "/>
    <s v="Aula de Clases"/>
    <s v="DOCENCIA"/>
    <n v="25"/>
    <n v="47.38"/>
    <d v="2021-07-16T00:00:00"/>
    <s v="No"/>
  </r>
  <r>
    <x v="3"/>
    <s v="CONSTRUIDA"/>
    <s v="Propiedad"/>
    <x v="5"/>
    <n v="508"/>
    <n v="5"/>
    <s v="Aulas"/>
    <s v="Centro de Recursos Educativos "/>
    <s v="Aula de Clases"/>
    <s v="DOCENCIA"/>
    <n v="26"/>
    <n v="51.77"/>
    <d v="2021-07-16T00:00:00"/>
    <s v="No"/>
  </r>
  <r>
    <x v="3"/>
    <s v="CONSTRUIDA"/>
    <s v="Propiedad"/>
    <x v="5"/>
    <n v="509"/>
    <n v="5"/>
    <s v="Aulas"/>
    <s v="Centro de Recursos Educativos "/>
    <s v="Aula de Clases"/>
    <s v="DOCENCIA"/>
    <n v="26"/>
    <n v="51.27"/>
    <d v="2021-07-16T00:00:00"/>
    <s v="No"/>
  </r>
  <r>
    <x v="3"/>
    <s v="CONSTRUIDA"/>
    <s v="Propiedad"/>
    <x v="5"/>
    <n v="510"/>
    <n v="5"/>
    <s v="Aulas"/>
    <s v="Centro de Recursos Educativos "/>
    <s v="Aula de Clases"/>
    <s v="DOCENCIA"/>
    <n v="25"/>
    <n v="47.05"/>
    <d v="2021-07-16T00:00:00"/>
    <s v="No"/>
  </r>
  <r>
    <x v="3"/>
    <s v="CONSTRUIDA"/>
    <s v="Propiedad"/>
    <x v="5"/>
    <n v="511"/>
    <n v="5"/>
    <s v="Aulas"/>
    <s v="Centro de Recursos Educativos "/>
    <s v="Aula de Clases"/>
    <s v="DOCENCIA"/>
    <n v="25"/>
    <n v="43.98"/>
    <d v="2021-07-16T00:00:00"/>
    <s v="No"/>
  </r>
  <r>
    <x v="3"/>
    <s v="CONSTRUIDA"/>
    <s v="Propiedad"/>
    <x v="5"/>
    <n v="512"/>
    <n v="5"/>
    <s v="Aulas"/>
    <s v="Centro de Recursos Educativos "/>
    <s v="Aula de Clases"/>
    <s v="DOCENCIA"/>
    <n v="25"/>
    <n v="44.63"/>
    <d v="2021-07-16T00:00:00"/>
    <s v="No"/>
  </r>
  <r>
    <x v="3"/>
    <s v="CONSTRUIDA"/>
    <s v="Propiedad"/>
    <x v="5"/>
    <n v="513"/>
    <n v="5"/>
    <s v="Aulas"/>
    <s v="Centro de Recursos Educativos "/>
    <s v="Aula de Clases"/>
    <s v="DOCENCIA"/>
    <n v="20"/>
    <n v="40.340000000000003"/>
    <d v="2021-07-16T00:00:00"/>
    <s v="No"/>
  </r>
  <r>
    <x v="3"/>
    <s v="CONSTRUIDA"/>
    <s v="Propiedad"/>
    <x v="5"/>
    <n v="514"/>
    <n v="5"/>
    <s v="Aulas"/>
    <s v="Centro de Recursos Educativos "/>
    <s v="Aula de Clases"/>
    <s v="DOCENCIA"/>
    <n v="19"/>
    <n v="38.450000000000003"/>
    <d v="2021-07-16T00:00:00"/>
    <s v="No"/>
  </r>
  <r>
    <x v="3"/>
    <s v="CONSTRUIDA"/>
    <s v="Propiedad"/>
    <x v="5"/>
    <n v="515"/>
    <n v="5"/>
    <s v="Aulas"/>
    <s v="Centro de Recursos Educativos "/>
    <s v="Aula de Clases"/>
    <s v="DOCENCIA"/>
    <n v="19"/>
    <n v="37.46"/>
    <d v="2021-07-16T00:00:00"/>
    <s v="No"/>
  </r>
  <r>
    <x v="3"/>
    <s v="CONSTRUIDA"/>
    <s v="Propiedad"/>
    <x v="5"/>
    <n v="516"/>
    <n v="5"/>
    <s v="Aulas"/>
    <s v="Centro de Recursos Educativos "/>
    <s v="Aula de Clases"/>
    <s v="DOCENCIA"/>
    <n v="25"/>
    <n v="44.43"/>
    <d v="2021-07-16T00:00:00"/>
    <s v="No"/>
  </r>
  <r>
    <x v="2"/>
    <s v="CONSTRUIDA"/>
    <s v="Propiedad"/>
    <x v="5"/>
    <m/>
    <n v="5"/>
    <s v="Malla de circulación"/>
    <s v="Vicerrectoría Administrativa Financiera "/>
    <s v="Pasillos quinto piso  "/>
    <s v="N/A"/>
    <n v="178"/>
    <n v="356.77"/>
    <d v="2021-07-16T00:00:00"/>
    <s v="Si"/>
  </r>
  <r>
    <x v="1"/>
    <s v="CONSTRUIDA"/>
    <s v="Propiedad"/>
    <x v="5"/>
    <m/>
    <n v="5"/>
    <s v="Servicios sanitarios públicos"/>
    <s v="Vicerrectoría Administrativa Financiera "/>
    <s v="Baño hombres quinto piso"/>
    <s v="N/A"/>
    <n v="2"/>
    <n v="15.82"/>
    <d v="2021-07-16T00:00:00"/>
    <s v="Si"/>
  </r>
  <r>
    <x v="1"/>
    <s v="CONSTRUIDA"/>
    <s v="Propiedad"/>
    <x v="5"/>
    <m/>
    <n v="5"/>
    <s v="Servicios sanitarios públicos"/>
    <s v="Vicerrectoría Administrativa Financiera "/>
    <s v="Baño mujeres quinto piso"/>
    <s v="N/A"/>
    <n v="7"/>
    <n v="20.440000000000001"/>
    <d v="2021-07-16T00:00:00"/>
    <s v="Si"/>
  </r>
  <r>
    <x v="1"/>
    <s v="CONSTRUIDA"/>
    <s v="Propiedad"/>
    <x v="5"/>
    <m/>
    <n v="5"/>
    <s v="Servicios sanitarios públicos"/>
    <s v="Vicerrectoría Administrativa Financiera "/>
    <s v="Baño personas con mobilidad reducida quinto piso"/>
    <s v="N/A"/>
    <n v="1"/>
    <n v="3.75"/>
    <d v="2021-07-16T00:00:00"/>
    <s v="No"/>
  </r>
  <r>
    <x v="0"/>
    <s v="CONSTRUIDA"/>
    <s v="Propiedad"/>
    <x v="5"/>
    <m/>
    <n v="5"/>
    <s v="Cuartos de servicio"/>
    <s v="Vicerrectoría Administrativa Financiera "/>
    <s v="Cuarto de Aseo - Lavatraperos"/>
    <s v="N/A"/>
    <n v="0"/>
    <n v="1.37"/>
    <d v="2021-07-16T00:00:00"/>
    <s v="No"/>
  </r>
  <r>
    <x v="0"/>
    <s v="CONSTRUIDA"/>
    <s v="Propiedad"/>
    <x v="5"/>
    <m/>
    <n v="5"/>
    <s v="Cuartos de servicio"/>
    <s v="Vicerrectoría Administrativa Financiera "/>
    <s v="Shut de Basuras "/>
    <s v="N/A"/>
    <n v="0"/>
    <n v="1.74"/>
    <d v="2021-07-16T00:00:00"/>
    <s v="No"/>
  </r>
  <r>
    <x v="0"/>
    <s v="CONSTRUIDA"/>
    <s v="Propiedad"/>
    <x v="5"/>
    <m/>
    <n v="5"/>
    <s v="Cuartos técnicos"/>
    <s v="Coordinación de Planta Física y Mantenimiento "/>
    <s v="Shut de Cables "/>
    <s v="N/A"/>
    <n v="0"/>
    <n v="2.04"/>
    <d v="2021-07-16T00:00:00"/>
    <s v="No"/>
  </r>
  <r>
    <x v="2"/>
    <s v="CONSTRUIDA"/>
    <s v="Propiedad"/>
    <x v="5"/>
    <m/>
    <n v="5"/>
    <s v="Malla de circulación"/>
    <s v="Coordinación de Planta Física y Mantenimiento "/>
    <s v="Escaleras acceso a parqueaderos - primer piso"/>
    <s v="Procesos de apoyo"/>
    <n v="0"/>
    <n v="17.82"/>
    <d v="2021-07-16T00:00:00"/>
    <s v="Si"/>
  </r>
  <r>
    <x v="2"/>
    <s v="CONSTRUIDA"/>
    <s v="Propiedad"/>
    <x v="5"/>
    <m/>
    <n v="5"/>
    <s v="Malla de circulación"/>
    <s v="Coordinación de Planta Física y Mantenimiento "/>
    <s v="Escaleras internas - punto de distribucion"/>
    <s v="Procesos de apoyo"/>
    <n v="0"/>
    <n v="15.38"/>
    <d v="2021-07-16T00:00:00"/>
    <s v="Si"/>
  </r>
  <r>
    <x v="0"/>
    <s v="CONSTRUIDA"/>
    <s v="Propiedad"/>
    <x v="5"/>
    <m/>
    <n v="5"/>
    <s v="Cuartos técnicos"/>
    <s v="Coordinación de Redes y Comunicaciones "/>
    <s v="Cuarto técnico servidores quinto piso"/>
    <s v="N/A"/>
    <n v="0"/>
    <n v="8.74"/>
    <d v="2021-07-16T00:00:00"/>
    <s v="No"/>
  </r>
  <r>
    <x v="3"/>
    <s v="CONSTRUIDA"/>
    <s v="Propiedad"/>
    <x v="5"/>
    <n v="601"/>
    <n v="6"/>
    <s v="Aulas"/>
    <s v="Centro de Recursos Educativos "/>
    <s v="Aula de Clases"/>
    <s v="DOCENCIA"/>
    <n v="25"/>
    <n v="47.9"/>
    <d v="2021-07-16T00:00:00"/>
    <s v="No"/>
  </r>
  <r>
    <x v="3"/>
    <s v="CONSTRUIDA"/>
    <s v="Propiedad"/>
    <x v="5"/>
    <n v="602"/>
    <n v="6"/>
    <s v="Aulas"/>
    <s v="Centro de Recursos Educativos "/>
    <s v="Aula de Clases"/>
    <s v="DOCENCIA"/>
    <n v="25"/>
    <n v="42"/>
    <d v="2021-07-16T00:00:00"/>
    <s v="No"/>
  </r>
  <r>
    <x v="3"/>
    <s v="CONSTRUIDA"/>
    <s v="Propiedad"/>
    <x v="5"/>
    <n v="603"/>
    <n v="6"/>
    <s v="Aulas"/>
    <s v="Centro de Recursos Educativos "/>
    <s v="Aula de Clases"/>
    <s v="DOCENCIA"/>
    <n v="25"/>
    <n v="48.73"/>
    <d v="2021-07-16T00:00:00"/>
    <s v="No"/>
  </r>
  <r>
    <x v="3"/>
    <s v="CONSTRUIDA"/>
    <s v="Propiedad"/>
    <x v="5"/>
    <n v="604"/>
    <n v="6"/>
    <s v="Aulas"/>
    <s v="Centro de Recursos Educativos "/>
    <s v="Aula de Clases"/>
    <s v="DOCENCIA"/>
    <n v="25"/>
    <n v="48.81"/>
    <d v="2021-07-16T00:00:00"/>
    <s v="No"/>
  </r>
  <r>
    <x v="3"/>
    <s v="CONSTRUIDA"/>
    <s v="Propiedad"/>
    <x v="5"/>
    <n v="605"/>
    <n v="6"/>
    <s v="Aulas"/>
    <s v="Centro de Recursos Educativos "/>
    <s v="Aula de Clases"/>
    <s v="DOCENCIA"/>
    <n v="25"/>
    <n v="48.73"/>
    <d v="2021-07-16T00:00:00"/>
    <s v="No"/>
  </r>
  <r>
    <x v="3"/>
    <s v="CONSTRUIDA"/>
    <s v="Propiedad"/>
    <x v="5"/>
    <n v="606"/>
    <n v="6"/>
    <s v="Aulas"/>
    <s v="Centro de Recursos Educativos "/>
    <s v="Aula de Clases"/>
    <s v="DOCENCIA"/>
    <n v="25"/>
    <n v="48.64"/>
    <d v="2021-07-16T00:00:00"/>
    <s v="No"/>
  </r>
  <r>
    <x v="3"/>
    <s v="CONSTRUIDA"/>
    <s v="Propiedad"/>
    <x v="5"/>
    <n v="607"/>
    <n v="6"/>
    <s v="Aulas"/>
    <s v="Centro de Recursos Educativos "/>
    <s v="Aula de Clases"/>
    <s v="DOCENCIA"/>
    <n v="25"/>
    <n v="47.38"/>
    <d v="2021-07-16T00:00:00"/>
    <s v="No"/>
  </r>
  <r>
    <x v="3"/>
    <s v="CONSTRUIDA"/>
    <s v="Propiedad"/>
    <x v="5"/>
    <n v="608"/>
    <n v="6"/>
    <s v="Aulas"/>
    <s v="Centro de Recursos Educativos "/>
    <s v="Aula de Clases"/>
    <s v="DOCENCIA"/>
    <n v="26"/>
    <n v="51.77"/>
    <d v="2021-07-16T00:00:00"/>
    <s v="No"/>
  </r>
  <r>
    <x v="3"/>
    <s v="CONSTRUIDA"/>
    <s v="Propiedad"/>
    <x v="5"/>
    <n v="609"/>
    <n v="6"/>
    <s v="Aulas"/>
    <s v="Centro de Recursos Educativos "/>
    <s v="Aula de Clases"/>
    <s v="DOCENCIA"/>
    <n v="26"/>
    <n v="51.27"/>
    <d v="2021-07-16T00:00:00"/>
    <s v="No"/>
  </r>
  <r>
    <x v="3"/>
    <s v="CONSTRUIDA"/>
    <s v="Propiedad"/>
    <x v="5"/>
    <n v="610"/>
    <n v="6"/>
    <s v="Aulas"/>
    <s v="Centro de Recursos Educativos "/>
    <s v="Aula de Clases"/>
    <s v="DOCENCIA"/>
    <n v="25"/>
    <n v="47.05"/>
    <d v="2021-07-16T00:00:00"/>
    <s v="No"/>
  </r>
  <r>
    <x v="3"/>
    <s v="CONSTRUIDA"/>
    <s v="Propiedad"/>
    <x v="5"/>
    <n v="611"/>
    <n v="6"/>
    <s v="Aulas"/>
    <s v="Centro de Recursos Educativos "/>
    <s v="Aula de Clases"/>
    <s v="DOCENCIA"/>
    <n v="25"/>
    <n v="43.98"/>
    <d v="2021-07-16T00:00:00"/>
    <s v="No"/>
  </r>
  <r>
    <x v="3"/>
    <s v="CONSTRUIDA"/>
    <s v="Propiedad"/>
    <x v="5"/>
    <n v="612"/>
    <n v="6"/>
    <s v="Aulas"/>
    <s v="Centro de Recursos Educativos "/>
    <s v="Aula de Clases"/>
    <s v="DOCENCIA"/>
    <n v="25"/>
    <n v="44.63"/>
    <d v="2021-07-16T00:00:00"/>
    <s v="No"/>
  </r>
  <r>
    <x v="3"/>
    <s v="CONSTRUIDA"/>
    <s v="Propiedad"/>
    <x v="5"/>
    <n v="613"/>
    <n v="6"/>
    <s v="Aulas"/>
    <s v="Centro de Recursos Educativos "/>
    <s v="Aula de Clases"/>
    <s v="DOCENCIA"/>
    <n v="20"/>
    <n v="40.340000000000003"/>
    <d v="2021-07-16T00:00:00"/>
    <s v="No"/>
  </r>
  <r>
    <x v="3"/>
    <s v="CONSTRUIDA"/>
    <s v="Propiedad"/>
    <x v="5"/>
    <n v="614"/>
    <n v="6"/>
    <s v="Aulas"/>
    <s v="Centro de Recursos Educativos "/>
    <s v="Aula de Clases"/>
    <s v="DOCENCIA"/>
    <n v="19"/>
    <n v="38.450000000000003"/>
    <d v="2021-07-16T00:00:00"/>
    <s v="No"/>
  </r>
  <r>
    <x v="3"/>
    <s v="CONSTRUIDA"/>
    <s v="Propiedad"/>
    <x v="5"/>
    <n v="615"/>
    <n v="6"/>
    <s v="Aulas"/>
    <s v="Centro de Recursos Educativos "/>
    <s v="Aula de Clases"/>
    <s v="DOCENCIA"/>
    <n v="19"/>
    <n v="37.46"/>
    <d v="2021-07-16T00:00:00"/>
    <s v="No"/>
  </r>
  <r>
    <x v="3"/>
    <s v="CONSTRUIDA"/>
    <s v="Propiedad"/>
    <x v="5"/>
    <n v="616"/>
    <n v="6"/>
    <s v="Aulas"/>
    <s v="Centro de Recursos Educativos "/>
    <s v="Aula de Clases"/>
    <s v="DOCENCIA"/>
    <n v="25"/>
    <n v="44.43"/>
    <d v="2021-07-16T00:00:00"/>
    <s v="No"/>
  </r>
  <r>
    <x v="2"/>
    <s v="CONSTRUIDA"/>
    <s v="Propiedad"/>
    <x v="5"/>
    <m/>
    <n v="6"/>
    <s v="Malla de circulación"/>
    <s v="Vicerrectoría Administrativa Financiera "/>
    <s v="Pasillos sexto piso "/>
    <s v="N/A"/>
    <n v="178"/>
    <n v="356.77"/>
    <d v="2021-07-16T00:00:00"/>
    <s v="Si"/>
  </r>
  <r>
    <x v="1"/>
    <s v="CONSTRUIDA"/>
    <s v="Propiedad"/>
    <x v="5"/>
    <m/>
    <n v="6"/>
    <s v="Servicios sanitarios públicos"/>
    <s v="Vicerrectoría Administrativa Financiera "/>
    <s v="Baño hombres sexto piso"/>
    <s v="N/A"/>
    <n v="2"/>
    <n v="15.82"/>
    <d v="2021-07-16T00:00:00"/>
    <s v="Si"/>
  </r>
  <r>
    <x v="1"/>
    <s v="CONSTRUIDA"/>
    <s v="Propiedad"/>
    <x v="5"/>
    <m/>
    <n v="6"/>
    <s v="Servicios sanitarios públicos"/>
    <s v="Vicerrectoría Administrativa Financiera "/>
    <s v="Baño mujeres sexto piso"/>
    <s v="N/A"/>
    <n v="7"/>
    <n v="20.440000000000001"/>
    <d v="2021-07-16T00:00:00"/>
    <s v="Si"/>
  </r>
  <r>
    <x v="1"/>
    <s v="CONSTRUIDA"/>
    <s v="Propiedad"/>
    <x v="5"/>
    <m/>
    <n v="6"/>
    <s v="Servicios sanitarios públicos"/>
    <s v="Vicerrectoría Administrativa Financiera "/>
    <s v="Baño personas con mobilidad reducida sexto piso"/>
    <s v="N/A"/>
    <n v="1"/>
    <n v="3.75"/>
    <d v="2021-07-16T00:00:00"/>
    <s v="No"/>
  </r>
  <r>
    <x v="0"/>
    <s v="CONSTRUIDA"/>
    <s v="Propiedad"/>
    <x v="5"/>
    <m/>
    <n v="6"/>
    <s v="Cuartos de servicio"/>
    <s v="Vicerrectoría Administrativa Financiera "/>
    <s v="Cuarto de aseo - Lavatraperos "/>
    <s v="N/A"/>
    <n v="0"/>
    <n v="1.37"/>
    <d v="2021-07-16T00:00:00"/>
    <s v="No"/>
  </r>
  <r>
    <x v="0"/>
    <s v="CONSTRUIDA"/>
    <s v="Propiedad"/>
    <x v="5"/>
    <m/>
    <n v="6"/>
    <s v="Cuartos de servicio"/>
    <s v="Vicerrectoría Administrativa Financiera "/>
    <s v="Shut de Basuras - cuarto escoba mágica"/>
    <s v="N/A"/>
    <n v="0"/>
    <n v="1.74"/>
    <d v="2021-07-16T00:00:00"/>
    <s v="No"/>
  </r>
  <r>
    <x v="0"/>
    <s v="CONSTRUIDA"/>
    <s v="Propiedad"/>
    <x v="5"/>
    <m/>
    <n v="6"/>
    <s v="Cuartos técnicos"/>
    <s v="Coordinación de Redes y Comunicaciones "/>
    <s v="Shut de Cables "/>
    <s v="N/A"/>
    <n v="0"/>
    <n v="2.04"/>
    <d v="2021-07-16T00:00:00"/>
    <s v="No"/>
  </r>
  <r>
    <x v="0"/>
    <s v="CONSTRUIDA"/>
    <s v="Propiedad"/>
    <x v="5"/>
    <m/>
    <n v="6"/>
    <s v="Cuartos técnicos"/>
    <s v="Coordinación de Redes y Comunicaciones "/>
    <s v="Cuarto técnico servidores sexto piso"/>
    <s v="N/A"/>
    <n v="0"/>
    <n v="8.74"/>
    <d v="2021-07-16T00:00:00"/>
    <s v="No"/>
  </r>
  <r>
    <x v="3"/>
    <s v="CONSTRUIDA"/>
    <s v="Arriendo"/>
    <x v="2"/>
    <m/>
    <n v="1"/>
    <s v="Espacios deportivos"/>
    <s v="Centro de Recursos Educativos "/>
    <s v="Sala de Gimansia - Colchonetas"/>
    <s v="DOCENCIA"/>
    <n v="15"/>
    <n v="124.89"/>
    <m/>
    <s v="Si"/>
  </r>
  <r>
    <x v="3"/>
    <s v="CONSTRUIDA"/>
    <s v="Arriendo"/>
    <x v="2"/>
    <m/>
    <n v="1"/>
    <s v="Espacios deportivos"/>
    <s v="Centro de Recursos Educativos "/>
    <s v="Sala de Gimansia -  Maquinas"/>
    <s v="DOCENCIA"/>
    <n v="10"/>
    <n v="33.07"/>
    <m/>
    <s v="Si"/>
  </r>
  <r>
    <x v="2"/>
    <s v="CONSTRUIDA"/>
    <s v="Arriendo"/>
    <x v="2"/>
    <m/>
    <n v="1"/>
    <s v="Malla_de_circulación"/>
    <s v="Centro de Recursos Educativos "/>
    <s v="Gradas acceso a Maquinas"/>
    <s v="Procesos de apoyo"/>
    <n v="0"/>
    <n v="4.68"/>
    <m/>
    <s v="No"/>
  </r>
  <r>
    <x v="3"/>
    <s v="CONSTRUIDA"/>
    <s v="Arriendo"/>
    <x v="2"/>
    <m/>
    <n v="1"/>
    <s v="Espacios deportivos"/>
    <s v="Centro de Recursos Educativos "/>
    <s v="Salón de Danzas"/>
    <s v="DOCENCIA"/>
    <n v="30"/>
    <n v="91.48"/>
    <m/>
    <s v="Si"/>
  </r>
  <r>
    <x v="3"/>
    <s v="CONSTRUIDA"/>
    <s v="Arriendo"/>
    <x v="2"/>
    <m/>
    <n v="1"/>
    <s v="Espacios deportivos"/>
    <s v="Centro de Recursos Educativos "/>
    <s v="Sala de música"/>
    <s v="DOCENCIA"/>
    <n v="5"/>
    <n v="24.79"/>
    <m/>
    <s v="Si"/>
  </r>
  <r>
    <x v="1"/>
    <s v="CONSTRUIDA"/>
    <s v="Arriendo"/>
    <x v="2"/>
    <m/>
    <n v="1"/>
    <s v="Espacios de integración"/>
    <s v="Centro de Recursos Educativos "/>
    <s v="Sala de vestuario"/>
    <s v="DOCENCIA"/>
    <n v="10"/>
    <n v="24.79"/>
    <m/>
    <s v="Si"/>
  </r>
  <r>
    <x v="4"/>
    <s v="CONSTRUIDA"/>
    <s v="Arriendo"/>
    <x v="0"/>
    <m/>
    <n v="1"/>
    <s v="Auditorios"/>
    <s v="AEMG"/>
    <s v="Coliseo Guillermo de Castellana"/>
    <s v="Procesos de apoyo"/>
    <n v="1500"/>
    <n v="982"/>
    <m/>
    <s v="No"/>
  </r>
  <r>
    <x v="3"/>
    <s v="CONSTRUIDA"/>
    <s v="Arriendo"/>
    <x v="2"/>
    <m/>
    <n v="1"/>
    <s v="Bodegas"/>
    <s v="Vicerrectoría de Bienestar Universitario "/>
    <s v="Bodega de danzas "/>
    <s v="DOCENCIA"/>
    <n v="30"/>
    <n v="24.1"/>
    <m/>
    <s v="Si"/>
  </r>
  <r>
    <x v="1"/>
    <s v="CONSTRUIDA"/>
    <s v="Propiedad"/>
    <x v="3"/>
    <m/>
    <n v="1"/>
    <s v="Espacios deportivos"/>
    <s v="Centro de Recursos Educativos "/>
    <s v="Cancha No. 1"/>
    <s v="DOCENCIA"/>
    <n v="30"/>
    <n v="725.25"/>
    <m/>
    <s v="Si"/>
  </r>
  <r>
    <x v="1"/>
    <s v="CONSTRUIDA"/>
    <s v="Arriendo"/>
    <x v="3"/>
    <m/>
    <n v="1"/>
    <s v="Espacios deportivos"/>
    <s v="Centro de Recursos Educativos "/>
    <s v="Cancha No. 2"/>
    <s v="DOCENCIA"/>
    <n v="30"/>
    <n v="938.76"/>
    <m/>
    <s v="Si"/>
  </r>
  <r>
    <x v="1"/>
    <s v="CONSTRUIDA"/>
    <s v="Arriendo"/>
    <x v="3"/>
    <m/>
    <n v="1"/>
    <s v="Espacios deportivos"/>
    <s v="Centro de Recursos Educativos "/>
    <s v="Cancha No. 3"/>
    <s v="DOCENCIA"/>
    <n v="30"/>
    <n v="781.46"/>
    <m/>
    <s v="Si"/>
  </r>
  <r>
    <x v="1"/>
    <s v="CONSTRUIDA"/>
    <s v="Arriendo"/>
    <x v="3"/>
    <m/>
    <n v="1"/>
    <s v="Espacios deportivos"/>
    <s v="Centro de Recursos Educativos "/>
    <s v="Cancha de Tenis "/>
    <s v="DOCENCIA"/>
    <n v="2"/>
    <n v="377.47"/>
    <m/>
    <s v="Si"/>
  </r>
  <r>
    <x v="2"/>
    <s v="CONSTRUIDA"/>
    <s v="Arriendo"/>
    <x v="3"/>
    <m/>
    <n v="1"/>
    <s v="Malla_de_circulación"/>
    <s v="Centro de Recursos Educativos "/>
    <s v="Gradas acceso a música"/>
    <s v="Procesos de apoyo"/>
    <n v="0"/>
    <n v="7.2"/>
    <m/>
    <s v="No"/>
  </r>
  <r>
    <x v="2"/>
    <s v="CONSTRUIDA"/>
    <s v="Arriendo"/>
    <x v="3"/>
    <m/>
    <n v="1"/>
    <s v="Zonas verdes"/>
    <s v="Vicerrectoría Administrativa Financiera "/>
    <s v="Zona verde Cancha No. 2"/>
    <s v="Procesos de apoyo"/>
    <n v="0"/>
    <n v="168.59"/>
    <m/>
    <s v="Si"/>
  </r>
  <r>
    <x v="0"/>
    <s v="CONSTRUIDA"/>
    <s v="Arriendo"/>
    <x v="3"/>
    <m/>
    <n v="1"/>
    <s v="Cuartos_de_servicio"/>
    <s v="Vicerrectoría Administrativa Financiera "/>
    <s v="Bodega coreográfica "/>
    <s v="N/A"/>
    <n v="0"/>
    <n v="13.49"/>
    <m/>
    <s v="Si"/>
  </r>
  <r>
    <x v="3"/>
    <s v="CONSTRUIDA"/>
    <s v="Arriendo"/>
    <x v="6"/>
    <s v="S205"/>
    <n v="2"/>
    <s v="Aulas"/>
    <s v="Programa de Diseño Gráfico"/>
    <s v="Aula de Clases"/>
    <s v="DOCENCIA"/>
    <n v="20"/>
    <n v="23.53"/>
    <m/>
    <s v="No"/>
  </r>
  <r>
    <x v="3"/>
    <s v="CONSTRUIDA"/>
    <s v="Arriendo"/>
    <x v="6"/>
    <s v="S206"/>
    <n v="2"/>
    <s v="Aulas"/>
    <s v="Programa de Diseño Gráfico"/>
    <s v="Aula de Clases"/>
    <s v="DOCENCIA"/>
    <n v="20"/>
    <n v="22.63"/>
    <m/>
    <s v="No"/>
  </r>
  <r>
    <x v="3"/>
    <s v="CONSTRUIDA"/>
    <s v="Arriendo"/>
    <x v="6"/>
    <s v="S201"/>
    <n v="2"/>
    <s v="Aulas"/>
    <s v="Programa de Diseño Gráfico"/>
    <s v="Aula de clases (Mesas de dibujo)"/>
    <s v="DOCENCIA"/>
    <n v="53"/>
    <n v="73.5"/>
    <m/>
    <s v="No"/>
  </r>
  <r>
    <x v="3"/>
    <s v="CONSTRUIDA"/>
    <s v="Arriendo"/>
    <x v="6"/>
    <s v="S202"/>
    <n v="2"/>
    <s v="Aulas"/>
    <s v="Programa de Diseño Gráfico"/>
    <s v="Aula de clases (Mesas de dibujo)"/>
    <s v="DOCENCIA"/>
    <n v="29"/>
    <n v="41.88"/>
    <m/>
    <s v="No"/>
  </r>
  <r>
    <x v="3"/>
    <s v="CONSTRUIDA"/>
    <s v="Arriendo"/>
    <x v="6"/>
    <s v="S203"/>
    <n v="2"/>
    <s v="Aulas"/>
    <s v="Programa de Diseño Gráfico"/>
    <s v="Aula de clases (Mesas de dibujo)"/>
    <s v="DOCENCIA"/>
    <n v="23"/>
    <n v="39.119999999999997"/>
    <m/>
    <s v="No"/>
  </r>
  <r>
    <x v="3"/>
    <s v="CONSTRUIDA"/>
    <s v="Arriendo"/>
    <x v="6"/>
    <s v="S204"/>
    <n v="2"/>
    <s v="Aulas"/>
    <s v="Programa de Diseño Gráfico"/>
    <s v="Aula de clases (Mesas de dibujo)"/>
    <s v="DOCENCIA"/>
    <n v="36"/>
    <n v="47.04"/>
    <m/>
    <s v="No"/>
  </r>
  <r>
    <x v="3"/>
    <s v="CONSTRUIDA"/>
    <s v="Arriendo"/>
    <x v="6"/>
    <s v="S208"/>
    <n v="2"/>
    <s v="Aulas"/>
    <s v="Programa de Diseño Gráfico"/>
    <s v="Aula de clases (Mesas de dibujo)"/>
    <s v="DOCENCIA"/>
    <n v="55"/>
    <n v="82.25"/>
    <m/>
    <s v="No"/>
  </r>
  <r>
    <x v="0"/>
    <s v="CONSTRUIDA"/>
    <s v="Arriendo"/>
    <x v="6"/>
    <m/>
    <n v="2"/>
    <s v="Oficinas"/>
    <s v="Programa de Diseño Gráfico"/>
    <s v="Oficina Secretaría Programa  "/>
    <s v="DOCENCIA"/>
    <n v="1"/>
    <n v="15.78"/>
    <m/>
    <s v="No"/>
  </r>
  <r>
    <x v="0"/>
    <s v="CONSTRUIDA"/>
    <s v="Arriendo"/>
    <x v="6"/>
    <m/>
    <n v="2"/>
    <s v="Oficinas"/>
    <s v="Programa de Diseño Gráfico"/>
    <s v="Oficina Director Programa"/>
    <s v="DOCENCIA"/>
    <n v="1"/>
    <n v="15.78"/>
    <m/>
    <s v="No"/>
  </r>
  <r>
    <x v="3"/>
    <s v="CONSTRUIDA"/>
    <s v="Arriendo"/>
    <x v="6"/>
    <m/>
    <n v="2"/>
    <s v="Biblioteca"/>
    <s v="Programa de Diseño Gráfico"/>
    <s v="Biblioteca y CRE"/>
    <s v="Integral"/>
    <n v="11"/>
    <n v="23.53"/>
    <m/>
    <s v="No"/>
  </r>
  <r>
    <x v="3"/>
    <s v="CONSTRUIDA"/>
    <s v="Arriendo"/>
    <x v="6"/>
    <m/>
    <n v="2"/>
    <s v="Laboratorios Especializados"/>
    <s v="Programa de Diseño Gráfico"/>
    <s v="Laboratorio digital o sala de prototipos"/>
    <s v="DOCENCIA"/>
    <n v="12"/>
    <n v="24.97"/>
    <m/>
    <s v="No"/>
  </r>
  <r>
    <x v="3"/>
    <s v="CONSTRUIDA"/>
    <s v="Arriendo"/>
    <x v="6"/>
    <s v="S207"/>
    <n v="2"/>
    <s v="Laboratorios Especializados"/>
    <s v="Programa de Diseño Gráfico"/>
    <s v="Laboratorio de fotografía "/>
    <s v="DOCENCIA"/>
    <n v="14"/>
    <n v="23.53"/>
    <m/>
    <s v="No"/>
  </r>
  <r>
    <x v="1"/>
    <s v="CONSTRUIDA"/>
    <s v="Arriendo"/>
    <x v="6"/>
    <m/>
    <n v="2"/>
    <s v="Servicios sanitarios públicos"/>
    <s v="Programa de Diseño Gráfico"/>
    <s v="Baños Hombres "/>
    <s v="N/A"/>
    <n v="2"/>
    <n v="9.16"/>
    <m/>
    <s v="No"/>
  </r>
  <r>
    <x v="1"/>
    <s v="CONSTRUIDA"/>
    <s v="Arriendo"/>
    <x v="6"/>
    <m/>
    <n v="2"/>
    <s v="Servicios sanitarios públicos"/>
    <s v="Programa de Diseño Gráfico"/>
    <s v="Baños Mujeres "/>
    <s v="N/A"/>
    <n v="2"/>
    <n v="9.16"/>
    <m/>
    <s v="No"/>
  </r>
  <r>
    <x v="1"/>
    <s v="CONSTRUIDA"/>
    <s v="Arriendo"/>
    <x v="6"/>
    <m/>
    <n v="3"/>
    <s v="Cafeterías públicas"/>
    <s v="Vicerrectoría Administrativa Financiera "/>
    <s v="Cafeteria Pública"/>
    <s v="Procesos de apoyo"/>
    <n v="42"/>
    <n v="73.28"/>
    <m/>
    <s v="No"/>
  </r>
  <r>
    <x v="1"/>
    <s v="CONSTRUIDA"/>
    <s v="Arriendo"/>
    <x v="6"/>
    <m/>
    <n v="3"/>
    <s v="Espacios de integración"/>
    <s v="Programa de Diseño Gráfico"/>
    <s v="Zona de ocio terraza en cafeteria"/>
    <s v="Procesos de apoyo"/>
    <n v="0"/>
    <n v="221.24"/>
    <m/>
    <s v="No"/>
  </r>
  <r>
    <x v="3"/>
    <s v="CONSTRUIDA"/>
    <s v="Arriendo"/>
    <x v="6"/>
    <m/>
    <n v="2"/>
    <s v="Salas de Tutores (salas de profesores)"/>
    <s v="Programa de Diseño Gráfico"/>
    <s v="Sala docentes "/>
    <s v="DOCENCIA"/>
    <n v="8"/>
    <n v="46.7"/>
    <m/>
    <s v="No"/>
  </r>
  <r>
    <x v="0"/>
    <s v="CONSTRUIDA"/>
    <s v="Arriendo"/>
    <x v="2"/>
    <m/>
    <n v="1"/>
    <s v="Bodegas"/>
    <s v="Vicerrectoría Administrativa Financiera "/>
    <s v="Depósito de Basura "/>
    <s v="N/A"/>
    <n v="0"/>
    <n v="18.39"/>
    <m/>
    <s v="No"/>
  </r>
  <r>
    <x v="0"/>
    <s v="CONSTRUIDA"/>
    <s v="Arriendo"/>
    <x v="6"/>
    <m/>
    <n v="2"/>
    <s v="Cuartos técnicos"/>
    <s v="Programa de Diseño Gráfico"/>
    <s v="Cuarto técnico y cuarto de aseo con lavatrapero"/>
    <s v="N/A"/>
    <n v="1"/>
    <n v="6.46"/>
    <m/>
    <s v="No"/>
  </r>
  <r>
    <x v="0"/>
    <s v="CONSTRUIDA"/>
    <s v="Arriendo"/>
    <x v="6"/>
    <m/>
    <n v="1"/>
    <s v="Módulos"/>
    <s v="Programa de Diseño Gráfico"/>
    <s v="Portería"/>
    <s v="Procesos de apoyo"/>
    <n v="1"/>
    <n v="25.2"/>
    <m/>
    <s v="No"/>
  </r>
  <r>
    <x v="1"/>
    <s v="CONSTRUIDA"/>
    <s v="Arriendo"/>
    <x v="6"/>
    <m/>
    <n v="2"/>
    <s v="Espacios de integración"/>
    <s v="Programa de Diseño Gráfico"/>
    <s v="Zonas comunes"/>
    <s v="Procesos de apoyo"/>
    <n v="0"/>
    <n v="130.29"/>
    <m/>
    <s v="No"/>
  </r>
  <r>
    <x v="4"/>
    <s v="CONSTRUIDA"/>
    <s v="Propiedad"/>
    <x v="7"/>
    <m/>
    <n v="1"/>
    <s v="Auditorios"/>
    <s v="Vicerrectoría Administrativa Financiera "/>
    <s v="AUDITORIO  NIVEL 0"/>
    <s v="Procesos de apoyo"/>
    <n v="30"/>
    <n v="74.66"/>
    <d v="2022-05-25T00:00:00"/>
    <s v="Si"/>
  </r>
  <r>
    <x v="4"/>
    <s v="CONSTRUIDA"/>
    <s v="Propiedad"/>
    <x v="7"/>
    <m/>
    <n v="1"/>
    <s v="Cuartos de servicio"/>
    <s v="Vicerrectoría Administrativa Financiera "/>
    <s v="DEPOSITO 1  NIVEL 0"/>
    <s v="N/A"/>
    <n v="0"/>
    <n v="5.61"/>
    <d v="2022-05-25T00:00:00"/>
    <s v="Si"/>
  </r>
  <r>
    <x v="4"/>
    <s v="CONSTRUIDA"/>
    <s v="Propiedad"/>
    <x v="7"/>
    <m/>
    <n v="1"/>
    <s v="Cuartos de servicio"/>
    <s v="Vicerrectoría Administrativa Financiera "/>
    <s v="DEPOSITO 2  NIVEL 0"/>
    <s v="N/A"/>
    <n v="0"/>
    <n v="8.34"/>
    <d v="2022-05-25T00:00:00"/>
    <s v="Si"/>
  </r>
  <r>
    <x v="4"/>
    <s v="CONSTRUIDA"/>
    <s v="Propiedad"/>
    <x v="7"/>
    <m/>
    <n v="1"/>
    <s v="Cuartos técnicos"/>
    <s v="Vicerrectoría Administrativa Financiera "/>
    <s v="CIRCULACION CUARTO TECNICO   NIVEL 0"/>
    <s v="N/A"/>
    <n v="0"/>
    <n v="4.2300000000000004"/>
    <d v="2022-05-25T00:00:00"/>
    <s v="Si"/>
  </r>
  <r>
    <x v="4"/>
    <s v="CONSTRUIDA"/>
    <s v="Propiedad"/>
    <x v="7"/>
    <m/>
    <n v="1"/>
    <s v="Cuartos técnicos"/>
    <s v="Vicerrectoría Administrativa Financiera "/>
    <s v="CUARTO TECNICO  NIVEL 0"/>
    <s v="N/A"/>
    <n v="0"/>
    <n v="25.87"/>
    <d v="2022-05-25T00:00:00"/>
    <s v="Si"/>
  </r>
  <r>
    <x v="4"/>
    <s v="CONSTRUIDA"/>
    <s v="Propiedad"/>
    <x v="7"/>
    <m/>
    <n v="1"/>
    <s v="Auditorios"/>
    <s v="Vicerrectoría Administrativa Financiera "/>
    <s v="HALL  NIVEL 0"/>
    <s v="Procesos de apoyo"/>
    <n v="0"/>
    <n v="112.26"/>
    <d v="2022-05-25T00:00:00"/>
    <s v="Si"/>
  </r>
  <r>
    <x v="4"/>
    <s v="CONSTRUIDA"/>
    <s v="Propiedad"/>
    <x v="7"/>
    <m/>
    <n v="1"/>
    <s v="Cuartos técnicos"/>
    <s v="Vicerrectoría Administrativa Financiera "/>
    <s v="CUARTO ELECTRICO  NIVEL 0"/>
    <s v="N/A"/>
    <n v="0"/>
    <n v="19.77"/>
    <d v="2022-05-25T00:00:00"/>
    <s v="Si"/>
  </r>
  <r>
    <x v="4"/>
    <s v="CONSTRUIDA"/>
    <s v="Propiedad"/>
    <x v="7"/>
    <m/>
    <n v="1"/>
    <s v="Cuartos de servicio"/>
    <s v="Vicerrectoría Administrativa Financiera "/>
    <s v="AREA DE LOKERS  NIVEL 0"/>
    <s v="N/A"/>
    <n v="0"/>
    <n v="18.89"/>
    <d v="2022-05-25T00:00:00"/>
    <s v="Si"/>
  </r>
  <r>
    <x v="4"/>
    <s v="CONSTRUIDA"/>
    <s v="Propiedad"/>
    <x v="7"/>
    <m/>
    <n v="1"/>
    <s v="Cuartos de servicio"/>
    <s v="Vicerrectoría Administrativa Financiera "/>
    <s v="ASEO NIVEL 0"/>
    <s v="N/A"/>
    <n v="0"/>
    <n v="4.8899999999999997"/>
    <d v="2022-05-25T00:00:00"/>
    <s v="Si"/>
  </r>
  <r>
    <x v="4"/>
    <s v="CONSTRUIDA"/>
    <s v="Propiedad"/>
    <x v="7"/>
    <m/>
    <n v="1"/>
    <s v="Servicios sanitarios públicos"/>
    <s v="Vicerrectoría Administrativa Financiera "/>
    <s v="BAÑOS Y DUCHAS SEXADOS  NIVEL 0"/>
    <s v="N/A"/>
    <n v="8"/>
    <n v="44.76"/>
    <d v="2022-05-25T00:00:00"/>
    <s v="Si"/>
  </r>
  <r>
    <x v="4"/>
    <s v="CONSTRUIDA"/>
    <s v="Propiedad"/>
    <x v="7"/>
    <m/>
    <n v="1"/>
    <s v="Malla de circulación"/>
    <s v="Vicerrectoría Administrativa Financiera "/>
    <s v="CIRCULACIONES  NIVEL 0"/>
    <s v="N/A"/>
    <n v="0"/>
    <n v="53.33"/>
    <d v="2022-05-25T00:00:00"/>
    <s v="Si"/>
  </r>
  <r>
    <x v="4"/>
    <s v="CONSTRUIDA"/>
    <s v="Propiedad"/>
    <x v="7"/>
    <m/>
    <n v="2"/>
    <s v="Cuartos técnicos"/>
    <s v="Vicerrectoría Administrativa Financiera "/>
    <s v="CUARTO COMUNICACIONES VOZ Y DATOS NIVEL 3.5"/>
    <s v="N/A"/>
    <n v="0"/>
    <n v="18.600000000000001"/>
    <d v="2022-05-25T00:00:00"/>
    <s v="Si"/>
  </r>
  <r>
    <x v="4"/>
    <s v="CONSTRUIDA"/>
    <s v="Propiedad"/>
    <x v="7"/>
    <m/>
    <n v="2"/>
    <s v="Servicios sanitarios públicos"/>
    <s v="Vicerrectoría Administrativa Financiera "/>
    <s v="BAÑOS PROFESORES NIVEL 3.5"/>
    <s v="N/A"/>
    <n v="6"/>
    <n v="28.83"/>
    <d v="2022-05-25T00:00:00"/>
    <s v="Si"/>
  </r>
  <r>
    <x v="4"/>
    <s v="CONSTRUIDA"/>
    <s v="Propiedad"/>
    <x v="7"/>
    <m/>
    <n v="2"/>
    <s v="Servicios sanitarios públicos"/>
    <s v="Vicerrectoría Administrativa Financiera "/>
    <s v="BAÑOS PMR PROFESORES NIVEL 3.5"/>
    <s v="N/A"/>
    <n v="1"/>
    <n v="8.5299999999999994"/>
    <d v="2022-05-25T00:00:00"/>
    <s v="Si"/>
  </r>
  <r>
    <x v="4"/>
    <s v="CONSTRUIDA"/>
    <s v="Propiedad"/>
    <x v="7"/>
    <m/>
    <n v="2"/>
    <s v="Servicios sanitarios públicos"/>
    <s v="Vicerrectoría Administrativa Financiera "/>
    <s v="BAÑOS ESTUDIANTES  NIVEL 3.5"/>
    <s v="N/A"/>
    <n v="6"/>
    <n v="28.66"/>
    <d v="2022-05-25T00:00:00"/>
    <s v="Si"/>
  </r>
  <r>
    <x v="4"/>
    <s v="CONSTRUIDA"/>
    <s v="Propiedad"/>
    <x v="7"/>
    <m/>
    <n v="2"/>
    <s v="Servicios sanitarios públicos"/>
    <s v="Vicerrectoría Administrativa Financiera "/>
    <s v="BAÑOS PMR ESTUDIANTES  NIVEL 3.5"/>
    <s v="N/A"/>
    <n v="1"/>
    <n v="9.91"/>
    <d v="2022-05-25T00:00:00"/>
    <s v="Si"/>
  </r>
  <r>
    <x v="4"/>
    <s v="CONSTRUIDA"/>
    <s v="Propiedad"/>
    <x v="7"/>
    <m/>
    <n v="2"/>
    <s v="Cuartos técnicos"/>
    <s v="Vicerrectoría Administrativa Financiera "/>
    <s v="CUARTO ELECTRICO  NIVEL 3.5"/>
    <s v="N/A"/>
    <n v="0"/>
    <n v="5.26"/>
    <d v="2022-05-25T00:00:00"/>
    <s v="Si"/>
  </r>
  <r>
    <x v="4"/>
    <s v="CONSTRUIDA"/>
    <s v="Propiedad"/>
    <x v="7"/>
    <m/>
    <n v="2"/>
    <s v="Cuartos de servicio"/>
    <s v="Vicerrectoría Administrativa Financiera "/>
    <s v="DEPOSITO Y ASEO  NIVEL 3.5"/>
    <s v="N/A"/>
    <n v="0"/>
    <n v="5"/>
    <d v="2022-05-25T00:00:00"/>
    <s v="Si"/>
  </r>
  <r>
    <x v="4"/>
    <s v="CONSTRUIDA"/>
    <s v="Propiedad"/>
    <x v="7"/>
    <m/>
    <n v="2"/>
    <s v="Cuartos técnicos"/>
    <s v="Vicerrectoría Administrativa Financiera "/>
    <s v="CUARTO ELECTRICO  NIVEL 3.5"/>
    <s v="N/A"/>
    <n v="0"/>
    <n v="5.6"/>
    <d v="2022-05-25T00:00:00"/>
    <s v="Si"/>
  </r>
  <r>
    <x v="4"/>
    <s v="CONSTRUIDA"/>
    <s v="Propiedad"/>
    <x v="7"/>
    <m/>
    <n v="2"/>
    <s v="Cuartos técnicos"/>
    <s v="Vicerrectoría Administrativa Financiera "/>
    <s v="DEPOSITO Y ASEO  NIVEL 3.5"/>
    <s v="N/A"/>
    <n v="0"/>
    <n v="2.79"/>
    <d v="2022-05-25T00:00:00"/>
    <s v="Si"/>
  </r>
  <r>
    <x v="4"/>
    <s v="CONSTRUIDA"/>
    <s v="Propiedad"/>
    <x v="7"/>
    <m/>
    <n v="2"/>
    <s v="Cuartos técnicos"/>
    <s v="Vicerrectoría Administrativa Financiera "/>
    <s v="CUARTO COMUNICACIONES VOZ Y DATOS 2 NIVEL 3.5"/>
    <s v="N/A"/>
    <n v="0"/>
    <n v="6.86"/>
    <d v="2022-05-25T00:00:00"/>
    <s v="Si"/>
  </r>
  <r>
    <x v="3"/>
    <s v="CONSTRUIDA"/>
    <s v="Propiedad"/>
    <x v="7"/>
    <m/>
    <n v="2"/>
    <s v="Aulas"/>
    <s v="Vicerrectoría Administrativa Financiera "/>
    <s v="AULA T40 CAP 41 PERSONAS NIVEL 3.5"/>
    <s v="N/A"/>
    <n v="41"/>
    <n v="91.09"/>
    <d v="2022-05-25T00:00:00"/>
    <s v="Si"/>
  </r>
  <r>
    <x v="3"/>
    <s v="CONSTRUIDA"/>
    <s v="Propiedad"/>
    <x v="7"/>
    <m/>
    <n v="2"/>
    <s v="Aulas"/>
    <s v="Vicerrectoría Administrativa Financiera "/>
    <s v="AULA T 50 CAP 51 PERSONAS  NIVEL 3.5"/>
    <s v="N/A"/>
    <n v="51"/>
    <n v="120.3"/>
    <d v="2022-05-25T00:00:00"/>
    <s v="Si"/>
  </r>
  <r>
    <x v="3"/>
    <s v="CONSTRUIDA"/>
    <s v="Propiedad"/>
    <x v="7"/>
    <m/>
    <n v="2"/>
    <s v="Aulas"/>
    <s v="Vicerrectoría Administrativa Financiera "/>
    <s v="AULA T 50 CAP 51 PERSONAS  NIVEL 3.5"/>
    <s v="N/A"/>
    <n v="41"/>
    <n v="120"/>
    <d v="2022-05-25T00:00:00"/>
    <s v="Si"/>
  </r>
  <r>
    <x v="3"/>
    <s v="CONSTRUIDA"/>
    <s v="Propiedad"/>
    <x v="7"/>
    <m/>
    <n v="2"/>
    <s v="Laboratorios Especializados"/>
    <s v="Vicerrectoría Administrativa Financiera "/>
    <s v="Laboratorio Morfofisiología"/>
    <s v="N/A"/>
    <n v="51"/>
    <n v="156.06"/>
    <d v="2022-05-25T00:00:00"/>
    <s v="Si"/>
  </r>
  <r>
    <x v="0"/>
    <s v="CONSTRUIDA"/>
    <s v="Propiedad"/>
    <x v="7"/>
    <m/>
    <n v="2"/>
    <s v="Biblioteca"/>
    <s v="Vicerrectoría Administrativa Financiera "/>
    <s v="BIBLIOTECA"/>
    <s v="N/A"/>
    <n v="41"/>
    <n v="99.4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1 NIVEL 3.5"/>
    <s v="DOCENCIA"/>
    <n v="3"/>
    <n v="11.5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2 NIVEL 3.5"/>
    <s v="DOCENCIA"/>
    <n v="3"/>
    <n v="11.34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3 NIVEL 3.5"/>
    <s v="DOCENCIA"/>
    <n v="3"/>
    <n v="12.17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4 NIVEL 3.5"/>
    <s v="DOCENCIA"/>
    <n v="3"/>
    <n v="11.85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5 NIVEL 3.5"/>
    <s v="DOCENCIA"/>
    <n v="3"/>
    <n v="12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6 NIVEL 3.5"/>
    <s v="DOCENCIA"/>
    <n v="3"/>
    <n v="12.2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7  NIVEL 3.5"/>
    <s v="DOCENCIA"/>
    <n v="3"/>
    <n v="11.74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8 NIVEL 3.5"/>
    <s v="DOCENCIA"/>
    <n v="3"/>
    <n v="12.2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9 NIVEL 3.5"/>
    <s v="DOCENCIA"/>
    <n v="3"/>
    <n v="13.3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10 NIVEL 3.5"/>
    <s v="DOCENCIA"/>
    <n v="3"/>
    <n v="12.23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11 NIVEL 3.5"/>
    <s v="DOCENCIA"/>
    <n v="3"/>
    <n v="12.23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OFICINA DOCENTES 12 NIVEL 3.5"/>
    <s v="DOCENCIA"/>
    <n v="3"/>
    <n v="10.87"/>
    <d v="2022-05-25T00:00:00"/>
    <s v="Si"/>
  </r>
  <r>
    <x v="3"/>
    <s v="CONSTRUIDA"/>
    <s v="Propiedad"/>
    <x v="7"/>
    <m/>
    <n v="2"/>
    <s v="Salas de Tutores (salas de profesores)"/>
    <s v="Vicerrectoría Administrativa Financiera "/>
    <s v="SALA DOCENTES NIVEL 3.5"/>
    <s v="DOCENCIA"/>
    <n v="3"/>
    <n v="199"/>
    <d v="2022-05-25T00:00:00"/>
    <s v="Si"/>
  </r>
  <r>
    <x v="2"/>
    <s v="CONSTRUIDA"/>
    <s v="Propiedad"/>
    <x v="7"/>
    <m/>
    <n v="2"/>
    <s v="Malla de circulación"/>
    <s v="Vicerrectoría Administrativa Financiera "/>
    <s v="CIRCULACIONES  NIVEL 3.5"/>
    <s v="Procesos de apoyo"/>
    <n v="0"/>
    <n v="654.84"/>
    <d v="2022-05-25T00:00:00"/>
    <s v="Si"/>
  </r>
  <r>
    <x v="0"/>
    <s v="CONSTRUIDA"/>
    <s v="Propiedad"/>
    <x v="7"/>
    <m/>
    <n v="3"/>
    <s v="Cuartos técnicos"/>
    <s v="Vicerrectoría Administrativa Financiera "/>
    <s v="CUARTO COMUNICACIONES VOZ Y DATOS  NIVEL 7"/>
    <s v="Procesos de apoyo"/>
    <n v="0"/>
    <n v="19.09"/>
    <d v="2022-05-25T00:00:00"/>
    <s v="Si"/>
  </r>
  <r>
    <x v="4"/>
    <s v="CONSTRUIDA"/>
    <s v="Propiedad"/>
    <x v="7"/>
    <m/>
    <n v="3"/>
    <s v="Servicios sanitarios públicos"/>
    <s v="Vicerrectoría Administrativa Financiera "/>
    <s v="BAÑOS PROFESORES  NIVEL 7"/>
    <s v="N/A"/>
    <n v="6"/>
    <n v="28.83"/>
    <d v="2022-05-25T00:00:00"/>
    <s v="Si"/>
  </r>
  <r>
    <x v="4"/>
    <s v="CONSTRUIDA"/>
    <s v="Propiedad"/>
    <x v="7"/>
    <m/>
    <n v="3"/>
    <s v="Servicios sanitarios públicos"/>
    <s v="Vicerrectoría Administrativa Financiera "/>
    <s v="BAÑOS PMR PROFESORES NIVEL 7"/>
    <s v="N/A"/>
    <n v="1"/>
    <n v="8.5299999999999994"/>
    <d v="2022-05-25T00:00:00"/>
    <s v="Si"/>
  </r>
  <r>
    <x v="4"/>
    <s v="CONSTRUIDA"/>
    <s v="Propiedad"/>
    <x v="7"/>
    <m/>
    <n v="3"/>
    <s v="Servicios sanitarios públicos"/>
    <s v="Vicerrectoría Administrativa Financiera "/>
    <s v="BAÑOS ESTUDIANTES  NIVEL 7"/>
    <s v="N/A"/>
    <n v="6"/>
    <n v="28.66"/>
    <d v="2022-05-25T00:00:00"/>
    <s v="Si"/>
  </r>
  <r>
    <x v="4"/>
    <s v="CONSTRUIDA"/>
    <s v="Propiedad"/>
    <x v="7"/>
    <m/>
    <n v="3"/>
    <s v="Servicios sanitarios públicos"/>
    <s v="Vicerrectoría Administrativa Financiera "/>
    <s v="BAÑOS PMR ESTUDIANTES  NIVEL 7"/>
    <s v="N/A"/>
    <n v="1"/>
    <n v="9.91"/>
    <d v="2022-05-25T00:00:00"/>
    <s v="Si"/>
  </r>
  <r>
    <x v="0"/>
    <s v="CONSTRUIDA"/>
    <s v="Propiedad"/>
    <x v="7"/>
    <m/>
    <n v="3"/>
    <s v="Cuartos técnicos"/>
    <s v="Vicerrectoría Administrativa Financiera "/>
    <s v="CUARTO ELECTRICO  NIVEL 7"/>
    <s v="N/A"/>
    <n v="0"/>
    <n v="5.26"/>
    <d v="2022-05-25T00:00:00"/>
    <s v="Si"/>
  </r>
  <r>
    <x v="0"/>
    <s v="CONSTRUIDA"/>
    <s v="Propiedad"/>
    <x v="7"/>
    <m/>
    <n v="3"/>
    <s v="Cuartos de servicio"/>
    <s v="Vicerrectoría Administrativa Financiera "/>
    <s v="DEPOSITO Y ASEO  NIVEL 7"/>
    <s v="N/A"/>
    <n v="0"/>
    <n v="7.35"/>
    <d v="2022-05-25T00:00:00"/>
    <s v="Si"/>
  </r>
  <r>
    <x v="0"/>
    <s v="CONSTRUIDA"/>
    <s v="Propiedad"/>
    <x v="7"/>
    <m/>
    <n v="3"/>
    <s v="Cuartos técnicos"/>
    <s v="Vicerrectoría Administrativa Financiera "/>
    <s v="CUARTO ELECTRICO  NIVEL 7"/>
    <s v="N/A"/>
    <n v="0"/>
    <n v="6.21"/>
    <d v="2022-05-25T00:00:00"/>
    <s v="Si"/>
  </r>
  <r>
    <x v="0"/>
    <s v="CONSTRUIDA"/>
    <s v="Propiedad"/>
    <x v="7"/>
    <m/>
    <n v="3"/>
    <s v="Cuartos de servicio"/>
    <s v="Vicerrectoría Administrativa Financiera "/>
    <s v="DEPOSITO Y ASEO 2 NIVEL 7"/>
    <s v="N/A"/>
    <n v="0"/>
    <n v="2.79"/>
    <d v="2022-05-25T00:00:00"/>
    <s v="Si"/>
  </r>
  <r>
    <x v="0"/>
    <s v="CONSTRUIDA"/>
    <s v="Propiedad"/>
    <x v="7"/>
    <m/>
    <n v="3"/>
    <s v="Cuartos técnicos"/>
    <s v="Vicerrectoría Administrativa Financiera "/>
    <s v="CUARTO COMUNICACIONES VOZ Y DATOS 2 NIVEL 7"/>
    <s v="N/A"/>
    <n v="0"/>
    <n v="6.86"/>
    <d v="2022-05-25T00:00:00"/>
    <s v="Si"/>
  </r>
  <r>
    <x v="3"/>
    <s v="CONSTRUIDA"/>
    <s v="Propiedad"/>
    <x v="7"/>
    <m/>
    <n v="3"/>
    <s v="Aulas"/>
    <s v="Vicerrectoría Administrativa Financiera "/>
    <s v="AULA T40 CAP 41 PERSONAS NIVEL 7"/>
    <s v="DOCENCIA"/>
    <n v="41"/>
    <n v="92.07"/>
    <d v="2022-05-25T00:00:00"/>
    <s v="Si"/>
  </r>
  <r>
    <x v="3"/>
    <s v="CONSTRUIDA"/>
    <s v="Propiedad"/>
    <x v="7"/>
    <m/>
    <n v="3"/>
    <s v="Aulas"/>
    <s v="Vicerrectoría Administrativa Financiera "/>
    <s v="AULA T 50 CAP 51 PERSONAS  NIVEL 7"/>
    <s v="DOCENCIA"/>
    <n v="51"/>
    <n v="121.68"/>
    <d v="2022-05-25T00:00:00"/>
    <s v="Si"/>
  </r>
  <r>
    <x v="3"/>
    <s v="CONSTRUIDA"/>
    <s v="Propiedad"/>
    <x v="7"/>
    <m/>
    <n v="3"/>
    <s v="Aulas"/>
    <s v="Vicerrectoría Administrativa Financiera "/>
    <s v="AULA T 50 CAP 51 PERSONAS  NIVEL 7"/>
    <s v="DOCENCIA"/>
    <n v="51"/>
    <n v="122.68"/>
    <d v="2022-05-25T00:00:00"/>
    <s v="Si"/>
  </r>
  <r>
    <x v="3"/>
    <s v="CONSTRUIDA"/>
    <s v="Propiedad"/>
    <x v="7"/>
    <m/>
    <n v="3"/>
    <s v="Aulas"/>
    <s v="Vicerrectoría Administrativa Financiera "/>
    <s v="AULA T 50 CAP 51 PERSONAS  NIVEL 7"/>
    <s v="DOCENCIA"/>
    <n v="51"/>
    <n v="122.68"/>
    <d v="2022-05-25T00:00:00"/>
    <s v="Si"/>
  </r>
  <r>
    <x v="3"/>
    <s v="CONSTRUIDA"/>
    <s v="Propiedad"/>
    <x v="7"/>
    <m/>
    <n v="3"/>
    <s v="Aulas"/>
    <s v="Vicerrectoría Administrativa Financiera "/>
    <s v="AULA T 50 CAP 51 PERSONAS NIVEL 7"/>
    <s v="DOCENCIA"/>
    <n v="51"/>
    <n v="110.28"/>
    <d v="2022-05-25T00:00:00"/>
    <s v="Si"/>
  </r>
  <r>
    <x v="3"/>
    <s v="CONSTRUIDA"/>
    <s v="Propiedad"/>
    <x v="7"/>
    <m/>
    <n v="3"/>
    <s v="Aulas"/>
    <s v="Vicerrectoría Administrativa Financiera "/>
    <s v="AULA T 30 CAP 31 PERSONAS NIVEL 7"/>
    <s v="DOCENCIA"/>
    <n v="31"/>
    <n v="76.05"/>
    <d v="2022-05-25T00:00:00"/>
    <s v="Si"/>
  </r>
  <r>
    <x v="3"/>
    <s v="CONSTRUIDA"/>
    <s v="Propiedad"/>
    <x v="7"/>
    <m/>
    <n v="3"/>
    <s v="Aulas"/>
    <s v="Vicerrectoría Administrativa Financiera "/>
    <s v="AULA T 30 CAP 31 PERSONAS NIVEL 7"/>
    <s v="DOCENCIA"/>
    <n v="31"/>
    <n v="76.05"/>
    <d v="2022-05-25T00:00:00"/>
    <s v="Si"/>
  </r>
  <r>
    <x v="3"/>
    <s v="CONSTRUIDA"/>
    <s v="Propiedad"/>
    <x v="7"/>
    <m/>
    <n v="3"/>
    <s v="Aulas"/>
    <s v="Vicerrectoría Administrativa Financiera "/>
    <s v="AULA T 30 CAP 31 PERSONAS NIVEL 7"/>
    <s v="DOCENCIA"/>
    <n v="31"/>
    <n v="78.19"/>
    <d v="2022-05-25T00:00:00"/>
    <s v="Si"/>
  </r>
  <r>
    <x v="3"/>
    <s v="CONSTRUIDA"/>
    <s v="Propiedad"/>
    <x v="7"/>
    <m/>
    <n v="3"/>
    <s v="Aulas"/>
    <s v="Vicerrectoría Administrativa Financiera "/>
    <s v="AULA T 30 CAP 31 PERSONAS NIVEL 7"/>
    <s v="DOCENCIA"/>
    <n v="31"/>
    <n v="78.64"/>
    <d v="2022-05-25T00:00:00"/>
    <s v="Si"/>
  </r>
  <r>
    <x v="3"/>
    <s v="CONSTRUIDA"/>
    <s v="Propiedad"/>
    <x v="7"/>
    <m/>
    <n v="3"/>
    <s v="Aulas"/>
    <s v="Vicerrectoría Administrativa Financiera "/>
    <s v="AULA T 30 CAP 31 PERSONAS NIVEL 7"/>
    <s v="DOCENCIA"/>
    <n v="31"/>
    <n v="75.12"/>
    <d v="2022-05-25T00:00:00"/>
    <s v="Si"/>
  </r>
  <r>
    <x v="3"/>
    <s v="CONSTRUIDA"/>
    <s v="Propiedad"/>
    <x v="7"/>
    <m/>
    <n v="3"/>
    <s v="Aulas"/>
    <s v="Vicerrectoría Administrativa Financiera "/>
    <s v="Medios Educativos"/>
    <s v="DOCENCIA"/>
    <n v="6"/>
    <n v="62.34"/>
    <d v="2022-05-25T00:00:00"/>
    <s v="Si"/>
  </r>
  <r>
    <x v="0"/>
    <s v="CONSTRUIDA"/>
    <s v="Propiedad"/>
    <x v="7"/>
    <m/>
    <n v="3"/>
    <s v="Oficinas"/>
    <s v="Vicerrectoría Administrativa Financiera "/>
    <s v="DISPONIBLE NIVEL 7"/>
    <s v="N/A"/>
    <n v="0"/>
    <n v="9.56"/>
    <d v="2022-05-25T00:00:00"/>
    <s v="Si"/>
  </r>
  <r>
    <x v="3"/>
    <s v="CONSTRUIDA"/>
    <s v="Propiedad"/>
    <x v="7"/>
    <m/>
    <n v="3"/>
    <s v="Aulas"/>
    <s v="Vicerrectoría Administrativa Financiera "/>
    <s v="Aula"/>
    <s v="DOCENCIA"/>
    <n v="0"/>
    <n v="114.36"/>
    <d v="2022-05-25T00:00:00"/>
    <s v="Si"/>
  </r>
  <r>
    <x v="2"/>
    <s v="CONSTRUIDA"/>
    <s v="Propiedad"/>
    <x v="7"/>
    <m/>
    <n v="3"/>
    <s v="Malla de circulación"/>
    <s v="Vicerrectoría Administrativa Financiera "/>
    <s v="CIRCULACIONES  NIVEL 7"/>
    <s v="N/A"/>
    <n v="0"/>
    <n v="600.74"/>
    <d v="2022-05-25T00:00:00"/>
    <s v="Si"/>
  </r>
  <r>
    <x v="0"/>
    <s v="CONSTRUIDA"/>
    <s v="Propiedad"/>
    <x v="7"/>
    <m/>
    <n v="4"/>
    <s v="Cuartos técnicos"/>
    <s v="Vicerrectoría Administrativa Financiera "/>
    <s v="CUARTO COMUNICACIONES VOZ Y DATOS "/>
    <s v="N/A"/>
    <n v="0"/>
    <n v="19.09"/>
    <d v="2022-05-25T00:00:00"/>
    <s v="Si"/>
  </r>
  <r>
    <x v="1"/>
    <s v="CONSTRUIDA"/>
    <s v="Propiedad"/>
    <x v="7"/>
    <m/>
    <n v="4"/>
    <s v="Servicios sanitarios públicos"/>
    <s v="Vicerrectoría Administrativa Financiera "/>
    <s v="BAÑOS PROFESORES "/>
    <s v="N/A"/>
    <n v="6"/>
    <n v="28.83"/>
    <d v="2022-05-25T00:00:00"/>
    <s v="Si"/>
  </r>
  <r>
    <x v="1"/>
    <s v="CONSTRUIDA"/>
    <s v="Propiedad"/>
    <x v="7"/>
    <m/>
    <n v="4"/>
    <s v="Servicios sanitarios privados"/>
    <s v="Vicerrectoría Administrativa Financiera "/>
    <s v="BAÑOS PMR PROFESORES PMR"/>
    <s v="N/A"/>
    <n v="1"/>
    <n v="8.5299999999999994"/>
    <d v="2022-05-25T00:00:00"/>
    <s v="Si"/>
  </r>
  <r>
    <x v="1"/>
    <s v="CONSTRUIDA"/>
    <s v="Propiedad"/>
    <x v="7"/>
    <m/>
    <n v="4"/>
    <s v="Servicios sanitarios privados"/>
    <s v="Vicerrectoría Administrativa Financiera "/>
    <s v="BAÑOS ESTUDIANTES "/>
    <s v="N/A"/>
    <n v="6"/>
    <n v="28.66"/>
    <d v="2022-05-25T00:00:00"/>
    <s v="Si"/>
  </r>
  <r>
    <x v="1"/>
    <s v="CONSTRUIDA"/>
    <s v="Propiedad"/>
    <x v="7"/>
    <m/>
    <n v="4"/>
    <s v="Servicios sanitarios públicos"/>
    <s v="Vicerrectoría Administrativa Financiera "/>
    <s v="BAÑOS PMR ESTUDIANTES PMR"/>
    <s v="N/A"/>
    <n v="1"/>
    <n v="9.91"/>
    <d v="2022-05-25T00:00:00"/>
    <s v="Si"/>
  </r>
  <r>
    <x v="0"/>
    <s v="CONSTRUIDA"/>
    <s v="Propiedad"/>
    <x v="7"/>
    <m/>
    <n v="4"/>
    <s v="Cuartos técnicos"/>
    <s v="Vicerrectoría Administrativa Financiera "/>
    <s v="CUARTO ELECTRICO "/>
    <s v="N/A"/>
    <n v="0"/>
    <n v="5.26"/>
    <d v="2022-05-25T00:00:00"/>
    <s v="Si"/>
  </r>
  <r>
    <x v="0"/>
    <s v="CONSTRUIDA"/>
    <s v="Propiedad"/>
    <x v="7"/>
    <m/>
    <n v="4"/>
    <s v="Cuartos de servicio"/>
    <s v="Vicerrectoría Administrativa Financiera "/>
    <s v="DEPOSITO Y ASEO "/>
    <s v="N/A"/>
    <n v="0"/>
    <n v="7.35"/>
    <d v="2022-05-25T00:00:00"/>
    <s v="Si"/>
  </r>
  <r>
    <x v="0"/>
    <s v="CONSTRUIDA"/>
    <s v="Propiedad"/>
    <x v="7"/>
    <m/>
    <n v="4"/>
    <s v="Cuartos técnicos"/>
    <s v="Vicerrectoría Administrativa Financiera "/>
    <s v="CUARTO ELECTRICO "/>
    <s v="N/A"/>
    <n v="0"/>
    <n v="6.21"/>
    <d v="2022-05-25T00:00:00"/>
    <s v="Si"/>
  </r>
  <r>
    <x v="0"/>
    <s v="CONSTRUIDA"/>
    <s v="Propiedad"/>
    <x v="7"/>
    <m/>
    <n v="4"/>
    <s v="Cuartos de servicio"/>
    <s v="Vicerrectoría Administrativa Financiera "/>
    <s v="DEPOSITO Y ASEO 2"/>
    <s v="N/A"/>
    <n v="0"/>
    <n v="2.79"/>
    <d v="2022-05-25T00:00:00"/>
    <s v="Si"/>
  </r>
  <r>
    <x v="0"/>
    <s v="CONSTRUIDA"/>
    <s v="Propiedad"/>
    <x v="7"/>
    <m/>
    <n v="4"/>
    <s v="Cuartos técnicos"/>
    <s v="Vicerrectoría Administrativa Financiera "/>
    <s v="CUARTO COMUNICACIONES VOZ Y DATOS 2"/>
    <s v="N/A"/>
    <n v="0"/>
    <n v="6.86"/>
    <d v="2022-05-25T00:00:00"/>
    <s v="Si"/>
  </r>
  <r>
    <x v="3"/>
    <s v="CONSTRUIDA"/>
    <s v="Propiedad"/>
    <x v="7"/>
    <m/>
    <n v="4"/>
    <s v="Aulas"/>
    <s v="Vicerrectoría Administrativa Financiera "/>
    <s v="AULA T40 CAP 41 PERSONAS"/>
    <s v="DOCENCIA"/>
    <n v="41"/>
    <n v="92.07"/>
    <d v="2022-05-25T00:00:00"/>
    <s v="Si"/>
  </r>
  <r>
    <x v="3"/>
    <s v="CONSTRUIDA"/>
    <s v="Propiedad"/>
    <x v="7"/>
    <m/>
    <n v="4"/>
    <s v="Aulas"/>
    <s v="Vicerrectoría Administrativa Financiera "/>
    <s v="AULA T 50 CAP 51 PERSONAS "/>
    <s v="DOCENCIA"/>
    <n v="51"/>
    <n v="121.68"/>
    <d v="2022-05-25T00:00:00"/>
    <s v="Si"/>
  </r>
  <r>
    <x v="3"/>
    <s v="CONSTRUIDA"/>
    <s v="Propiedad"/>
    <x v="7"/>
    <m/>
    <n v="4"/>
    <s v="Aulas"/>
    <s v="Vicerrectoría Administrativa Financiera "/>
    <s v="AULA T 50 CAP 51 PERSONAS "/>
    <s v="DOCENCIA"/>
    <n v="51"/>
    <n v="121.68"/>
    <d v="2022-05-25T00:00:00"/>
    <s v="Si"/>
  </r>
  <r>
    <x v="3"/>
    <s v="CONSTRUIDA"/>
    <s v="Propiedad"/>
    <x v="7"/>
    <m/>
    <n v="4"/>
    <s v="Aulas"/>
    <s v="Vicerrectoría Administrativa Financiera "/>
    <s v="AULA T 50 CAP 51 PERSONAS "/>
    <s v="DOCENCIA"/>
    <n v="51"/>
    <n v="122.68"/>
    <d v="2022-05-25T00:00:00"/>
    <s v="Si"/>
  </r>
  <r>
    <x v="3"/>
    <s v="CONSTRUIDA"/>
    <s v="Propiedad"/>
    <x v="7"/>
    <m/>
    <n v="4"/>
    <s v="Aulas"/>
    <s v="Vicerrectoría Administrativa Financiera "/>
    <s v="AULA T 50 CAP 51 PERSONAS "/>
    <s v="DOCENCIA"/>
    <n v="51"/>
    <n v="110.28"/>
    <d v="2022-05-25T00:00:00"/>
    <s v="Si"/>
  </r>
  <r>
    <x v="3"/>
    <s v="CONSTRUIDA"/>
    <s v="Propiedad"/>
    <x v="7"/>
    <m/>
    <n v="4"/>
    <s v="Aulas"/>
    <s v="Vicerrectoría Administrativa Financiera "/>
    <s v="AULA T 30 CAP 31 PERSONAS"/>
    <s v="DOCENCIA"/>
    <n v="31"/>
    <n v="76.05"/>
    <d v="2022-05-25T00:00:00"/>
    <s v="Si"/>
  </r>
  <r>
    <x v="3"/>
    <s v="CONSTRUIDA"/>
    <s v="Propiedad"/>
    <x v="7"/>
    <m/>
    <n v="4"/>
    <s v="Aulas"/>
    <s v="Vicerrectoría Administrativa Financiera "/>
    <s v="AULA T 30 CAP 31 PERSONAS"/>
    <s v="DOCENCIA"/>
    <n v="31"/>
    <n v="77.53"/>
    <d v="2022-05-25T00:00:00"/>
    <s v="Si"/>
  </r>
  <r>
    <x v="3"/>
    <s v="CONSTRUIDA"/>
    <s v="Propiedad"/>
    <x v="7"/>
    <m/>
    <n v="4"/>
    <s v="Aulas"/>
    <s v="Vicerrectoría Administrativa Financiera "/>
    <s v="AULA T 30 CAP 31 PERSONAS"/>
    <s v="DOCENCIA"/>
    <n v="31"/>
    <n v="78.19"/>
    <d v="2022-05-25T00:00:00"/>
    <s v="Si"/>
  </r>
  <r>
    <x v="3"/>
    <s v="CONSTRUIDA"/>
    <s v="Propiedad"/>
    <x v="7"/>
    <m/>
    <n v="4"/>
    <s v="Aulas"/>
    <s v="Vicerrectoría Administrativa Financiera "/>
    <s v="AULA T 30 CAP 31 PERSONAS"/>
    <s v="DOCENCIA"/>
    <n v="31"/>
    <n v="78.64"/>
    <d v="2022-05-25T00:00:00"/>
    <s v="Si"/>
  </r>
  <r>
    <x v="3"/>
    <s v="CONSTRUIDA"/>
    <s v="Propiedad"/>
    <x v="7"/>
    <m/>
    <n v="4"/>
    <s v="Aulas"/>
    <s v="Vicerrectoría Administrativa Financiera "/>
    <s v="AULA T 30 CAP 31 PERSONAS"/>
    <s v="DOCENCIA"/>
    <n v="31"/>
    <n v="75.12"/>
    <d v="2022-05-25T00:00:00"/>
    <s v="Si"/>
  </r>
  <r>
    <x v="3"/>
    <s v="CONSTRUIDA"/>
    <s v="Propiedad"/>
    <x v="7"/>
    <m/>
    <n v="4"/>
    <s v="Oficinas"/>
    <s v="Vicerrectoría Administrativa Financiera "/>
    <s v="MONITORIA DE SISTEMAS "/>
    <s v="DOCENCIA"/>
    <n v="6"/>
    <n v="62.34"/>
    <d v="2022-05-25T00:00:00"/>
    <s v="Si"/>
  </r>
  <r>
    <x v="2"/>
    <s v="CONSTRUIDA"/>
    <s v="Propiedad"/>
    <x v="7"/>
    <m/>
    <n v="4"/>
    <s v="Malla de circulación"/>
    <s v="Vicerrectoría Administrativa Financiera "/>
    <s v="CIRCULACIONES "/>
    <s v="N/A"/>
    <n v="0"/>
    <n v="569.33000000000004"/>
    <d v="2022-05-25T00:00:00"/>
    <s v="Si"/>
  </r>
  <r>
    <x v="0"/>
    <s v="CONSTRUIDA"/>
    <s v="Propiedad"/>
    <x v="7"/>
    <m/>
    <n v="5"/>
    <s v="Cuartos técnicos"/>
    <s v="Vicerrectoría Administrativa Financiera "/>
    <s v="CUARTO COMUNICACIONES VOZ Y DATOS "/>
    <s v="N/A"/>
    <n v="0"/>
    <n v="19.09"/>
    <d v="2022-05-25T00:00:00"/>
    <s v="Si"/>
  </r>
  <r>
    <x v="1"/>
    <s v="CONSTRUIDA"/>
    <s v="Propiedad"/>
    <x v="7"/>
    <m/>
    <n v="5"/>
    <s v="Servicios sanitarios privados"/>
    <s v="Vicerrectoría Administrativa Financiera "/>
    <s v="BAÑOS PROFESORES "/>
    <s v="N/A"/>
    <n v="6"/>
    <n v="28.83"/>
    <d v="2022-05-25T00:00:00"/>
    <s v="Si"/>
  </r>
  <r>
    <x v="1"/>
    <s v="CONSTRUIDA"/>
    <s v="Propiedad"/>
    <x v="7"/>
    <m/>
    <n v="5"/>
    <s v="Servicios sanitarios privados"/>
    <s v="Vicerrectoría Administrativa Financiera "/>
    <s v="BAÑOS PMR PROFESORES"/>
    <s v="N/A"/>
    <n v="1"/>
    <n v="8.5299999999999994"/>
    <d v="2022-05-25T00:00:00"/>
    <s v="Si"/>
  </r>
  <r>
    <x v="1"/>
    <s v="CONSTRUIDA"/>
    <s v="Propiedad"/>
    <x v="7"/>
    <m/>
    <n v="5"/>
    <s v="Servicios sanitarios públicos"/>
    <s v="Vicerrectoría Administrativa Financiera "/>
    <s v="BAÑOS ESTUDIANTES "/>
    <s v="N/A"/>
    <n v="6"/>
    <n v="28.66"/>
    <d v="2022-05-25T00:00:00"/>
    <s v="Si"/>
  </r>
  <r>
    <x v="1"/>
    <s v="CONSTRUIDA"/>
    <s v="Propiedad"/>
    <x v="7"/>
    <m/>
    <n v="5"/>
    <s v="Servicios sanitarios públicos"/>
    <s v="Vicerrectoría Administrativa Financiera "/>
    <s v="BAÑOS PMR ESTUDIANTES "/>
    <s v="N/A"/>
    <n v="1"/>
    <n v="9.91"/>
    <d v="2022-05-25T00:00:00"/>
    <s v="Si"/>
  </r>
  <r>
    <x v="0"/>
    <s v="CONSTRUIDA"/>
    <s v="Propiedad"/>
    <x v="7"/>
    <m/>
    <n v="5"/>
    <s v="Cuartos técnicos"/>
    <s v="Vicerrectoría Administrativa Financiera "/>
    <s v="CUARTO ELECTRICO "/>
    <s v="N/A"/>
    <n v="0"/>
    <n v="5.26"/>
    <d v="2022-05-25T00:00:00"/>
    <s v="Si"/>
  </r>
  <r>
    <x v="1"/>
    <s v="CONSTRUIDA"/>
    <s v="Propiedad"/>
    <x v="7"/>
    <m/>
    <n v="5"/>
    <s v="Cuartos de servicio"/>
    <s v="Vicerrectoría Administrativa Financiera "/>
    <s v="DEPOSITO Y ASEO "/>
    <s v="N/A"/>
    <n v="0"/>
    <n v="7.35"/>
    <d v="2022-05-25T00:00:00"/>
    <s v="Si"/>
  </r>
  <r>
    <x v="0"/>
    <s v="CONSTRUIDA"/>
    <s v="Propiedad"/>
    <x v="7"/>
    <m/>
    <n v="5"/>
    <s v="Cuartos técnicos"/>
    <s v="Vicerrectoría Administrativa Financiera "/>
    <s v="CUARTO ELECTRICO "/>
    <s v="N/A"/>
    <n v="0"/>
    <n v="6.21"/>
    <d v="2022-05-25T00:00:00"/>
    <s v="Si"/>
  </r>
  <r>
    <x v="1"/>
    <s v="CONSTRUIDA"/>
    <s v="Propiedad"/>
    <x v="7"/>
    <m/>
    <n v="5"/>
    <s v="Cuartos de servicio"/>
    <s v="Vicerrectoría Administrativa Financiera "/>
    <s v="DEPOSITO Y ASEO 2"/>
    <s v="N/A"/>
    <n v="0"/>
    <n v="2.79"/>
    <d v="2022-05-25T00:00:00"/>
    <s v="Si"/>
  </r>
  <r>
    <x v="0"/>
    <s v="CONSTRUIDA"/>
    <s v="Propiedad"/>
    <x v="7"/>
    <m/>
    <n v="5"/>
    <s v="Cuartos técnicos"/>
    <s v="Vicerrectoría Administrativa Financiera "/>
    <s v="CUARTO COMUNICACIONES VOZ Y DATOS 2"/>
    <s v="N/A"/>
    <n v="0"/>
    <n v="6.86"/>
    <d v="2022-05-25T00:00:00"/>
    <s v="Si"/>
  </r>
  <r>
    <x v="3"/>
    <s v="CONSTRUIDA"/>
    <s v="Propiedad"/>
    <x v="7"/>
    <m/>
    <n v="5"/>
    <s v="Salas Cómputo"/>
    <s v="Vicerrectoría Administrativa Financiera "/>
    <s v="SALA DE COMPUTO # 1"/>
    <s v="DOCENCIA"/>
    <n v="39"/>
    <n v="92.07"/>
    <d v="2022-05-25T00:00:00"/>
    <s v="Si"/>
  </r>
  <r>
    <x v="3"/>
    <s v="CONSTRUIDA"/>
    <s v="Propiedad"/>
    <x v="7"/>
    <m/>
    <n v="5"/>
    <s v="Aulas"/>
    <s v="Vicerrectoría Administrativa Financiera "/>
    <s v="AULA T 50 CAP 51 PERSONAS "/>
    <s v="DOCENCIA"/>
    <n v="51"/>
    <n v="121.68"/>
    <d v="2022-05-25T00:00:00"/>
    <s v="Si"/>
  </r>
  <r>
    <x v="3"/>
    <s v="CONSTRUIDA"/>
    <s v="Propiedad"/>
    <x v="7"/>
    <m/>
    <n v="5"/>
    <s v="Aulas"/>
    <s v="Vicerrectoría Administrativa Financiera "/>
    <s v="AULA T 50 CAP 51 PERSONAS "/>
    <s v="DOCENCIA"/>
    <n v="51"/>
    <n v="121.68"/>
    <d v="2022-05-25T00:00:00"/>
    <s v="Si"/>
  </r>
  <r>
    <x v="3"/>
    <s v="CONSTRUIDA"/>
    <s v="Propiedad"/>
    <x v="7"/>
    <m/>
    <n v="5"/>
    <s v="Aulas"/>
    <s v="Vicerrectoría Administrativa Financiera "/>
    <s v="AULA T 50 CAP 51 PERSONAS "/>
    <s v="DOCENCIA"/>
    <n v="51"/>
    <n v="122.68"/>
    <d v="2022-05-25T00:00:00"/>
    <s v="Si"/>
  </r>
  <r>
    <x v="3"/>
    <s v="CONSTRUIDA"/>
    <s v="Propiedad"/>
    <x v="7"/>
    <m/>
    <n v="5"/>
    <s v="Salas Cómputo"/>
    <s v="Vicerrectoría Administrativa Financiera "/>
    <s v="SALA DE COMPUTO # 2"/>
    <s v="DOCENCIA"/>
    <n v="49"/>
    <n v="110.28"/>
    <d v="2022-05-25T00:00:00"/>
    <s v="Si"/>
  </r>
  <r>
    <x v="3"/>
    <s v="CONSTRUIDA"/>
    <s v="Propiedad"/>
    <x v="7"/>
    <m/>
    <n v="5"/>
    <s v="Aulas"/>
    <s v="Vicerrectoría Administrativa Financiera "/>
    <s v="AULA T 30 CAP 31 PERSONAS"/>
    <s v="DOCENCIA"/>
    <n v="31"/>
    <n v="76.05"/>
    <d v="2022-05-25T00:00:00"/>
    <s v="Si"/>
  </r>
  <r>
    <x v="3"/>
    <s v="CONSTRUIDA"/>
    <s v="Propiedad"/>
    <x v="7"/>
    <m/>
    <n v="5"/>
    <s v="Aulas"/>
    <s v="Vicerrectoría Administrativa Financiera "/>
    <s v="AULA T 30 CAP 31 PERSONAS"/>
    <s v="DOCENCIA"/>
    <n v="31"/>
    <n v="77.53"/>
    <d v="2022-05-25T00:00:00"/>
    <s v="Si"/>
  </r>
  <r>
    <x v="3"/>
    <s v="CONSTRUIDA"/>
    <s v="Propiedad"/>
    <x v="7"/>
    <m/>
    <n v="5"/>
    <s v="Aulas"/>
    <s v="Vicerrectoría Administrativa Financiera "/>
    <s v="AULA T 30 CAP 31 PERSONAS"/>
    <s v="DOCENCIA"/>
    <n v="31"/>
    <n v="78.19"/>
    <d v="2022-05-25T00:00:00"/>
    <s v="Si"/>
  </r>
  <r>
    <x v="3"/>
    <s v="CONSTRUIDA"/>
    <s v="Propiedad"/>
    <x v="7"/>
    <m/>
    <n v="5"/>
    <s v="Aulas"/>
    <s v="Vicerrectoría Administrativa Financiera "/>
    <s v="AULA T 30 CAP 31 PERSONAS"/>
    <s v="DOCENCIA"/>
    <n v="31"/>
    <n v="78.64"/>
    <d v="2022-05-25T00:00:00"/>
    <s v="Si"/>
  </r>
  <r>
    <x v="3"/>
    <s v="CONSTRUIDA"/>
    <s v="Propiedad"/>
    <x v="7"/>
    <m/>
    <n v="5"/>
    <s v="Aulas"/>
    <s v="Vicerrectoría Administrativa Financiera "/>
    <s v="AULA T 30 CAP 31 PERSONAS"/>
    <s v="DOCENCIA"/>
    <n v="31"/>
    <n v="75.12"/>
    <d v="2022-05-25T00:00:00"/>
    <s v="Si"/>
  </r>
  <r>
    <x v="2"/>
    <s v="CONSTRUIDA"/>
    <s v="Propiedad"/>
    <x v="7"/>
    <m/>
    <n v="5"/>
    <s v="Malla de circulación"/>
    <s v="Vicerrectoría Administrativa Financiera "/>
    <s v="CIRCULACIONES "/>
    <s v="N/A"/>
    <n v="0"/>
    <n v="569.33000000000004"/>
    <d v="2022-05-25T00:00:00"/>
    <s v="Si"/>
  </r>
  <r>
    <x v="1"/>
    <s v="CONSTRUIDA"/>
    <s v="Propiedad"/>
    <x v="7"/>
    <m/>
    <n v="6"/>
    <s v="Servicios sanitarios públicos"/>
    <s v="Vicerrectoría Administrativa Financiera "/>
    <s v="BAÑOS ESTUDIANTES "/>
    <s v="N/A"/>
    <n v="6"/>
    <n v="28.66"/>
    <d v="2022-05-25T00:00:00"/>
    <s v="Si"/>
  </r>
  <r>
    <x v="1"/>
    <s v="CONSTRUIDA"/>
    <s v="Propiedad"/>
    <x v="7"/>
    <m/>
    <n v="6"/>
    <s v="Servicios sanitarios públicos"/>
    <s v="Vicerrectoría Administrativa Financiera "/>
    <s v="BAÑOS PMR ESTUDIANTES "/>
    <s v="N/A"/>
    <n v="1"/>
    <n v="9.91"/>
    <d v="2022-05-25T00:00:00"/>
    <s v="Si"/>
  </r>
  <r>
    <x v="0"/>
    <s v="CONSTRUIDA"/>
    <s v="Propiedad"/>
    <x v="7"/>
    <m/>
    <n v="6"/>
    <s v="Cuartos de servicio"/>
    <s v="Vicerrectoría Administrativa Financiera "/>
    <s v="ASEO "/>
    <s v="N/A"/>
    <n v="0"/>
    <n v="2.11"/>
    <d v="2022-05-25T00:00:00"/>
    <s v="Si"/>
  </r>
  <r>
    <x v="1"/>
    <s v="CONSTRUIDA"/>
    <s v="Propiedad"/>
    <x v="7"/>
    <m/>
    <n v="6"/>
    <s v="Espacios de integración"/>
    <s v="Vicerrectoría Administrativa Financiera "/>
    <s v="KIOSCO"/>
    <s v="N/A"/>
    <n v="0"/>
    <n v="27.28"/>
    <d v="2022-05-25T00:00:00"/>
    <s v="Si"/>
  </r>
  <r>
    <x v="0"/>
    <s v="CONSTRUIDA"/>
    <s v="Propiedad"/>
    <x v="7"/>
    <m/>
    <n v="6"/>
    <s v="Cuartos de servicio"/>
    <s v="Vicerrectoría Administrativa Financiera "/>
    <s v="DEPOSITO KIOSCO "/>
    <s v="N/A"/>
    <n v="0"/>
    <n v="9.34"/>
    <d v="2022-05-25T00:00:00"/>
    <s v="Si"/>
  </r>
  <r>
    <x v="0"/>
    <s v="CONSTRUIDA"/>
    <s v="Propiedad"/>
    <x v="7"/>
    <m/>
    <s v="N/A"/>
    <s v="Cuartos técnicos"/>
    <s v="Vicerrectoría Administrativa Financiera "/>
    <s v="CUARTO INSPECCION A LA CUBIERTA TIPO 1 NIVEL 17 - 5"/>
    <s v="N/A"/>
    <n v="0"/>
    <n v="5.74"/>
    <d v="2022-05-25T00:00:00"/>
    <s v="Si"/>
  </r>
  <r>
    <x v="1"/>
    <s v="CONSTRUIDA"/>
    <s v="Propiedad"/>
    <x v="7"/>
    <m/>
    <s v="N/A"/>
    <s v="Espacios de integración"/>
    <s v="Vicerrectoría Administrativa Financiera "/>
    <s v="TERRAZA NIVEL 17 - 5"/>
    <s v="N/A"/>
    <n v="0"/>
    <n v="221"/>
    <d v="2022-05-25T00:00:00"/>
    <s v="Si"/>
  </r>
  <r>
    <x v="0"/>
    <s v="CONSTRUIDA"/>
    <s v="Propiedad"/>
    <x v="7"/>
    <m/>
    <s v="N/A"/>
    <s v="Cuartos técnicos"/>
    <s v="Vicerrectoría Administrativa Financiera "/>
    <s v="CUARTO INSPECCION ZONAS VERDES TIPO 1 NIVEL 17"/>
    <s v="N/A"/>
    <n v="0"/>
    <n v="9.59"/>
    <d v="2022-05-25T00:00:00"/>
    <s v="Si"/>
  </r>
  <r>
    <x v="0"/>
    <s v="CONSTRUIDA"/>
    <s v="Propiedad"/>
    <x v="7"/>
    <m/>
    <s v="N/A"/>
    <s v="Cuartos técnicos"/>
    <s v="Vicerrectoría Administrativa Financiera "/>
    <s v="CUARTO INSPECCION ZONAS VERDES TIPO 1 NIVEL 17"/>
    <s v="N/A"/>
    <n v="0"/>
    <n v="8.2799999999999994"/>
    <d v="2022-05-25T00:00:00"/>
    <s v="Si"/>
  </r>
  <r>
    <x v="0"/>
    <s v="CONSTRUIDA"/>
    <s v="Propiedad"/>
    <x v="7"/>
    <m/>
    <s v="N/A"/>
    <s v="Cuartos técnicos"/>
    <s v="Vicerrectoría Administrativa Financiera "/>
    <s v="CUARTO INSPECCION ZONAS VERDES TIPO 1 NIVEL 17"/>
    <s v="N/A"/>
    <n v="0"/>
    <n v="17.27"/>
    <d v="2022-05-25T00:00:00"/>
    <s v="Si"/>
  </r>
  <r>
    <x v="0"/>
    <s v="CONSTRUIDA"/>
    <s v="Propiedad"/>
    <x v="7"/>
    <m/>
    <s v="N/A"/>
    <s v="Cuartos técnicos"/>
    <s v="Vicerrectoría Administrativa Financiera "/>
    <s v="CUARTO INSPECCION ZONAS VERDES TIPO 1 NIVEL 17"/>
    <s v="N/A"/>
    <n v="0"/>
    <n v="21.36"/>
    <d v="2022-05-25T00:00:00"/>
    <s v="Si"/>
  </r>
  <r>
    <x v="0"/>
    <s v="CONSTRUIDA"/>
    <s v="Propiedad"/>
    <x v="7"/>
    <m/>
    <n v="6"/>
    <s v="Malla de circulación"/>
    <s v="Vicerrectoría Administrativa Financiera "/>
    <s v="CIRCULACIONES  "/>
    <s v="N/A"/>
    <n v="0"/>
    <n v="220.87"/>
    <d v="2022-05-25T00:00:00"/>
    <s v="Si"/>
  </r>
  <r>
    <x v="0"/>
    <s v="CONSTRUIDA"/>
    <s v="Propiedad"/>
    <x v="7"/>
    <m/>
    <s v="N/A"/>
    <s v="Accesos"/>
    <s v="Vicerrectoría Administrativa Financiera "/>
    <s v="PORTERIA "/>
    <s v="N/A"/>
    <n v="0"/>
    <n v="14.55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 PORTERIA "/>
    <s v="N/A"/>
    <n v="0"/>
    <n v="3.68"/>
    <d v="2022-05-25T00:00:00"/>
    <s v="Si"/>
  </r>
  <r>
    <x v="0"/>
    <s v="CONSTRUIDA"/>
    <s v="Propiedad"/>
    <x v="7"/>
    <m/>
    <s v="N/A"/>
    <s v="Cuartos técnicos"/>
    <s v="Vicerrectoría Administrativa Financiera "/>
    <s v="CUARTO TECNICO VOZ Y DATOS "/>
    <s v="N/A"/>
    <n v="0"/>
    <n v="8.69"/>
    <d v="2022-05-25T00:00:00"/>
    <s v="Si"/>
  </r>
  <r>
    <x v="0"/>
    <s v="CONSTRUIDA"/>
    <s v="Propiedad"/>
    <x v="7"/>
    <m/>
    <s v="N/A"/>
    <s v="Módulos"/>
    <s v="Vicerrectoría Administrativa Financiera "/>
    <s v="ARCHIVOS RODANTES"/>
    <s v="N/A"/>
    <n v="0"/>
    <n v="19.11"/>
    <d v="2022-05-25T00:00:00"/>
    <s v="Si"/>
  </r>
  <r>
    <x v="0"/>
    <s v="CONSTRUIDA"/>
    <s v="Propiedad"/>
    <x v="7"/>
    <m/>
    <s v="N/A"/>
    <s v="Cuartos técnicos"/>
    <s v="Vicerrectoría Administrativa Financiera "/>
    <s v="CUARTO ELECTRICO"/>
    <s v="N/A"/>
    <n v="0"/>
    <n v="12.09"/>
    <d v="2022-05-25T00:00:00"/>
    <s v="Si"/>
  </r>
  <r>
    <x v="0"/>
    <s v="CONSTRUIDA"/>
    <s v="Propiedad"/>
    <x v="7"/>
    <m/>
    <s v="N/A"/>
    <s v="Cuartos de servicio"/>
    <s v="Vicerrectoría Administrativa Financiera "/>
    <s v="DEPOSITO DE ASEO OFICINAS "/>
    <s v="N/A"/>
    <n v="0"/>
    <n v="5.18"/>
    <d v="2022-05-25T00:00:00"/>
    <s v="Si"/>
  </r>
  <r>
    <x v="0"/>
    <s v="CONSTRUIDA"/>
    <s v="Propiedad"/>
    <x v="7"/>
    <m/>
    <s v="N/A"/>
    <s v="Cuartos técnicos"/>
    <s v="Vicerrectoría Administrativa Financiera "/>
    <s v="CUARTO TECNICO DE COMUNICACIONES "/>
    <s v="N/A"/>
    <n v="0"/>
    <n v="13.08"/>
    <d v="2022-05-25T00:00:00"/>
    <s v="Si"/>
  </r>
  <r>
    <x v="2"/>
    <s v="CONSTRUIDA"/>
    <s v="Propiedad"/>
    <x v="7"/>
    <m/>
    <s v="N/A"/>
    <s v="Cuartos de servicio"/>
    <s v="Vicerrectoría Administrativa Financiera "/>
    <s v="ARCHIVO"/>
    <s v="N/A"/>
    <n v="0"/>
    <n v="4.3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 CUARTO TECNICO DE SEGURIDAD Y CONTROL "/>
    <s v="N/A"/>
    <n v="0"/>
    <n v="5.83"/>
    <d v="2022-05-25T00:00:00"/>
    <s v="Si"/>
  </r>
  <r>
    <x v="0"/>
    <s v="CONSTRUIDA"/>
    <s v="Propiedad"/>
    <x v="7"/>
    <m/>
    <s v="N/A"/>
    <s v="Cuartos técnicos"/>
    <s v="Vicerrectoría Administrativa Financiera "/>
    <s v="CUARTO DE CONTROL Y MONITOREO"/>
    <s v="N/A"/>
    <n v="0"/>
    <n v="58.01"/>
    <d v="2022-05-25T00:00:00"/>
    <s v="Si"/>
  </r>
  <r>
    <x v="0"/>
    <s v="CONSTRUIDA"/>
    <s v="Propiedad"/>
    <x v="7"/>
    <m/>
    <s v="N/A"/>
    <s v="Cuartos técnicos"/>
    <s v="Vicerrectoría Administrativa Financiera "/>
    <s v="CENTRO DE DATOS"/>
    <s v="N/A"/>
    <n v="22"/>
    <n v="92.71"/>
    <d v="2022-05-25T00:00:00"/>
    <s v="Si"/>
  </r>
  <r>
    <x v="0"/>
    <s v="CONSTRUIDA"/>
    <s v="Propiedad"/>
    <x v="7"/>
    <m/>
    <s v="N/A"/>
    <s v="Oficinas"/>
    <s v="Vicerrectoría Administrativa Financiera "/>
    <s v="CAJA "/>
    <s v="N/A"/>
    <n v="4"/>
    <n v="8.0399999999999991"/>
    <d v="2022-05-25T00:00:00"/>
    <s v="Si"/>
  </r>
  <r>
    <x v="0"/>
    <s v="CONSTRUIDA"/>
    <s v="Propiedad"/>
    <x v="7"/>
    <m/>
    <s v="N/A"/>
    <s v="Malla de circulación"/>
    <s v="Vicerrectoría Administrativa Financiera "/>
    <s v="HALL"/>
    <s v="Procesos de apoyo"/>
    <n v="10"/>
    <n v="12.64"/>
    <d v="2022-05-25T00:00:00"/>
    <s v="Si"/>
  </r>
  <r>
    <x v="0"/>
    <s v="CONSTRUIDA"/>
    <s v="Propiedad"/>
    <x v="7"/>
    <m/>
    <s v="N/A"/>
    <s v="Oficinas"/>
    <s v="Vicerrectoría Administrativa Financiera "/>
    <s v="RECEPCION Y SALA DE ESPERA CAP 10 PERSONAS "/>
    <s v="Procesos de apoyo"/>
    <n v="10"/>
    <n v="45.97"/>
    <d v="2022-05-25T00:00:00"/>
    <s v="Si"/>
  </r>
  <r>
    <x v="0"/>
    <s v="CONSTRUIDA"/>
    <s v="Propiedad"/>
    <x v="7"/>
    <m/>
    <s v="N/A"/>
    <s v="Oficinas"/>
    <s v="Vicerrectoría Administrativa Financiera "/>
    <s v="OFICINA COORDINADOR "/>
    <s v="Procesos de apoyo"/>
    <n v="0"/>
    <n v="18.34"/>
    <d v="2022-05-25T00:00:00"/>
    <s v="Si"/>
  </r>
  <r>
    <x v="0"/>
    <s v="CONSTRUIDA"/>
    <s v="Propiedad"/>
    <x v="7"/>
    <m/>
    <s v="N/A"/>
    <s v="Cafeterías privadas"/>
    <s v="Vicerrectoría Administrativa Financiera "/>
    <s v="COCINETA"/>
    <s v="Procesos de apoyo"/>
    <n v="0"/>
    <n v="6.46"/>
    <d v="2022-05-25T00:00:00"/>
    <s v="Si"/>
  </r>
  <r>
    <x v="2"/>
    <s v="CONSTRUIDA"/>
    <s v="Propiedad"/>
    <x v="7"/>
    <m/>
    <s v="N/A"/>
    <s v="Salas de reunión"/>
    <s v="Vicerrectoría Administrativa Financiera "/>
    <s v="SALA DE JUNTAS CAP 13 PERSONAS "/>
    <s v="Procesos de apoyo"/>
    <n v="13"/>
    <n v="38.11"/>
    <d v="2022-05-25T00:00:00"/>
    <s v="Si"/>
  </r>
  <r>
    <x v="0"/>
    <s v="CONSTRUIDA"/>
    <s v="Propiedad"/>
    <x v="7"/>
    <m/>
    <s v="N/A"/>
    <s v="Oficinas"/>
    <s v="Vicerrectoría Administrativa Financiera "/>
    <s v="SECRETARIA CAP 3 PERSONAS"/>
    <s v="Procesos de apoyo"/>
    <n v="3"/>
    <n v="15.5"/>
    <d v="2022-05-25T00:00:00"/>
    <s v="Si"/>
  </r>
  <r>
    <x v="0"/>
    <s v="CONSTRUIDA"/>
    <s v="Propiedad"/>
    <x v="7"/>
    <m/>
    <s v="N/A"/>
    <s v="Oficinas"/>
    <s v="Vicerrectoría Administrativa Financiera "/>
    <s v="OFICINA RECTOR "/>
    <s v="Procesos de apoyo"/>
    <n v="3"/>
    <n v="24.64"/>
    <d v="2022-05-25T00:00:00"/>
    <s v="Si"/>
  </r>
  <r>
    <x v="0"/>
    <s v="CONSTRUIDA"/>
    <s v="Propiedad"/>
    <x v="7"/>
    <m/>
    <s v="N/A"/>
    <s v="Cuartos de servicio"/>
    <s v="Vicerrectoría Administrativa Financiera "/>
    <s v="GUARDAROPA RECTOR "/>
    <s v="Procesos de apoyo"/>
    <n v="0"/>
    <n v="5.4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 OFICINA RECTOR "/>
    <s v="Procesos de apoyo"/>
    <n v="1"/>
    <n v="4.66"/>
    <d v="2022-05-25T00:00:00"/>
    <s v="Si"/>
  </r>
  <r>
    <x v="0"/>
    <s v="CONSTRUIDA"/>
    <s v="Propiedad"/>
    <x v="7"/>
    <m/>
    <s v="N/A"/>
    <s v="Oficinas"/>
    <s v="Vicerrectoría Administrativa Financiera "/>
    <s v="OFICINA ADMINISTRADOR "/>
    <s v="Procesos de apoyo"/>
    <n v="3"/>
    <n v="16.350000000000001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 OFICINA ADMINISTRADOR "/>
    <s v="N/A"/>
    <n v="0"/>
    <n v="2.61"/>
    <d v="2022-05-25T00:00:00"/>
    <s v="Si"/>
  </r>
  <r>
    <x v="2"/>
    <s v="CONSTRUIDA"/>
    <s v="Propiedad"/>
    <x v="7"/>
    <m/>
    <s v="N/A"/>
    <s v="Malla de circulación"/>
    <s v="Vicerrectoría Administrativa Financiera "/>
    <s v="CIRCULACION ADMINISTRATIVA "/>
    <s v="Procesos de apoyo"/>
    <n v="0"/>
    <n v="108.47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S HOMBRES TIPO 1"/>
    <s v="N/A"/>
    <n v="3"/>
    <n v="21.13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S MUJERES TIPO 1"/>
    <s v="N/A"/>
    <n v="3"/>
    <n v="24.53"/>
    <d v="2022-05-25T00:00:00"/>
    <s v="Si"/>
  </r>
  <r>
    <x v="0"/>
    <s v="CONSTRUIDA"/>
    <s v="Propiedad"/>
    <x v="7"/>
    <m/>
    <s v="N/A"/>
    <s v="Servicios sanitarios privados"/>
    <s v="Vicerrectoría Administrativa Financiera "/>
    <s v="BAÑO PMR TIPO 1"/>
    <s v="N/A"/>
    <n v="1"/>
    <n v="7.38"/>
    <d v="2022-05-25T00:00:00"/>
    <s v="Si"/>
  </r>
  <r>
    <x v="0"/>
    <s v="CONSTRUIDA"/>
    <s v="Propiedad"/>
    <x v="7"/>
    <m/>
    <s v="N/A"/>
    <s v="Cuartos de servicio"/>
    <s v="Vicerrectoría Administrativa Financiera "/>
    <s v="ASEO"/>
    <s v="N/A"/>
    <n v="0"/>
    <n v="2.89"/>
    <d v="2022-05-25T00:00:00"/>
    <s v="Si"/>
  </r>
  <r>
    <x v="0"/>
    <s v="CONSTRUIDA"/>
    <s v="Propiedad"/>
    <x v="7"/>
    <m/>
    <s v="N/A"/>
    <s v="Espacios de integración"/>
    <s v="Vicerrectoría Administrativa Financiera "/>
    <s v="HALL DE EXHIBICIONES"/>
    <s v="Procesos de apoyo"/>
    <n v="228"/>
    <n v="389.73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S TIPO 2"/>
    <s v="N/A"/>
    <n v="3"/>
    <n v="17.36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S TIPO 2"/>
    <s v="N/A"/>
    <n v="3"/>
    <n v="17.36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 PMR TIPO 2"/>
    <s v="N/A"/>
    <n v="1"/>
    <n v="8.89"/>
    <d v="2022-05-25T00:00:00"/>
    <s v="Si"/>
  </r>
  <r>
    <x v="0"/>
    <s v="CONSTRUIDA"/>
    <s v="Propiedad"/>
    <x v="7"/>
    <m/>
    <s v="N/A"/>
    <s v="Cuartos técnicos"/>
    <s v="Vicerrectoría Administrativa Financiera "/>
    <s v="CUARTO TECNICO VOZ Y DATOS "/>
    <s v="N/A"/>
    <n v="0"/>
    <n v="14.59"/>
    <d v="2022-05-25T00:00:00"/>
    <s v="Si"/>
  </r>
  <r>
    <x v="0"/>
    <s v="CONSTRUIDA"/>
    <s v="Propiedad"/>
    <x v="7"/>
    <m/>
    <s v="N/A"/>
    <s v="Cuartos de servicio"/>
    <s v="Vicerrectoría Administrativa Financiera "/>
    <s v="ASEO "/>
    <s v="N/A"/>
    <n v="0"/>
    <n v="2.6"/>
    <d v="2022-05-25T00:00:00"/>
    <s v="Si"/>
  </r>
  <r>
    <x v="0"/>
    <s v="CONSTRUIDA"/>
    <s v="Propiedad"/>
    <x v="7"/>
    <m/>
    <s v="N/A"/>
    <s v="Cuartos técnicos"/>
    <s v="Vicerrectoría Administrativa Financiera "/>
    <s v="CUARTO DE CONTROL SALA DE CONFERENCIAS"/>
    <s v="N/A"/>
    <n v="0"/>
    <n v="13.88"/>
    <d v="2022-05-25T00:00:00"/>
    <s v="Si"/>
  </r>
  <r>
    <x v="0"/>
    <s v="CONSTRUIDA"/>
    <s v="Propiedad"/>
    <x v="7"/>
    <m/>
    <s v="N/A"/>
    <s v="Cuartos técnicos"/>
    <s v="Vicerrectoría Administrativa Financiera "/>
    <s v="CONTROL SALA DE CONFERENCIAS "/>
    <s v="N/A"/>
    <n v="0"/>
    <n v="11.51"/>
    <d v="2022-05-25T00:00:00"/>
    <s v="Si"/>
  </r>
  <r>
    <x v="0"/>
    <s v="CONSTRUIDA"/>
    <s v="Propiedad"/>
    <x v="7"/>
    <m/>
    <s v="N/A"/>
    <s v="Cuartos de servicio"/>
    <s v="Vicerrectoría Administrativa Financiera "/>
    <s v="ASEO"/>
    <s v="N/A"/>
    <n v="0"/>
    <n v="6.46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S MUJERES TIPO 3 "/>
    <s v="N/A"/>
    <n v="0"/>
    <n v="19.72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S HOMBRES TIPO 3"/>
    <s v="N/A"/>
    <n v="0"/>
    <n v="24.34"/>
    <d v="2022-05-25T00:00:00"/>
    <s v="Si"/>
  </r>
  <r>
    <x v="1"/>
    <s v="CONSTRUIDA"/>
    <s v="Propiedad"/>
    <x v="7"/>
    <m/>
    <s v="N/A"/>
    <s v="Servicios sanitarios privados"/>
    <s v="Vicerrectoría Administrativa Financiera "/>
    <s v="BAÑO PMR TIPO 3"/>
    <s v="N/A"/>
    <n v="0"/>
    <n v="8.1"/>
    <d v="2022-05-25T00:00:00"/>
    <s v="Si"/>
  </r>
  <r>
    <x v="0"/>
    <s v="CONSTRUIDA"/>
    <s v="Propiedad"/>
    <x v="7"/>
    <m/>
    <s v="N/A"/>
    <s v="Cafeterías públicas"/>
    <s v="Vicerrectoría Administrativa Financiera "/>
    <s v="CAFETERIA CAP 254 PERSONAS "/>
    <s v="N/A"/>
    <n v="254"/>
    <n v="435.18"/>
    <d v="2022-05-25T00:00:00"/>
    <s v="Si"/>
  </r>
  <r>
    <x v="2"/>
    <s v="CONSTRUIDA"/>
    <s v="Propiedad"/>
    <x v="7"/>
    <m/>
    <s v="N/A"/>
    <s v="Malla de circulación"/>
    <s v="Vicerrectoría Administrativa Financiera "/>
    <s v="CIRCULACIONES "/>
    <s v="N/A"/>
    <n v="0"/>
    <n v="1550.72"/>
    <d v="2022-05-25T00:00:00"/>
    <s v="Si"/>
  </r>
  <r>
    <x v="0"/>
    <s v="CONSTRUIDA"/>
    <s v="Propiedad"/>
    <x v="7"/>
    <m/>
    <s v="N/A"/>
    <s v="Espacios deportivos"/>
    <s v="Vicerrectoría Administrativa Financiera "/>
    <s v="Piscinas "/>
    <s v="N/A"/>
    <n v="0"/>
    <n v="1554.17"/>
    <d v="2022-05-25T00:00:00"/>
    <s v="Si"/>
  </r>
  <r>
    <x v="0"/>
    <s v="CONSTRUIDA"/>
    <s v="Propiedad"/>
    <x v="7"/>
    <m/>
    <s v="N/A"/>
    <s v="Cuartos técnicos"/>
    <s v="Vicerrectoría Administrativa Financiera "/>
    <s v="Cuarto de bombas  "/>
    <s v="N/A"/>
    <n v="0"/>
    <n v="184.08"/>
    <d v="2022-05-25T00:00:00"/>
    <s v="Si"/>
  </r>
  <r>
    <x v="0"/>
    <s v="CONSTRUIDA"/>
    <s v="Propiedad"/>
    <x v="7"/>
    <m/>
    <s v="N/A"/>
    <s v="Cuartos técnicos"/>
    <s v="Vicerrectoría Administrativa Financiera "/>
    <s v="Subestacion  de GLP"/>
    <s v="N/A"/>
    <n v="0"/>
    <n v="75.48"/>
    <d v="2022-05-25T00:00:00"/>
    <s v="Si"/>
  </r>
  <r>
    <x v="0"/>
    <s v="CONSTRUIDA"/>
    <s v="Propiedad"/>
    <x v="7"/>
    <m/>
    <s v="N/A"/>
    <s v="Cuartos técnicos"/>
    <s v="Vicerrectoría Administrativa Financiera "/>
    <s v="Subestacion  400KVA  "/>
    <s v="N/A"/>
    <n v="0"/>
    <n v="53.5"/>
    <d v="2022-05-25T00:00:00"/>
    <s v="Si"/>
  </r>
  <r>
    <x v="0"/>
    <s v="CONSTRUIDA"/>
    <s v="Propiedad"/>
    <x v="7"/>
    <m/>
    <s v="N/A"/>
    <s v="Cuartos técnicos"/>
    <s v="Vicerrectoría Administrativa Financiera "/>
    <s v="Planta electrica 400KVA  "/>
    <s v="N/A"/>
    <n v="0"/>
    <n v="60.16"/>
    <d v="2022-05-25T00:00:00"/>
    <s v="Si"/>
  </r>
  <r>
    <x v="0"/>
    <s v="CONSTRUIDA"/>
    <s v="Propiedad"/>
    <x v="7"/>
    <m/>
    <s v="N/A"/>
    <s v="Cuartos de servicio"/>
    <s v="Vicerrectoría Administrativa Financiera "/>
    <s v="DEPOSITO IMPLEMENTOS DEPORTIVOS "/>
    <s v="N/A"/>
    <n v="0"/>
    <n v="8.1300000000000008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TERIA SANITARIA NIÑOS- NIÑAS"/>
    <s v="N/A"/>
    <n v="0"/>
    <n v="122.66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TERIA SANITARIA HOMBRES- MUJERES"/>
    <s v="N/A"/>
    <n v="0"/>
    <n v="123.06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 DE INSTRUCTUTORES"/>
    <s v="N/A"/>
    <n v="0"/>
    <n v="13.25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 PMR"/>
    <s v="N/A"/>
    <n v="0"/>
    <n v="14.1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 PMR"/>
    <s v="N/A"/>
    <n v="0"/>
    <n v="14.1"/>
    <d v="2022-05-25T00:00:00"/>
    <s v="Si"/>
  </r>
  <r>
    <x v="0"/>
    <s v="CONSTRUIDA"/>
    <s v="Propiedad"/>
    <x v="7"/>
    <m/>
    <s v="N/A"/>
    <s v="Sala de espera"/>
    <s v="Vicerrectoría Administrativa Financiera "/>
    <s v="HALL, SALA DE ESPERA Y RECEPCION "/>
    <s v="N/A"/>
    <n v="0"/>
    <n v="90.91"/>
    <d v="2022-05-25T00:00:00"/>
    <s v="Si"/>
  </r>
  <r>
    <x v="0"/>
    <s v="CONSTRUIDA"/>
    <s v="Propiedad"/>
    <x v="7"/>
    <m/>
    <s v="N/A"/>
    <s v="Oficinas"/>
    <s v="Vicerrectoría Administrativa Financiera "/>
    <s v="PRIMEROS AUXILIOS"/>
    <s v="N/A"/>
    <n v="0"/>
    <n v="14.77"/>
    <d v="2022-05-25T00:00:00"/>
    <s v="Si"/>
  </r>
  <r>
    <x v="0"/>
    <s v="CONSTRUIDA"/>
    <s v="Propiedad"/>
    <x v="7"/>
    <m/>
    <s v="N/A"/>
    <s v="Oficinas"/>
    <s v="Vicerrectoría Administrativa Financiera "/>
    <s v="OFICINA ADMINISTRACION "/>
    <s v="N/A"/>
    <n v="0"/>
    <n v="8.65"/>
    <d v="2022-05-25T00:00:00"/>
    <s v="Si"/>
  </r>
  <r>
    <x v="0"/>
    <s v="CONSTRUIDA"/>
    <s v="Propiedad"/>
    <x v="7"/>
    <m/>
    <s v="N/A"/>
    <s v="Oficinas"/>
    <s v="Vicerrectoría Administrativa Financiera "/>
    <s v="CONSULTORIO "/>
    <s v="N/A"/>
    <n v="0"/>
    <n v="9.24"/>
    <d v="2022-05-25T00:00:00"/>
    <s v="Si"/>
  </r>
  <r>
    <x v="0"/>
    <s v="CONSTRUIDA"/>
    <s v="Propiedad"/>
    <x v="7"/>
    <m/>
    <s v="N/A"/>
    <s v="Cuartos de servicio"/>
    <s v="Vicerrectoría Administrativa Financiera "/>
    <s v="ASEO"/>
    <s v="N/A"/>
    <n v="0"/>
    <n v="2.78"/>
    <d v="2022-05-25T00:00:00"/>
    <s v="Si"/>
  </r>
  <r>
    <x v="0"/>
    <s v="CONSTRUIDA"/>
    <s v="Propiedad"/>
    <x v="7"/>
    <m/>
    <s v="N/A"/>
    <s v="Cuartos técnicos"/>
    <s v="Vicerrectoría Administrativa Financiera "/>
    <s v="CALEFACCION CALENTADORES INDUSTRIALES A GAS"/>
    <s v="N/A"/>
    <n v="0"/>
    <n v="22.47"/>
    <d v="2022-05-25T00:00:00"/>
    <s v="Si"/>
  </r>
  <r>
    <x v="0"/>
    <s v="CONSTRUIDA"/>
    <s v="Propiedad"/>
    <x v="7"/>
    <m/>
    <s v="N/A"/>
    <s v="Cuartos técnicos"/>
    <s v="Vicerrectoría Administrativa Financiera "/>
    <s v="CALEFACCION CALENTADORES INDUSTRIALES A GAS"/>
    <s v="N/A"/>
    <n v="0"/>
    <n v="21.82"/>
    <d v="2022-05-25T00:00:00"/>
    <s v="Si"/>
  </r>
  <r>
    <x v="0"/>
    <s v="CONSTRUIDA"/>
    <s v="Propiedad"/>
    <x v="7"/>
    <m/>
    <s v="N/A"/>
    <s v="Malla de circulación"/>
    <s v="Vicerrectoría Administrativa Financiera "/>
    <s v="CIRCULACIONES"/>
    <s v="N/A"/>
    <n v="0"/>
    <n v="166.03"/>
    <d v="2022-05-25T00:00:00"/>
    <s v="Si"/>
  </r>
  <r>
    <x v="0"/>
    <s v="CONSTRUIDA"/>
    <s v="Propiedad"/>
    <x v="7"/>
    <m/>
    <s v="N/A"/>
    <s v="Cuartos técnicos"/>
    <s v="Vicerrectoría Administrativa Financiera "/>
    <s v="CUARTO TECNICO "/>
    <s v="N/A"/>
    <n v="0"/>
    <n v="12.22"/>
    <d v="2022-05-25T00:00:00"/>
    <s v="Si"/>
  </r>
  <r>
    <x v="0"/>
    <s v="CONSTRUIDA"/>
    <s v="Propiedad"/>
    <x v="7"/>
    <m/>
    <s v="N/A"/>
    <s v="Servicios sanitarios privados"/>
    <s v="Vicerrectoría Administrativa Financiera "/>
    <s v="BAÑOS HOMBRES Y MUJERES "/>
    <s v="N/A"/>
    <n v="0"/>
    <n v="28.33"/>
    <d v="2022-05-25T00:00:00"/>
    <s v="Si"/>
  </r>
  <r>
    <x v="0"/>
    <s v="CONSTRUIDA"/>
    <s v="Propiedad"/>
    <x v="7"/>
    <m/>
    <s v="N/A"/>
    <s v="Cuartos de servicio"/>
    <s v="Vicerrectoría Administrativa Financiera "/>
    <s v="ASEO "/>
    <s v="N/A"/>
    <n v="0"/>
    <n v="6.24"/>
    <d v="2022-05-25T00:00:00"/>
    <s v="Si"/>
  </r>
  <r>
    <x v="0"/>
    <s v="CONSTRUIDA"/>
    <s v="Propiedad"/>
    <x v="7"/>
    <m/>
    <s v="N/A"/>
    <s v="Cuartos técnicos"/>
    <s v="Vicerrectoría Administrativa Financiera "/>
    <s v="CUARTO ELECTRICO "/>
    <s v="N/A"/>
    <n v="0"/>
    <n v="29.62"/>
    <d v="2022-05-25T00:00:00"/>
    <s v="Si"/>
  </r>
  <r>
    <x v="0"/>
    <s v="CONSTRUIDA"/>
    <s v="Propiedad"/>
    <x v="7"/>
    <m/>
    <s v="N/A"/>
    <s v="Cuartos técnicos"/>
    <s v="Vicerrectoría Administrativa Financiera "/>
    <s v="CAURTO TECNICO REDES"/>
    <s v="N/A"/>
    <n v="0"/>
    <n v="34.270000000000003"/>
    <d v="2022-05-25T00:00:00"/>
    <s v="Si"/>
  </r>
  <r>
    <x v="0"/>
    <s v="CONSTRUIDA"/>
    <s v="Propiedad"/>
    <x v="7"/>
    <m/>
    <s v="N/A"/>
    <s v="Malla de circulación"/>
    <s v="Vicerrectoría Administrativa Financiera "/>
    <s v="CIRCULACIONES"/>
    <s v="N/A"/>
    <n v="0"/>
    <n v="309.87"/>
    <d v="2022-05-25T00:00:00"/>
    <s v="Si"/>
  </r>
  <r>
    <x v="0"/>
    <s v="CONSTRUIDA"/>
    <s v="Propiedad"/>
    <x v="7"/>
    <m/>
    <s v="N/A"/>
    <s v="Espacios de integración"/>
    <s v="Vicerrectoría Administrativa Financiera "/>
    <s v="AREA DE GRADERIA "/>
    <s v="N/A"/>
    <n v="0"/>
    <n v="227.17"/>
    <d v="2022-05-25T00:00:00"/>
    <s v="Si"/>
  </r>
  <r>
    <x v="0"/>
    <s v="CONSTRUIDA"/>
    <s v="Propiedad"/>
    <x v="7"/>
    <m/>
    <s v="N/A"/>
    <s v="Malla de circulación"/>
    <s v="Vicerrectoría Administrativa Financiera "/>
    <s v="CIRCULACIONES"/>
    <s v="N/A"/>
    <n v="0"/>
    <n v="231.32"/>
    <d v="2022-05-25T00:00:00"/>
    <s v="Si"/>
  </r>
  <r>
    <x v="0"/>
    <s v="CONSTRUIDA"/>
    <s v="Propiedad"/>
    <x v="7"/>
    <m/>
    <s v="N/A"/>
    <s v="Malla de circulación"/>
    <s v="Vicerrectoría Administrativa Financiera "/>
    <s v="CUARTO TECNICO MANTENIMIENTO CANCHAS "/>
    <s v="N/A"/>
    <n v="0"/>
    <n v="19.73"/>
    <d v="2022-05-25T00:00:00"/>
    <s v="Si"/>
  </r>
  <r>
    <x v="0"/>
    <s v="CONSTRUIDA"/>
    <s v="Propiedad"/>
    <x v="7"/>
    <m/>
    <s v="N/A"/>
    <s v="Cuartos técnicos"/>
    <s v="Vicerrectoría Administrativa Financiera "/>
    <s v="CUARTO TECNICO"/>
    <s v="N/A"/>
    <n v="0"/>
    <n v="9.89"/>
    <d v="2022-05-25T00:00:00"/>
    <s v="Si"/>
  </r>
  <r>
    <x v="0"/>
    <s v="CONSTRUIDA"/>
    <s v="Propiedad"/>
    <x v="7"/>
    <m/>
    <s v="N/A"/>
    <s v="Cuartos de servicio"/>
    <s v="Vicerrectoría Administrativa Financiera "/>
    <s v="DEPOSITO Y ASEO"/>
    <s v="N/A"/>
    <n v="0"/>
    <n v="4.66"/>
    <d v="2022-05-25T00:00:00"/>
    <s v="Si"/>
  </r>
  <r>
    <x v="0"/>
    <s v="CONSTRUIDA"/>
    <s v="Propiedad"/>
    <x v="7"/>
    <m/>
    <s v="N/A"/>
    <s v="Cuartos de servicio"/>
    <s v="Vicerrectoría Administrativa Financiera "/>
    <s v="CUARTO TECNICO GAS"/>
    <s v="N/A"/>
    <n v="0"/>
    <n v="4.76"/>
    <d v="2022-05-25T00:00:00"/>
    <s v="Si"/>
  </r>
  <r>
    <x v="0"/>
    <s v="CONSTRUIDA"/>
    <s v="Propiedad"/>
    <x v="7"/>
    <m/>
    <s v="N/A"/>
    <s v="Cuartos de servicio"/>
    <s v="Vicerrectoría Administrativa Financiera "/>
    <s v="VESTUARIO LOCKERS Y DUCHAS "/>
    <s v="N/A"/>
    <n v="0"/>
    <n v="71.680000000000007"/>
    <d v="2022-05-25T00:00:00"/>
    <s v="Si"/>
  </r>
  <r>
    <x v="0"/>
    <s v="CONSTRUIDA"/>
    <s v="Propiedad"/>
    <x v="7"/>
    <m/>
    <s v="N/A"/>
    <s v="Servicios sanitarios privados"/>
    <s v="Vicerrectoría Administrativa Financiera "/>
    <s v="BAÑOS ARBITROS"/>
    <s v="N/A"/>
    <n v="0"/>
    <n v="14.48"/>
    <d v="2022-05-25T00:00:00"/>
    <s v="Si"/>
  </r>
  <r>
    <x v="0"/>
    <s v="CONSTRUIDA"/>
    <s v="Propiedad"/>
    <x v="7"/>
    <m/>
    <s v="N/A"/>
    <s v="Malla de circulación"/>
    <s v="Vicerrectoría Administrativa Financiera "/>
    <s v="DUCHAS Y LOCKERS ARBITROS"/>
    <s v="N/A"/>
    <n v="0"/>
    <n v="13.86"/>
    <d v="2022-05-25T00:00:00"/>
    <s v="Si"/>
  </r>
  <r>
    <x v="2"/>
    <s v="CONSTRUIDA"/>
    <s v="Propiedad"/>
    <x v="7"/>
    <m/>
    <s v="N/A"/>
    <s v="Malla de circulación"/>
    <s v="Vicerrectoría Administrativa Financiera "/>
    <s v="CIRCULACIONES"/>
    <s v="N/A"/>
    <n v="0"/>
    <n v="258.43"/>
    <d v="2022-05-25T00:00:00"/>
    <s v="Si"/>
  </r>
  <r>
    <x v="0"/>
    <s v="CONSTRUIDA"/>
    <s v="Propiedad"/>
    <x v="7"/>
    <m/>
    <s v="N/A"/>
    <s v="Espacios deportivos"/>
    <s v="Vicerrectoría Administrativa Financiera "/>
    <s v="AREA DE CANCHA POLIDEPORTIVO"/>
    <s v="N/A"/>
    <n v="0"/>
    <n v="739.18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S MIXTOS DEPORTISTAS POLIDEPORTIVO "/>
    <s v="N/A"/>
    <n v="0"/>
    <n v="32.64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S MIXTOS DEPORTISTAS POLIDEPORTIVO "/>
    <s v="N/A"/>
    <n v="0"/>
    <n v="32.64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S DEPOTISTAS CANCHAS EXT"/>
    <s v="N/A"/>
    <n v="0"/>
    <n v="36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S DEPOTISTAS CANCHAS EXT"/>
    <s v="N/A"/>
    <n v="0"/>
    <n v="36"/>
    <d v="2022-05-25T00:00:00"/>
    <s v="Si"/>
  </r>
  <r>
    <x v="0"/>
    <s v="CONSTRUIDA"/>
    <s v="Propiedad"/>
    <x v="7"/>
    <m/>
    <s v="N/A"/>
    <s v="Cuartos de servicio"/>
    <s v="Vicerrectoría Administrativa Financiera "/>
    <s v="ASEO TIPO 1"/>
    <s v="N/A"/>
    <n v="0"/>
    <n v="3.81"/>
    <d v="2022-05-25T00:00:00"/>
    <s v="Si"/>
  </r>
  <r>
    <x v="0"/>
    <s v="CONSTRUIDA"/>
    <s v="Propiedad"/>
    <x v="7"/>
    <m/>
    <s v="N/A"/>
    <s v="Cuartos de servicio"/>
    <s v="Vicerrectoría Administrativa Financiera "/>
    <s v="ASEO TIPO 1"/>
    <s v="N/A"/>
    <n v="0"/>
    <n v="3.81"/>
    <d v="2022-05-25T00:00:00"/>
    <s v="Si"/>
  </r>
  <r>
    <x v="0"/>
    <s v="CONSTRUIDA"/>
    <s v="Propiedad"/>
    <x v="7"/>
    <m/>
    <s v="N/A"/>
    <s v="Cuartos de servicio"/>
    <s v="Vicerrectoría Administrativa Financiera "/>
    <s v="ASEO TIPO 2"/>
    <s v="N/A"/>
    <n v="0"/>
    <n v="4.21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ÑO PMR"/>
    <s v="N/A"/>
    <n v="0"/>
    <n v="8.1"/>
    <d v="2022-05-25T00:00:00"/>
    <s v="Si"/>
  </r>
  <r>
    <x v="0"/>
    <s v="CONSTRUIDA"/>
    <s v="Propiedad"/>
    <x v="7"/>
    <m/>
    <s v="N/A"/>
    <s v="Servicios sanitarios públicos"/>
    <s v="Vicerrectoría Administrativa Financiera "/>
    <s v="VESTIER JUECES"/>
    <s v="N/A"/>
    <n v="0"/>
    <n v="12.3"/>
    <d v="2022-05-25T00:00:00"/>
    <s v="Si"/>
  </r>
  <r>
    <x v="0"/>
    <s v="CONSTRUIDA"/>
    <s v="Propiedad"/>
    <x v="7"/>
    <m/>
    <s v="N/A"/>
    <s v="Cuartos de servicio"/>
    <s v="Vicerrectoría Administrativa Financiera "/>
    <s v="DEPOSITO DE IMPLEMENTOS DEPORTIVOS TIPO 1"/>
    <s v="N/A"/>
    <n v="0"/>
    <n v="11"/>
    <d v="2022-05-25T00:00:00"/>
    <s v="Si"/>
  </r>
  <r>
    <x v="0"/>
    <s v="CONSTRUIDA"/>
    <s v="Propiedad"/>
    <x v="7"/>
    <m/>
    <s v="N/A"/>
    <s v="Cuartos de servicio"/>
    <s v="Vicerrectoría Administrativa Financiera "/>
    <s v="DEPOSITO DE IMPLEMENTOS DEPORTIVOS TIPO 2"/>
    <s v="N/A"/>
    <n v="0"/>
    <n v="19.68"/>
    <d v="2022-05-25T00:00:00"/>
    <s v="Si"/>
  </r>
  <r>
    <x v="0"/>
    <s v="CONSTRUIDA"/>
    <s v="Propiedad"/>
    <x v="7"/>
    <m/>
    <s v="N/A"/>
    <s v="Cuartos técnicos"/>
    <s v="Vicerrectoría Administrativa Financiera "/>
    <s v="CUARTO TECNICO ELECTRICO"/>
    <s v="N/A"/>
    <n v="0"/>
    <n v="8.73"/>
    <d v="2022-05-25T00:00:00"/>
    <s v="Si"/>
  </r>
  <r>
    <x v="0"/>
    <s v="CONSTRUIDA"/>
    <s v="Propiedad"/>
    <x v="7"/>
    <m/>
    <s v="N/A"/>
    <s v="Cuartos de servicio"/>
    <s v="Vicerrectoría Administrativa Financiera "/>
    <s v="CUARTO TECNICO VOZ Y DATOS "/>
    <s v="N/A"/>
    <n v="0"/>
    <n v="12.19"/>
    <d v="2022-05-25T00:00:00"/>
    <s v="Si"/>
  </r>
  <r>
    <x v="0"/>
    <s v="CONSTRUIDA"/>
    <s v="Propiedad"/>
    <x v="7"/>
    <m/>
    <s v="N/A"/>
    <s v="Cuartos de servicio"/>
    <s v="Vicerrectoría Administrativa Financiera "/>
    <s v="CUARTO TECNICO HIDRAULICO"/>
    <s v="N/A"/>
    <n v="0"/>
    <n v="13.04"/>
    <d v="2022-05-25T00:00:00"/>
    <s v="Si"/>
  </r>
  <r>
    <x v="0"/>
    <s v="CONSTRUIDA"/>
    <s v="Propiedad"/>
    <x v="7"/>
    <m/>
    <s v="N/A"/>
    <s v="Malla de circulación"/>
    <s v="Vicerrectoría Administrativa Financiera "/>
    <s v="HALL Y CONCENTRACION EQUIPOS "/>
    <s v="N/A"/>
    <n v="0"/>
    <n v="62.92"/>
    <d v="2022-05-25T00:00:00"/>
    <s v="Si"/>
  </r>
  <r>
    <x v="0"/>
    <s v="CONSTRUIDA"/>
    <s v="Propiedad"/>
    <x v="7"/>
    <m/>
    <s v="N/A"/>
    <s v="Malla de circulación"/>
    <s v="Vicerrectoría Administrativa Financiera "/>
    <s v="CIRCULACIONES "/>
    <s v="N/A"/>
    <n v="0"/>
    <n v="131.97999999999999"/>
    <d v="2022-05-25T00:00:00"/>
    <s v="Si"/>
  </r>
  <r>
    <x v="0"/>
    <s v="CONSTRUIDA"/>
    <s v="Propiedad"/>
    <x v="7"/>
    <m/>
    <s v="N/A"/>
    <s v="Espacios de integración"/>
    <s v="Vicerrectoría Administrativa Financiera "/>
    <s v="AREA DE GRADERIA "/>
    <s v="N/A"/>
    <n v="0"/>
    <n v="90.94"/>
    <d v="2022-05-25T00:00:00"/>
    <s v="Si"/>
  </r>
  <r>
    <x v="0"/>
    <s v="CONSTRUIDA"/>
    <s v="Propiedad"/>
    <x v="7"/>
    <m/>
    <s v="N/A"/>
    <s v="Oficinas"/>
    <s v="Vicerrectoría Administrativa Financiera "/>
    <s v="TAQUILLA"/>
    <s v="N/A"/>
    <n v="0"/>
    <n v="12.08"/>
    <d v="2022-05-25T00:00:00"/>
    <s v="Si"/>
  </r>
  <r>
    <x v="0"/>
    <s v="CONSTRUIDA"/>
    <s v="Propiedad"/>
    <x v="7"/>
    <m/>
    <s v="N/A"/>
    <s v="Cuartos de servicio"/>
    <s v="Vicerrectoría Administrativa Financiera "/>
    <s v="ESPACIO DISPONIBLE "/>
    <s v="N/A"/>
    <n v="0"/>
    <n v="15.02"/>
    <d v="2022-05-25T00:00:00"/>
    <s v="Si"/>
  </r>
  <r>
    <x v="0"/>
    <s v="CONSTRUIDA"/>
    <s v="Propiedad"/>
    <x v="7"/>
    <m/>
    <s v="N/A"/>
    <s v="Cuartos de servicio"/>
    <s v="Vicerrectoría Administrativa Financiera "/>
    <s v="ESPACIO DISPONIBLE "/>
    <s v="N/A"/>
    <n v="0"/>
    <n v="15.02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TERIA SANITARIA PUBLICA"/>
    <s v="N/A"/>
    <n v="0"/>
    <n v="22.66"/>
    <d v="2022-05-25T00:00:00"/>
    <s v="Si"/>
  </r>
  <r>
    <x v="0"/>
    <s v="CONSTRUIDA"/>
    <s v="Propiedad"/>
    <x v="7"/>
    <m/>
    <s v="N/A"/>
    <s v="Servicios sanitarios públicos"/>
    <s v="Vicerrectoría Administrativa Financiera "/>
    <s v="BATERIA SANITARIA PUBLICA"/>
    <s v="N/A"/>
    <n v="0"/>
    <n v="22.66"/>
    <d v="2022-05-25T00:00:00"/>
    <s v="Si"/>
  </r>
  <r>
    <x v="0"/>
    <s v="CONSTRUIDA"/>
    <s v="Propiedad"/>
    <x v="7"/>
    <m/>
    <s v="N/A"/>
    <s v="Cuartos de servicio"/>
    <s v="Vicerrectoría Administrativa Financiera "/>
    <s v="ASEO"/>
    <s v="N/A"/>
    <n v="0"/>
    <n v="1.63"/>
    <d v="2022-05-25T00:00:00"/>
    <s v="Si"/>
  </r>
  <r>
    <x v="0"/>
    <s v="CONSTRUIDA"/>
    <s v="Propiedad"/>
    <x v="7"/>
    <m/>
    <s v="N/A"/>
    <s v="Cuartos de servicio"/>
    <s v="Vicerrectoría Administrativa Financiera "/>
    <s v="ASEO"/>
    <s v="N/A"/>
    <n v="0"/>
    <n v="1.63"/>
    <d v="2022-05-25T00:00:00"/>
    <s v="Si"/>
  </r>
  <r>
    <x v="0"/>
    <s v="CONSTRUIDA"/>
    <s v="Propiedad"/>
    <x v="7"/>
    <m/>
    <s v="N/A"/>
    <s v="Malla de circulación"/>
    <s v="Vicerrectoría Administrativa Financiera "/>
    <s v="CIRCULACIONES "/>
    <s v="N/A"/>
    <n v="0"/>
    <n v="207.38"/>
    <d v="2022-05-25T00:00:00"/>
    <s v="Si"/>
  </r>
  <r>
    <x v="0"/>
    <s v="CONSTRUIDA"/>
    <s v="Propiedad"/>
    <x v="7"/>
    <m/>
    <s v="N/A"/>
    <s v="Espacios de integración"/>
    <s v="Vicerrectoría Administrativa Financiera "/>
    <s v="AREA DE GRADERIA "/>
    <s v="N/A"/>
    <n v="0"/>
    <n v="221.21"/>
    <d v="2022-05-25T00:00:00"/>
    <s v="Si"/>
  </r>
  <r>
    <x v="0"/>
    <s v="CONSTRUIDA"/>
    <s v="Propiedad"/>
    <x v="7"/>
    <m/>
    <s v="N/A"/>
    <s v="Malla de circulación"/>
    <s v="Vicerrectoría Administrativa Financiera "/>
    <s v="CIRCULACIONES "/>
    <s v="N/A"/>
    <n v="0"/>
    <n v="142.51"/>
    <d v="2022-05-25T00:00:00"/>
    <s v="Si"/>
  </r>
  <r>
    <x v="0"/>
    <s v="CONSTRUIDA"/>
    <s v="Propiedad"/>
    <x v="7"/>
    <m/>
    <s v="N/A"/>
    <s v="Cuartos técnicos"/>
    <s v="Vicerrectoría Administrativa Financiera "/>
    <s v="SUBESTACION 3"/>
    <s v="N/A"/>
    <n v="0"/>
    <n v="34.32"/>
    <d v="2022-05-25T00:00:00"/>
    <s v="Si"/>
  </r>
  <r>
    <x v="0"/>
    <s v="CONSTRUIDA"/>
    <s v="Propiedad"/>
    <x v="7"/>
    <m/>
    <s v="N/A"/>
    <s v="Cuartos técnicos"/>
    <s v="Vicerrectoría Administrativa Financiera "/>
    <s v="PLANTA DE TRATAMIENTO AGUA RESIDUAL"/>
    <s v="N/A"/>
    <n v="0"/>
    <n v="63.503999999999998"/>
    <d v="2022-05-25T00:00:00"/>
    <s v="Si"/>
  </r>
  <r>
    <x v="0"/>
    <s v="CONSTRUIDA"/>
    <s v="Propiedad"/>
    <x v="7"/>
    <m/>
    <s v="N/A"/>
    <s v="Cuartos técnicos"/>
    <s v="Vicerrectoría Administrativa Financiera "/>
    <s v="PLANTA DE TRATAMIENTO AGUA POTABLE"/>
    <s v="N/A"/>
    <n v="0"/>
    <n v="45.99"/>
    <d v="2022-05-25T00:00:00"/>
    <s v="Si"/>
  </r>
  <r>
    <x v="0"/>
    <s v="CONSTRUIDA"/>
    <s v="Propiedad"/>
    <x v="7"/>
    <m/>
    <s v="N/A"/>
    <s v="Cuartos técnicos"/>
    <s v="Vicerrectoría Administrativa Financiera "/>
    <s v="POZO EYECTOR"/>
    <s v="N/A"/>
    <n v="0"/>
    <n v="8"/>
    <d v="2022-05-25T00:00:00"/>
    <s v="Si"/>
  </r>
  <r>
    <x v="0"/>
    <s v="CONSTRUIDA"/>
    <s v="Propiedad"/>
    <x v="7"/>
    <m/>
    <s v="N/A"/>
    <s v="Cuartos técnicos"/>
    <s v="Vicerrectoría Administrativa Financiera "/>
    <s v="TANQUE DE REUSO FIBRA DE VIDRIO"/>
    <s v="N/A"/>
    <n v="0"/>
    <n v="12"/>
    <d v="2022-05-25T00:00:00"/>
    <s v="Si"/>
  </r>
  <r>
    <x v="0"/>
    <s v="CONSTRUIDA"/>
    <s v="Propiedad"/>
    <x v="7"/>
    <m/>
    <s v="N/A"/>
    <s v="Cuartos técnicos"/>
    <s v="Vicerrectoría Administrativa Financiera "/>
    <s v="CASETAS DE EXTRACCIÓN"/>
    <s v="N/A"/>
    <n v="0"/>
    <n v="19.824999999999999"/>
    <d v="2022-05-25T00:00:00"/>
    <s v="Si"/>
  </r>
  <r>
    <x v="0"/>
    <s v="CONSTRUIDA"/>
    <s v="Propiedad"/>
    <x v="7"/>
    <m/>
    <s v="N/A"/>
    <s v="Cuartos técnicos"/>
    <s v="Vicerrectoría Administrativa Financiera "/>
    <s v="LABORATORIO AGUAS"/>
    <s v="N/A"/>
    <n v="0"/>
    <n v="65.55"/>
    <d v="2022-05-25T00:00:00"/>
    <s v="Si"/>
  </r>
  <r>
    <x v="0"/>
    <s v="CONSTRUIDA"/>
    <s v="Propiedad"/>
    <x v="7"/>
    <m/>
    <s v="N/A"/>
    <s v="Cuartos de servicio"/>
    <s v="Vicerrectoría Administrativa Financiera "/>
    <s v="CUARTO DE BASURAS, SUBESTACIÓN"/>
    <s v="N/A"/>
    <n v="0"/>
    <n v="265.38"/>
    <d v="2022-05-25T00:00:00"/>
    <s v="Si"/>
  </r>
  <r>
    <x v="0"/>
    <s v="CONSTRUIDA"/>
    <s v="Propiedad"/>
    <x v="7"/>
    <m/>
    <s v="N/A"/>
    <s v="Oficinas"/>
    <s v="Vicerrectoría Administrativa Financiera "/>
    <s v="PORTERIA "/>
    <s v="N/A"/>
    <n v="0"/>
    <n v="35.270000000000003"/>
    <d v="2022-05-25T00:00:00"/>
    <s v="Si"/>
  </r>
  <r>
    <x v="0"/>
    <s v="CONSTRUIDA"/>
    <s v="Propiedad"/>
    <x v="7"/>
    <m/>
    <s v="N/A"/>
    <s v="Parqueaderos"/>
    <s v="Vicerrectoría Administrativa Financiera "/>
    <s v="PARQUEADEROS EXTERIORES"/>
    <s v="N/A"/>
    <n v="0"/>
    <n v="8700.64"/>
    <d v="2022-05-25T00:00:00"/>
    <s v="Si"/>
  </r>
  <r>
    <x v="0"/>
    <s v="CONSTRUIDA"/>
    <s v="Propiedad"/>
    <x v="7"/>
    <m/>
    <s v="N/A"/>
    <s v="Malla de circulación"/>
    <s v="Vicerrectoría Administrativa Financiera "/>
    <s v="AREAS VIAS  EXTERNAS"/>
    <s v="N/A"/>
    <n v="0"/>
    <n v="9679"/>
    <d v="2022-05-25T00:00:00"/>
    <s v="Si"/>
  </r>
  <r>
    <x v="0"/>
    <s v="CONSTRUIDA"/>
    <s v="Propiedad"/>
    <x v="7"/>
    <m/>
    <s v="N/A"/>
    <s v="Malla de circulación"/>
    <s v="Vicerrectoría Administrativa Financiera "/>
    <s v="AREAS CIRCULACIONES EXTERNAS"/>
    <s v="N/A"/>
    <n v="0"/>
    <n v="4667"/>
    <d v="2022-05-25T00:00:00"/>
    <s v="Si"/>
  </r>
  <r>
    <x v="0"/>
    <s v="CONSTRUIDA"/>
    <s v="Propiedad"/>
    <x v="7"/>
    <m/>
    <s v="N/A"/>
    <s v="Espacios deportivos"/>
    <s v="Vicerrectoría Administrativa Financiera "/>
    <s v="CANCHA DE FUTBOL Y PISTA ATLETICA"/>
    <s v="N/A"/>
    <n v="28"/>
    <n v="15321.29"/>
    <d v="2022-05-25T00:00:00"/>
    <s v="Si"/>
  </r>
  <r>
    <x v="0"/>
    <s v="CONSTRUIDA"/>
    <s v="Propiedad"/>
    <x v="7"/>
    <m/>
    <s v="N/A"/>
    <s v="Espacios deportivos"/>
    <s v="Vicerrectoría Administrativa Financiera "/>
    <s v="CANCHAS MULTIFUNCIONALES"/>
    <s v="N/A"/>
    <n v="20"/>
    <n v="1216"/>
    <d v="2022-05-25T00:00:00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7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3" firstHeaderRow="1" firstDataRow="1" firstDataCol="1"/>
  <pivotFields count="13">
    <pivotField showAll="0"/>
    <pivotField showAll="0"/>
    <pivotField axis="axisRow" showAll="0">
      <items count="13">
        <item x="0"/>
        <item x="2"/>
        <item x="3"/>
        <item m="1" x="11"/>
        <item x="4"/>
        <item x="5"/>
        <item x="6"/>
        <item x="10"/>
        <item x="7"/>
        <item x="9"/>
        <item x="8"/>
        <item x="1"/>
        <item t="default"/>
      </items>
    </pivotField>
    <pivotField showAll="0"/>
    <pivotField showAll="0"/>
    <pivotField showAll="0">
      <items count="33">
        <item x="7"/>
        <item sd="0" x="19"/>
        <item sd="0" x="14"/>
        <item sd="0" x="18"/>
        <item sd="0" x="12"/>
        <item sd="0" x="3"/>
        <item sd="0" x="22"/>
        <item sd="0" m="1" x="31"/>
        <item sd="0" x="25"/>
        <item sd="0" x="8"/>
        <item sd="0" x="11"/>
        <item sd="0" x="4"/>
        <item sd="0" x="20"/>
        <item sd="0" x="16"/>
        <item sd="0" x="29"/>
        <item sd="0" x="21"/>
        <item sd="0" x="17"/>
        <item sd="0" x="6"/>
        <item sd="0" x="5"/>
        <item sd="0" x="0"/>
        <item sd="0" x="13"/>
        <item sd="0" x="28"/>
        <item sd="0" x="9"/>
        <item sd="0" x="15"/>
        <item sd="0" x="24"/>
        <item sd="0" x="1"/>
        <item sd="0" x="23"/>
        <item sd="0" x="26"/>
        <item sd="0" x="2"/>
        <item sd="0" x="10"/>
        <item sd="0" x="30"/>
        <item sd="0" x="27"/>
        <item t="default"/>
      </items>
    </pivotField>
    <pivotField showAll="0">
      <items count="52">
        <item h="1" x="9"/>
        <item h="1" sd="0" x="18"/>
        <item h="1" sd="0" x="41"/>
        <item h="1" sd="0" x="12"/>
        <item h="1" sd="0" x="13"/>
        <item h="1" sd="0" x="2"/>
        <item h="1" sd="0" x="14"/>
        <item h="1" sd="0" x="40"/>
        <item h="1" sd="0" x="6"/>
        <item h="1" sd="0" x="23"/>
        <item h="1" sd="0" x="22"/>
        <item h="1" sd="0" x="19"/>
        <item h="1" sd="0" x="36"/>
        <item h="1" sd="0" x="28"/>
        <item h="1" sd="0" m="1" x="49"/>
        <item h="1" sd="0" m="1" x="47"/>
        <item h="1" sd="0" x="25"/>
        <item h="1" sd="0" x="5"/>
        <item h="1" sd="0" x="24"/>
        <item h="1" sd="0" x="45"/>
        <item h="1" sd="0" x="32"/>
        <item h="1" sd="0" x="10"/>
        <item h="1" sd="0" x="33"/>
        <item h="1" sd="0" x="43"/>
        <item h="1" sd="0" x="16"/>
        <item h="1" sd="0" x="27"/>
        <item h="1" sd="0" x="8"/>
        <item h="1" sd="0" x="38"/>
        <item h="1" sd="0" x="11"/>
        <item h="1" sd="0" x="42"/>
        <item h="1" sd="0" x="21"/>
        <item h="1" sd="0" x="29"/>
        <item sd="0" x="20"/>
        <item h="1" sd="0" x="35"/>
        <item h="1" sd="0" x="46"/>
        <item h="1" sd="0" m="1" x="48"/>
        <item h="1" sd="0" m="1" x="50"/>
        <item h="1" sd="0" x="30"/>
        <item h="1" sd="0" x="37"/>
        <item h="1" x="34"/>
        <item h="1" sd="0" x="26"/>
        <item h="1" sd="0" x="1"/>
        <item h="1" sd="0" x="0"/>
        <item h="1" sd="0" x="7"/>
        <item h="1" sd="0" x="44"/>
        <item h="1" x="17"/>
        <item h="1" sd="0" x="39"/>
        <item h="1" x="4"/>
        <item h="1" sd="0" x="15"/>
        <item h="1" sd="0" x="3"/>
        <item h="1" x="3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ÁREA (Metros2)" fld="10" baseField="0" baseItem="0"/>
  </dataFields>
  <formats count="34">
    <format dxfId="156">
      <pivotArea outline="0" collapsedLevelsAreSubtotals="1" fieldPosition="0"/>
    </format>
    <format dxfId="155">
      <pivotArea type="topRight" dataOnly="0" labelOnly="1" outline="0" fieldPosition="0"/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type="topRight" dataOnly="0" labelOnly="1" outline="0" fieldPosition="0"/>
    </format>
    <format dxfId="151">
      <pivotArea outline="0" collapsedLevelsAreSubtotals="1" fieldPosition="0"/>
    </format>
    <format dxfId="150">
      <pivotArea field="2" type="button" dataOnly="0" labelOnly="1" outline="0" axis="axisRow" fieldPosition="0"/>
    </format>
    <format dxfId="149">
      <pivotArea type="topRight" dataOnly="0" labelOnly="1" outline="0" fieldPosition="0"/>
    </format>
    <format dxfId="148">
      <pivotArea field="6" type="button" dataOnly="0" labelOnly="1" outline="0"/>
    </format>
    <format dxfId="147">
      <pivotArea field="6" type="button" dataOnly="0" labelOnly="1" outline="0"/>
    </format>
    <format dxfId="146">
      <pivotArea dataOnly="0" labelOnly="1" fieldPosition="0">
        <references count="1">
          <reference field="2" count="0"/>
        </references>
      </pivotArea>
    </format>
    <format dxfId="145">
      <pivotArea dataOnly="0" labelOnly="1" grandCol="1" outline="0" fieldPosition="0"/>
    </format>
    <format dxfId="144">
      <pivotArea field="6" type="button" dataOnly="0" labelOnly="1" outline="0"/>
    </format>
    <format dxfId="143">
      <pivotArea dataOnly="0" labelOnly="1" fieldPosition="0">
        <references count="1">
          <reference field="2" count="0"/>
        </references>
      </pivotArea>
    </format>
    <format dxfId="142">
      <pivotArea dataOnly="0" labelOnly="1" grandCol="1" outline="0" fieldPosition="0"/>
    </format>
    <format dxfId="141">
      <pivotArea field="5" type="button" dataOnly="0" labelOnly="1" outline="0"/>
    </format>
    <format dxfId="140">
      <pivotArea type="origin" dataOnly="0" labelOnly="1" outline="0" fieldPosition="0"/>
    </format>
    <format dxfId="139">
      <pivotArea field="5" type="button" dataOnly="0" labelOnly="1" outline="0"/>
    </format>
    <format dxfId="138">
      <pivotArea field="5" type="button" dataOnly="0" labelOnly="1" outline="0"/>
    </format>
    <format dxfId="137">
      <pivotArea dataOnly="0" labelOnly="1" fieldPosition="0">
        <references count="1">
          <reference field="2" count="0"/>
        </references>
      </pivotArea>
    </format>
    <format dxfId="136">
      <pivotArea dataOnly="0" labelOnly="1" grandCol="1" outline="0" fieldPosition="0"/>
    </format>
    <format dxfId="135">
      <pivotArea field="2" type="button" dataOnly="0" labelOnly="1" outline="0" axis="axisRow" fieldPosition="0"/>
    </format>
    <format dxfId="134">
      <pivotArea dataOnly="0" labelOnly="1" fieldPosition="0">
        <references count="1">
          <reference field="2" count="1">
            <x v="0"/>
          </reference>
        </references>
      </pivotArea>
    </format>
    <format dxfId="133">
      <pivotArea type="origin" dataOnly="0" labelOnly="1" outline="0" fieldPosition="0"/>
    </format>
    <format dxfId="132">
      <pivotArea type="origin" dataOnly="0" labelOnly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2" type="button" dataOnly="0" labelOnly="1" outline="0" axis="axisRow" fieldPosition="0"/>
    </format>
    <format dxfId="127">
      <pivotArea type="topRight" dataOnly="0" labelOnly="1" outline="0" fieldPosition="0"/>
    </format>
    <format dxfId="126">
      <pivotArea field="5" type="button" dataOnly="0" labelOnly="1" outline="0"/>
    </format>
    <format dxfId="125">
      <pivotArea dataOnly="0" labelOnly="1" grandRow="1" outline="0" fieldPosition="0"/>
    </format>
    <format dxfId="124">
      <pivotArea dataOnly="0" labelOnly="1" fieldPosition="0">
        <references count="1">
          <reference field="2" count="0"/>
        </references>
      </pivotArea>
    </format>
    <format dxfId="1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12" firstHeaderRow="1" firstDataRow="1" firstDataCol="1"/>
  <pivotFields count="14">
    <pivotField axis="axisRow" showAll="0">
      <items count="9">
        <item x="0"/>
        <item x="1"/>
        <item x="3"/>
        <item x="7"/>
        <item x="2"/>
        <item x="4"/>
        <item x="5"/>
        <item x="6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4000000}" name="Tabla 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66:B7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3"/>
        <item x="0"/>
        <item m="1" x="6"/>
        <item x="2"/>
        <item x="5"/>
        <item t="default"/>
      </items>
    </pivotField>
    <pivotField numFmtId="1" showAll="0"/>
    <pivotField dataField="1"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Suma de ÁREA (Metros2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Tabla 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15:B27" firstHeaderRow="1" firstDataRow="1" firstDataCol="1"/>
  <pivotFields count="14">
    <pivotField showAll="0"/>
    <pivotField showAll="0"/>
    <pivotField showAll="0"/>
    <pivotField axis="axisRow" showAll="0">
      <items count="14">
        <item x="0"/>
        <item x="2"/>
        <item x="3"/>
        <item m="1" x="11"/>
        <item x="4"/>
        <item x="5"/>
        <item x="6"/>
        <item m="1" x="12"/>
        <item x="7"/>
        <item x="9"/>
        <item x="8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ÁREA (Metros2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3000000}" name="Tabla 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chartFormat="29">
  <location ref="A30:B6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35">
        <item x="7"/>
        <item x="20"/>
        <item x="14"/>
        <item x="24"/>
        <item x="12"/>
        <item x="3"/>
        <item x="23"/>
        <item m="1" x="32"/>
        <item x="8"/>
        <item m="1" x="31"/>
        <item x="11"/>
        <item x="4"/>
        <item x="21"/>
        <item x="18"/>
        <item x="29"/>
        <item x="22"/>
        <item x="19"/>
        <item x="6"/>
        <item m="1" x="33"/>
        <item x="5"/>
        <item x="0"/>
        <item x="13"/>
        <item x="28"/>
        <item x="9"/>
        <item x="17"/>
        <item x="25"/>
        <item x="1"/>
        <item x="16"/>
        <item x="27"/>
        <item x="2"/>
        <item x="10"/>
        <item x="30"/>
        <item x="26"/>
        <item x="15"/>
        <item t="default"/>
      </items>
    </pivotField>
    <pivotField showAll="0"/>
    <pivotField showAll="0"/>
    <pivotField showAll="0"/>
    <pivotField numFmtId="1" showAll="0"/>
    <pivotField dataField="1" showAll="0"/>
    <pivotField showAll="0"/>
    <pivotField showAll="0"/>
  </pivotFields>
  <rowFields count="1">
    <field x="6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a de ÁREA (Metros2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Tabla 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9:B12" firstHeaderRow="1" firstDataRow="1" firstDataCol="1"/>
  <pivotFields count="14">
    <pivotField showAll="0"/>
    <pivotField axis="axisRow" showAll="0">
      <items count="4">
        <item x="0"/>
        <item m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showAll="0"/>
    <pivotField showAll="0"/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a de ÁREA (Metros2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3:B7" firstHeaderRow="1" firstDataRow="1" firstDataCol="1"/>
  <pivotFields count="14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ÁREA (Metros2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5000000}" name="Tabla 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76:B7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showAll="0"/>
    <pivotField axis="axisRow" showAll="0">
      <items count="4">
        <item h="1" x="2"/>
        <item x="0"/>
        <item h="1" x="1"/>
        <item t="default"/>
      </items>
    </pivotField>
  </pivotFields>
  <rowFields count="1">
    <field x="13"/>
  </rowFields>
  <rowItems count="2">
    <i>
      <x v="1"/>
    </i>
    <i t="grand">
      <x/>
    </i>
  </rowItems>
  <colItems count="1">
    <i/>
  </colItems>
  <dataFields count="1">
    <dataField name="Suma de ÁREA (Metros2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25" displayName="Tabla25" ref="B21:O807" totalsRowCount="1" headerRowDxfId="122" dataDxfId="120" headerRowBorderDxfId="121">
  <autoFilter ref="B21:O806" xr:uid="{00000000-0009-0000-0100-000004000000}">
    <filterColumn colId="13">
      <filters>
        <filter val="Si"/>
      </filters>
    </filterColumn>
  </autoFilter>
  <tableColumns count="14">
    <tableColumn id="1" xr3:uid="{00000000-0010-0000-0000-000001000000}" name="COMPONENTE" dataDxfId="55" totalsRowDxfId="41"/>
    <tableColumn id="7" xr3:uid="{00000000-0010-0000-0000-000007000000}" name="TIPO DE ÁREA" dataDxfId="54" totalsRowDxfId="40"/>
    <tableColumn id="13" xr3:uid="{00000000-0010-0000-0000-00000D000000}" name="TENENCIA" dataDxfId="53" totalsRowDxfId="39"/>
    <tableColumn id="16" xr3:uid="{00000000-0010-0000-0000-000010000000}" name="UBICACIÓN" dataDxfId="52" totalsRowDxfId="38"/>
    <tableColumn id="17" xr3:uid="{00000000-0010-0000-0000-000011000000}" name="Nomenclatura" dataDxfId="51" totalsRowDxfId="37"/>
    <tableColumn id="18" xr3:uid="{00000000-0010-0000-0000-000012000000}" name="PISO No." dataDxfId="50" totalsRowDxfId="36"/>
    <tableColumn id="14" xr3:uid="{00000000-0010-0000-0000-00000E000000}" name="TIPO DE ESPACIO" dataDxfId="49" totalsRowDxfId="35"/>
    <tableColumn id="5" xr3:uid="{00000000-0010-0000-0000-000005000000}" name="ASIGNACIÓN" dataDxfId="48" totalsRowDxfId="34"/>
    <tableColumn id="6" xr3:uid="{00000000-0010-0000-0000-000006000000}" name="DESCRIPCION" dataDxfId="47" totalsRowDxfId="33"/>
    <tableColumn id="19" xr3:uid="{00000000-0010-0000-0000-000013000000}" name="Función Específica" dataDxfId="46" totalsRowDxfId="32"/>
    <tableColumn id="8" xr3:uid="{00000000-0010-0000-0000-000008000000}" name="CAPACIDAD FÍSICA" dataDxfId="45" totalsRowDxfId="31" dataCellStyle="Millares"/>
    <tableColumn id="9" xr3:uid="{00000000-0010-0000-0000-000009000000}" name="ÁREA (Metros2)" totalsRowFunction="sum" dataDxfId="44" totalsRowDxfId="30" dataCellStyle="Millares"/>
    <tableColumn id="11" xr3:uid="{00000000-0010-0000-0000-00000B000000}" name="Fecha Actualización" dataDxfId="43" totalsRowDxfId="29" dataCellStyle="Millares"/>
    <tableColumn id="12" xr3:uid="{00000000-0010-0000-0000-00000C000000}" name="Acceso Autónomo" dataDxfId="42" totalsRowDxfId="2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22" displayName="Tabla22" ref="B21:O550" totalsRowCount="1" headerRowDxfId="119" totalsRowDxfId="117" headerRowBorderDxfId="118">
  <autoFilter ref="B21:O549" xr:uid="{00000000-0009-0000-0100-000001000000}"/>
  <tableColumns count="14">
    <tableColumn id="1" xr3:uid="{00000000-0010-0000-0100-000001000000}" name="COMPONENTE" dataDxfId="27" totalsRowDxfId="16"/>
    <tableColumn id="7" xr3:uid="{00000000-0010-0000-0100-000007000000}" name="TIPO DE ÁREA" dataDxfId="26" totalsRowDxfId="15"/>
    <tableColumn id="13" xr3:uid="{00000000-0010-0000-0100-00000D000000}" name="TENENCIA" dataDxfId="25" totalsRowDxfId="14"/>
    <tableColumn id="16" xr3:uid="{00000000-0010-0000-0100-000010000000}" name="UBICACIÓN" dataDxfId="24" totalsRowDxfId="13"/>
    <tableColumn id="17" xr3:uid="{00000000-0010-0000-0100-000011000000}" name="Nomenclatura" dataDxfId="23" totalsRowDxfId="12"/>
    <tableColumn id="18" xr3:uid="{00000000-0010-0000-0100-000012000000}" name="PISO No." dataDxfId="2" totalsRowDxfId="11"/>
    <tableColumn id="14" xr3:uid="{00000000-0010-0000-0100-00000E000000}" name="TIPO DE ESPACIO" dataDxfId="0" totalsRowDxfId="10"/>
    <tableColumn id="5" xr3:uid="{00000000-0010-0000-0100-000005000000}" name="ASIGNACIÓN" dataDxfId="1" totalsRowDxfId="9"/>
    <tableColumn id="6" xr3:uid="{00000000-0010-0000-0100-000006000000}" name="DESCRIPCION" dataDxfId="22" totalsRowDxfId="8"/>
    <tableColumn id="19" xr3:uid="{00000000-0010-0000-0100-000013000000}" name="Función Específica" dataDxfId="21" totalsRowDxfId="7"/>
    <tableColumn id="8" xr3:uid="{00000000-0010-0000-0100-000008000000}" name="CAPACIDAD FÍSICA" totalsRowFunction="sum" dataDxfId="20" totalsRowDxfId="6" dataCellStyle="Millares"/>
    <tableColumn id="9" xr3:uid="{00000000-0010-0000-0100-000009000000}" name="ÁREA (Metros2)" totalsRowFunction="sum" dataDxfId="19" totalsRowDxfId="5" dataCellStyle="Millares"/>
    <tableColumn id="11" xr3:uid="{00000000-0010-0000-0100-00000B000000}" name="Fecha Actualización" dataDxfId="18" totalsRowDxfId="4" dataCellStyle="Millares"/>
    <tableColumn id="12" xr3:uid="{00000000-0010-0000-0100-00000C000000}" name="Acceso Autónomo" dataDxfId="17" totalsRowDxfId="3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26" displayName="Tabla26" ref="B21:O42" totalsRowShown="0" headerRowDxfId="116" dataDxfId="114" headerRowBorderDxfId="115">
  <autoFilter ref="B21:O42" xr:uid="{00000000-0009-0000-0100-000005000000}"/>
  <tableColumns count="14">
    <tableColumn id="1" xr3:uid="{00000000-0010-0000-0200-000001000000}" name="COMPONENTE" dataDxfId="113" totalsRowDxfId="112"/>
    <tableColumn id="7" xr3:uid="{00000000-0010-0000-0200-000007000000}" name="TIPO DE ÁREA" dataDxfId="111" totalsRowDxfId="110"/>
    <tableColumn id="13" xr3:uid="{00000000-0010-0000-0200-00000D000000}" name="TENENCIA" dataDxfId="109" totalsRowDxfId="108"/>
    <tableColumn id="16" xr3:uid="{00000000-0010-0000-0200-000010000000}" name="UBICACIÓN" dataDxfId="107" totalsRowDxfId="106"/>
    <tableColumn id="17" xr3:uid="{00000000-0010-0000-0200-000011000000}" name="Nomenclatura" dataDxfId="105" totalsRowDxfId="104"/>
    <tableColumn id="18" xr3:uid="{00000000-0010-0000-0200-000012000000}" name="PISO No." dataDxfId="103" totalsRowDxfId="102"/>
    <tableColumn id="14" xr3:uid="{00000000-0010-0000-0200-00000E000000}" name="TIPO DE ESPACIO" dataDxfId="101" totalsRowDxfId="100"/>
    <tableColumn id="5" xr3:uid="{00000000-0010-0000-0200-000005000000}" name="ASIGNACIÓN" dataDxfId="99" totalsRowDxfId="98"/>
    <tableColumn id="6" xr3:uid="{00000000-0010-0000-0200-000006000000}" name="DESCRIPCION" dataDxfId="97" totalsRowDxfId="96"/>
    <tableColumn id="19" xr3:uid="{00000000-0010-0000-0200-000013000000}" name="Función Específica" dataDxfId="95" totalsRowDxfId="94"/>
    <tableColumn id="8" xr3:uid="{00000000-0010-0000-0200-000008000000}" name="CAPACIDAD FÍSICA" dataDxfId="93" totalsRowDxfId="92" dataCellStyle="Millares"/>
    <tableColumn id="9" xr3:uid="{00000000-0010-0000-0200-000009000000}" name="ÁREA (Metros2)" dataDxfId="91" totalsRowDxfId="90" dataCellStyle="Millares"/>
    <tableColumn id="11" xr3:uid="{00000000-0010-0000-0200-00000B000000}" name="Fecha Actualización" dataDxfId="89" totalsRowDxfId="88" dataCellStyle="Millares"/>
    <tableColumn id="12" xr3:uid="{00000000-0010-0000-0200-00000C000000}" name="Acceso Autónomo" dataDxfId="87" totalsRowDxfId="8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24" displayName="Tabla24" ref="B21:O260" totalsRowShown="0" headerRowDxfId="85" headerRowBorderDxfId="84">
  <autoFilter ref="B21:O260" xr:uid="{00000000-0009-0000-0100-000003000000}"/>
  <tableColumns count="14">
    <tableColumn id="1" xr3:uid="{00000000-0010-0000-0300-000001000000}" name="COMPONENTE" dataDxfId="83" totalsRowDxfId="82"/>
    <tableColumn id="7" xr3:uid="{00000000-0010-0000-0300-000007000000}" name="TIPO DE ÁREA" dataDxfId="81" totalsRowDxfId="80"/>
    <tableColumn id="13" xr3:uid="{00000000-0010-0000-0300-00000D000000}" name="TENENCIA" dataDxfId="79" totalsRowDxfId="78"/>
    <tableColumn id="16" xr3:uid="{00000000-0010-0000-0300-000010000000}" name="UBICACIÓN" dataDxfId="77" totalsRowDxfId="76"/>
    <tableColumn id="17" xr3:uid="{00000000-0010-0000-0300-000011000000}" name="Nomenclatura" dataDxfId="75" totalsRowDxfId="74"/>
    <tableColumn id="18" xr3:uid="{00000000-0010-0000-0300-000012000000}" name="PISO No." dataDxfId="73" totalsRowDxfId="72"/>
    <tableColumn id="14" xr3:uid="{00000000-0010-0000-0300-00000E000000}" name="TIPO DE ESPACIO" dataDxfId="71" totalsRowDxfId="70"/>
    <tableColumn id="5" xr3:uid="{00000000-0010-0000-0300-000005000000}" name="ASIGNACIÓN" dataDxfId="69" totalsRowDxfId="68"/>
    <tableColumn id="6" xr3:uid="{00000000-0010-0000-0300-000006000000}" name="DESCRIPCION" dataDxfId="67" totalsRowDxfId="66"/>
    <tableColumn id="19" xr3:uid="{00000000-0010-0000-0300-000013000000}" name="Función Específica" dataDxfId="65" totalsRowDxfId="64"/>
    <tableColumn id="8" xr3:uid="{00000000-0010-0000-0300-000008000000}" name="CAPACIDAD FÍSICA" dataDxfId="63" totalsRowDxfId="62" dataCellStyle="Millares"/>
    <tableColumn id="9" xr3:uid="{00000000-0010-0000-0300-000009000000}" name="ÁREA (Metros2)" dataDxfId="61" totalsRowDxfId="60" dataCellStyle="Millares"/>
    <tableColumn id="11" xr3:uid="{00000000-0010-0000-0300-00000B000000}" name="Fecha Actualización" dataDxfId="59" totalsRowDxfId="58" dataCellStyle="Millares"/>
    <tableColumn id="12" xr3:uid="{00000000-0010-0000-0300-00000C000000}" name="Acceso Autónomo" dataDxfId="57" totalsRowDxfId="5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16" sqref="D16"/>
    </sheetView>
  </sheetViews>
  <sheetFormatPr baseColWidth="10" defaultRowHeight="15" x14ac:dyDescent="0.25"/>
  <cols>
    <col min="1" max="1" width="19.7109375" bestFit="1" customWidth="1"/>
    <col min="2" max="2" width="15.85546875" bestFit="1" customWidth="1"/>
    <col min="3" max="20" width="26.5703125" bestFit="1" customWidth="1"/>
    <col min="22" max="22" width="10.7109375" bestFit="1" customWidth="1"/>
  </cols>
  <sheetData>
    <row r="1" spans="1:4" ht="28.5" x14ac:dyDescent="0.25">
      <c r="A1" s="241" t="s">
        <v>476</v>
      </c>
      <c r="B1" s="242" t="s">
        <v>478</v>
      </c>
    </row>
    <row r="2" spans="1:4" ht="28.5" x14ac:dyDescent="0.25">
      <c r="A2" s="242" t="s">
        <v>17</v>
      </c>
      <c r="B2" s="242">
        <v>4059.72</v>
      </c>
    </row>
    <row r="3" spans="1:4" x14ac:dyDescent="0.25">
      <c r="A3" s="242" t="s">
        <v>15</v>
      </c>
      <c r="B3" s="242">
        <v>1350.1330000000003</v>
      </c>
    </row>
    <row r="4" spans="1:4" x14ac:dyDescent="0.25">
      <c r="A4" s="242" t="s">
        <v>16</v>
      </c>
      <c r="B4" s="242">
        <v>884.95000000000027</v>
      </c>
      <c r="D4" s="10"/>
    </row>
    <row r="5" spans="1:4" x14ac:dyDescent="0.25">
      <c r="A5" s="242" t="s">
        <v>14</v>
      </c>
      <c r="B5" s="242">
        <v>3254.3789999999995</v>
      </c>
    </row>
    <row r="6" spans="1:4" x14ac:dyDescent="0.25">
      <c r="A6" s="242" t="s">
        <v>297</v>
      </c>
      <c r="B6" s="242">
        <v>3608.6690000000008</v>
      </c>
    </row>
    <row r="7" spans="1:4" ht="28.5" x14ac:dyDescent="0.25">
      <c r="A7" s="242" t="s">
        <v>18</v>
      </c>
      <c r="B7" s="242">
        <v>9453.5799999999981</v>
      </c>
    </row>
    <row r="8" spans="1:4" x14ac:dyDescent="0.25">
      <c r="A8" s="242" t="s">
        <v>298</v>
      </c>
      <c r="B8" s="242">
        <v>56431.558999999994</v>
      </c>
    </row>
    <row r="9" spans="1:4" x14ac:dyDescent="0.25">
      <c r="A9" s="242" t="s">
        <v>13</v>
      </c>
      <c r="B9" s="242">
        <v>9626.619999999999</v>
      </c>
    </row>
    <row r="10" spans="1:4" x14ac:dyDescent="0.25">
      <c r="A10" s="242" t="s">
        <v>20</v>
      </c>
      <c r="B10" s="242">
        <v>955.03000000000009</v>
      </c>
    </row>
    <row r="11" spans="1:4" x14ac:dyDescent="0.25">
      <c r="A11" s="242" t="s">
        <v>299</v>
      </c>
      <c r="B11" s="242">
        <v>3012.2200000000003</v>
      </c>
    </row>
    <row r="12" spans="1:4" x14ac:dyDescent="0.25">
      <c r="A12" s="242" t="s">
        <v>767</v>
      </c>
      <c r="B12" s="242">
        <v>29.25</v>
      </c>
    </row>
    <row r="13" spans="1:4" x14ac:dyDescent="0.25">
      <c r="A13" s="243" t="s">
        <v>477</v>
      </c>
      <c r="B13" s="242">
        <v>92666.109999999986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12"/>
  <sheetViews>
    <sheetView workbookViewId="0">
      <selection activeCell="C28" sqref="C28"/>
    </sheetView>
  </sheetViews>
  <sheetFormatPr baseColWidth="10" defaultRowHeight="15" x14ac:dyDescent="0.25"/>
  <cols>
    <col min="1" max="1" width="30.7109375" bestFit="1" customWidth="1"/>
  </cols>
  <sheetData>
    <row r="3" spans="1:1" x14ac:dyDescent="0.25">
      <c r="A3" s="5" t="s">
        <v>476</v>
      </c>
    </row>
    <row r="4" spans="1:1" x14ac:dyDescent="0.25">
      <c r="A4" s="6" t="s">
        <v>168</v>
      </c>
    </row>
    <row r="5" spans="1:1" x14ac:dyDescent="0.25">
      <c r="A5" s="6" t="s">
        <v>169</v>
      </c>
    </row>
    <row r="6" spans="1:1" x14ac:dyDescent="0.25">
      <c r="A6" s="6" t="s">
        <v>165</v>
      </c>
    </row>
    <row r="7" spans="1:1" x14ac:dyDescent="0.25">
      <c r="A7" s="6" t="s">
        <v>166</v>
      </c>
    </row>
    <row r="8" spans="1:1" x14ac:dyDescent="0.25">
      <c r="A8" s="6" t="s">
        <v>170</v>
      </c>
    </row>
    <row r="9" spans="1:1" x14ac:dyDescent="0.25">
      <c r="A9" s="6" t="s">
        <v>167</v>
      </c>
    </row>
    <row r="10" spans="1:1" x14ac:dyDescent="0.25">
      <c r="A10" s="6" t="s">
        <v>6</v>
      </c>
    </row>
    <row r="11" spans="1:1" x14ac:dyDescent="0.25">
      <c r="A11" s="6" t="s">
        <v>767</v>
      </c>
    </row>
    <row r="12" spans="1:1" x14ac:dyDescent="0.25">
      <c r="A12" s="6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pageSetUpPr fitToPage="1"/>
  </sheetPr>
  <dimension ref="A1:XEZ934"/>
  <sheetViews>
    <sheetView showGridLines="0" topLeftCell="A67" zoomScale="95" zoomScaleNormal="95" workbookViewId="0">
      <pane xSplit="1" topLeftCell="F1" activePane="topRight" state="frozen"/>
      <selection activeCell="A5" sqref="A5"/>
      <selection pane="topRight" activeCell="N75" sqref="N75"/>
    </sheetView>
  </sheetViews>
  <sheetFormatPr baseColWidth="10" defaultColWidth="0" defaultRowHeight="15" x14ac:dyDescent="0.25"/>
  <cols>
    <col min="1" max="1" width="3.42578125" style="23" customWidth="1"/>
    <col min="2" max="2" width="16.7109375" style="23" customWidth="1"/>
    <col min="3" max="3" width="13.28515625" style="23" customWidth="1"/>
    <col min="4" max="4" width="14.5703125" style="23" customWidth="1"/>
    <col min="5" max="5" width="15.85546875" style="12" bestFit="1" customWidth="1"/>
    <col min="6" max="6" width="24.140625" style="23" customWidth="1"/>
    <col min="7" max="7" width="10.140625" style="23" customWidth="1"/>
    <col min="8" max="8" width="29.140625" style="23" customWidth="1"/>
    <col min="9" max="9" width="24.85546875" style="23" customWidth="1"/>
    <col min="10" max="10" width="18.7109375" style="23" customWidth="1"/>
    <col min="11" max="11" width="18.140625" style="23" customWidth="1"/>
    <col min="12" max="12" width="8.85546875" style="23" customWidth="1"/>
    <col min="13" max="13" width="15.5703125" style="23" customWidth="1"/>
    <col min="14" max="14" width="28.7109375" style="23" bestFit="1" customWidth="1"/>
    <col min="15" max="15" width="26.140625" style="23" customWidth="1"/>
    <col min="16" max="16378" width="11.42578125" style="23" customWidth="1"/>
    <col min="16379" max="16379" width="2.28515625" style="23" customWidth="1"/>
    <col min="16380" max="16380" width="9.7109375" style="23" customWidth="1"/>
    <col min="16381" max="16384" width="2.5703125" style="23" customWidth="1"/>
  </cols>
  <sheetData>
    <row r="1" spans="1:15" s="29" customFormat="1" x14ac:dyDescent="0.25">
      <c r="A1" s="23"/>
      <c r="B1" s="264" t="s">
        <v>766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3"/>
      <c r="N1" s="23"/>
      <c r="O1" s="23"/>
    </row>
    <row r="2" spans="1:15" s="30" customFormat="1" ht="30.75" customHeight="1" x14ac:dyDescent="0.25">
      <c r="A2" s="23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3"/>
      <c r="N2" s="23"/>
      <c r="O2" s="23"/>
    </row>
    <row r="3" spans="1:15" s="30" customFormat="1" ht="15" customHeight="1" x14ac:dyDescent="0.25">
      <c r="A3" s="23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3"/>
      <c r="N3" s="23"/>
      <c r="O3" s="23"/>
    </row>
    <row r="4" spans="1:15" s="30" customFormat="1" x14ac:dyDescent="0.25">
      <c r="A4" s="23"/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3"/>
      <c r="N4" s="23"/>
      <c r="O4" s="23"/>
    </row>
    <row r="5" spans="1:15" s="30" customFormat="1" ht="27.75" customHeight="1" x14ac:dyDescent="0.25">
      <c r="A5" s="23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3"/>
      <c r="N5" s="23"/>
      <c r="O5" s="23"/>
    </row>
    <row r="6" spans="1:15" s="30" customFormat="1" ht="30.75" customHeight="1" x14ac:dyDescent="0.25">
      <c r="A6" s="2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3"/>
      <c r="N6" s="23"/>
      <c r="O6" s="23"/>
    </row>
    <row r="7" spans="1:15" s="30" customFormat="1" ht="30.75" customHeight="1" x14ac:dyDescent="0.25">
      <c r="A7" s="23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3"/>
      <c r="N7" s="23"/>
      <c r="O7" s="23"/>
    </row>
    <row r="8" spans="1:15" s="30" customFormat="1" ht="15" customHeight="1" x14ac:dyDescent="0.25">
      <c r="A8" s="23"/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3"/>
      <c r="N8" s="23"/>
      <c r="O8" s="23"/>
    </row>
    <row r="9" spans="1:15" s="30" customFormat="1" ht="30" customHeight="1" x14ac:dyDescent="0.25">
      <c r="A9" s="23"/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3"/>
      <c r="N9" s="23"/>
      <c r="O9" s="23"/>
    </row>
    <row r="10" spans="1:15" s="30" customFormat="1" ht="28.5" customHeight="1" x14ac:dyDescent="0.25">
      <c r="A10" s="23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3"/>
      <c r="N10" s="23"/>
      <c r="O10" s="23"/>
    </row>
    <row r="11" spans="1:15" s="30" customFormat="1" ht="27" customHeight="1" thickBot="1" x14ac:dyDescent="0.3">
      <c r="A11" s="23"/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3"/>
      <c r="N11" s="23"/>
      <c r="O11" s="23"/>
    </row>
    <row r="12" spans="1:15" s="30" customFormat="1" ht="15" customHeight="1" x14ac:dyDescent="0.25">
      <c r="A12" s="23"/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3"/>
      <c r="N12" s="265" t="s">
        <v>118</v>
      </c>
      <c r="O12" s="266"/>
    </row>
    <row r="13" spans="1:15" s="30" customFormat="1" ht="27.75" customHeight="1" x14ac:dyDescent="0.25">
      <c r="A13" s="23"/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3"/>
      <c r="N13" s="244" t="s">
        <v>111</v>
      </c>
      <c r="O13" s="245">
        <f>SUMIF(Tabla25[TIPO DE ÁREA],"CONSTRUIDA",Tabla25[ÁREA (Metros2)])</f>
        <v>84784.99000000002</v>
      </c>
    </row>
    <row r="14" spans="1:15" s="30" customFormat="1" ht="15" customHeight="1" x14ac:dyDescent="0.25">
      <c r="A14" s="23"/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3"/>
      <c r="N14" s="244" t="s">
        <v>112</v>
      </c>
      <c r="O14" s="246">
        <f>SUM(Tabla25[CAPACIDAD FÍSICA])</f>
        <v>11298</v>
      </c>
    </row>
    <row r="15" spans="1:15" s="30" customFormat="1" ht="26.25" customHeight="1" x14ac:dyDescent="0.25">
      <c r="A15" s="23"/>
      <c r="B15" s="264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3"/>
      <c r="N15" s="244" t="s">
        <v>119</v>
      </c>
      <c r="O15" s="246">
        <v>6165</v>
      </c>
    </row>
    <row r="16" spans="1:15" s="30" customFormat="1" ht="15" customHeight="1" x14ac:dyDescent="0.25">
      <c r="A16" s="23"/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3"/>
      <c r="N16" s="244" t="s">
        <v>120</v>
      </c>
      <c r="O16" s="247">
        <f>O15/O13</f>
        <v>7.2713342302688236E-2</v>
      </c>
    </row>
    <row r="17" spans="1:15" s="30" customFormat="1" ht="15" customHeight="1" x14ac:dyDescent="0.25">
      <c r="A17" s="23"/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3"/>
      <c r="N17" s="244" t="s">
        <v>121</v>
      </c>
      <c r="O17" s="245">
        <f>SUMIF(Tabla25[Acceso Autónomo],"Si",Tabla25[ÁREA (Metros2)])</f>
        <v>72265.286999999982</v>
      </c>
    </row>
    <row r="18" spans="1:15" s="30" customFormat="1" ht="15" customHeight="1" thickBot="1" x14ac:dyDescent="0.3">
      <c r="A18" s="23"/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3"/>
      <c r="N18" s="248" t="s">
        <v>122</v>
      </c>
      <c r="O18" s="249">
        <f>+O17/O13</f>
        <v>0.85233585567445325</v>
      </c>
    </row>
    <row r="19" spans="1:15" s="30" customFormat="1" ht="15" customHeight="1" x14ac:dyDescent="0.25">
      <c r="A19" s="23"/>
      <c r="B19" s="264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3"/>
      <c r="N19" s="14" t="s">
        <v>123</v>
      </c>
      <c r="O19" s="28"/>
    </row>
    <row r="20" spans="1:15" s="30" customFormat="1" ht="15" customHeight="1" x14ac:dyDescent="0.25">
      <c r="A20" s="23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3"/>
      <c r="N20" s="23"/>
      <c r="O20" s="23"/>
    </row>
    <row r="21" spans="1:15" s="30" customFormat="1" ht="28.5" customHeight="1" x14ac:dyDescent="0.25">
      <c r="A21" s="29"/>
      <c r="B21" s="15" t="s">
        <v>163</v>
      </c>
      <c r="C21" s="16" t="s">
        <v>0</v>
      </c>
      <c r="D21" s="16" t="s">
        <v>4</v>
      </c>
      <c r="E21" s="16" t="s">
        <v>1</v>
      </c>
      <c r="F21" s="16" t="s">
        <v>108</v>
      </c>
      <c r="G21" s="16" t="s">
        <v>302</v>
      </c>
      <c r="H21" s="16" t="s">
        <v>383</v>
      </c>
      <c r="I21" s="16" t="s">
        <v>2</v>
      </c>
      <c r="J21" s="16" t="s">
        <v>5</v>
      </c>
      <c r="K21" s="16" t="s">
        <v>384</v>
      </c>
      <c r="L21" s="16" t="s">
        <v>3</v>
      </c>
      <c r="M21" s="16" t="s">
        <v>161</v>
      </c>
      <c r="N21" s="16" t="s">
        <v>109</v>
      </c>
      <c r="O21" s="17" t="s">
        <v>113</v>
      </c>
    </row>
    <row r="22" spans="1:15" s="30" customFormat="1" ht="30.75" customHeight="1" x14ac:dyDescent="0.25">
      <c r="B22" s="30" t="s">
        <v>168</v>
      </c>
      <c r="C22" s="30" t="s">
        <v>6</v>
      </c>
      <c r="D22" s="30" t="s">
        <v>11</v>
      </c>
      <c r="E22" s="30" t="s">
        <v>17</v>
      </c>
      <c r="F22" s="11">
        <v>202</v>
      </c>
      <c r="G22" s="30">
        <v>1</v>
      </c>
      <c r="H22" s="281" t="s">
        <v>23</v>
      </c>
      <c r="I22" s="21" t="s">
        <v>64</v>
      </c>
      <c r="J22" s="21" t="s">
        <v>435</v>
      </c>
      <c r="K22" s="30" t="s">
        <v>107</v>
      </c>
      <c r="L22" s="32">
        <v>5</v>
      </c>
      <c r="M22" s="22">
        <v>42.93</v>
      </c>
      <c r="N22" s="31">
        <v>44691</v>
      </c>
      <c r="O22" s="30" t="s">
        <v>114</v>
      </c>
    </row>
    <row r="23" spans="1:15" s="30" customFormat="1" ht="29.25" customHeight="1" x14ac:dyDescent="0.25">
      <c r="B23" s="30" t="s">
        <v>168</v>
      </c>
      <c r="C23" s="30" t="s">
        <v>6</v>
      </c>
      <c r="D23" s="30" t="s">
        <v>11</v>
      </c>
      <c r="E23" s="30" t="s">
        <v>17</v>
      </c>
      <c r="F23" s="11" t="s">
        <v>127</v>
      </c>
      <c r="G23" s="30">
        <v>1</v>
      </c>
      <c r="H23" s="281" t="s">
        <v>23</v>
      </c>
      <c r="I23" s="21" t="s">
        <v>62</v>
      </c>
      <c r="J23" s="21" t="s">
        <v>436</v>
      </c>
      <c r="K23" s="30" t="s">
        <v>116</v>
      </c>
      <c r="L23" s="32">
        <v>2</v>
      </c>
      <c r="M23" s="22">
        <v>44.36</v>
      </c>
      <c r="N23" s="31">
        <v>44691</v>
      </c>
      <c r="O23" s="30" t="s">
        <v>114</v>
      </c>
    </row>
    <row r="24" spans="1:15" s="30" customFormat="1" ht="31.5" customHeight="1" x14ac:dyDescent="0.25">
      <c r="B24" s="30" t="s">
        <v>168</v>
      </c>
      <c r="C24" s="30" t="s">
        <v>6</v>
      </c>
      <c r="D24" s="30" t="s">
        <v>11</v>
      </c>
      <c r="E24" s="30" t="s">
        <v>17</v>
      </c>
      <c r="F24" s="11">
        <v>204</v>
      </c>
      <c r="G24" s="30">
        <v>1</v>
      </c>
      <c r="H24" s="281" t="s">
        <v>117</v>
      </c>
      <c r="I24" s="21" t="s">
        <v>62</v>
      </c>
      <c r="J24" s="21" t="s">
        <v>411</v>
      </c>
      <c r="K24" s="30" t="s">
        <v>107</v>
      </c>
      <c r="L24" s="32">
        <v>20</v>
      </c>
      <c r="M24" s="22">
        <v>40.799999999999997</v>
      </c>
      <c r="N24" s="31">
        <v>44691</v>
      </c>
      <c r="O24" s="30" t="s">
        <v>114</v>
      </c>
    </row>
    <row r="25" spans="1:15" s="30" customFormat="1" ht="15" customHeight="1" x14ac:dyDescent="0.25">
      <c r="B25" s="30" t="s">
        <v>168</v>
      </c>
      <c r="C25" s="30" t="s">
        <v>6</v>
      </c>
      <c r="D25" s="30" t="s">
        <v>11</v>
      </c>
      <c r="E25" s="30" t="s">
        <v>17</v>
      </c>
      <c r="F25" s="11" t="s">
        <v>127</v>
      </c>
      <c r="G25" s="30">
        <v>1</v>
      </c>
      <c r="H25" s="281" t="s">
        <v>398</v>
      </c>
      <c r="I25" s="21" t="s">
        <v>62</v>
      </c>
      <c r="J25" s="21" t="s">
        <v>128</v>
      </c>
      <c r="K25" s="30" t="s">
        <v>94</v>
      </c>
      <c r="L25" s="32">
        <v>1</v>
      </c>
      <c r="M25" s="22">
        <v>3.57</v>
      </c>
      <c r="N25" s="31">
        <v>44691</v>
      </c>
      <c r="O25" s="30" t="s">
        <v>114</v>
      </c>
    </row>
    <row r="26" spans="1:15" s="30" customFormat="1" ht="15" customHeight="1" x14ac:dyDescent="0.25">
      <c r="B26" s="30" t="s">
        <v>168</v>
      </c>
      <c r="C26" s="30" t="s">
        <v>6</v>
      </c>
      <c r="D26" s="30" t="s">
        <v>11</v>
      </c>
      <c r="E26" s="30" t="s">
        <v>17</v>
      </c>
      <c r="F26" s="11" t="s">
        <v>125</v>
      </c>
      <c r="G26" s="30">
        <v>1</v>
      </c>
      <c r="H26" s="281" t="s">
        <v>23</v>
      </c>
      <c r="I26" s="21" t="s">
        <v>34</v>
      </c>
      <c r="J26" s="21" t="s">
        <v>437</v>
      </c>
      <c r="K26" s="30" t="s">
        <v>107</v>
      </c>
      <c r="L26" s="32">
        <v>7</v>
      </c>
      <c r="M26" s="22">
        <v>32.880000000000003</v>
      </c>
      <c r="N26" s="31">
        <v>44691</v>
      </c>
      <c r="O26" s="30" t="s">
        <v>114</v>
      </c>
    </row>
    <row r="27" spans="1:15" s="30" customFormat="1" ht="15" customHeight="1" x14ac:dyDescent="0.25">
      <c r="B27" s="30" t="s">
        <v>168</v>
      </c>
      <c r="C27" s="30" t="s">
        <v>6</v>
      </c>
      <c r="D27" s="30" t="s">
        <v>11</v>
      </c>
      <c r="E27" s="30" t="s">
        <v>17</v>
      </c>
      <c r="F27" s="11">
        <v>206</v>
      </c>
      <c r="G27" s="30">
        <v>1</v>
      </c>
      <c r="H27" s="281" t="s">
        <v>23</v>
      </c>
      <c r="I27" s="21" t="s">
        <v>55</v>
      </c>
      <c r="J27" s="21" t="s">
        <v>438</v>
      </c>
      <c r="K27" s="30" t="s">
        <v>107</v>
      </c>
      <c r="L27" s="32">
        <v>3</v>
      </c>
      <c r="M27" s="22">
        <v>28.76</v>
      </c>
      <c r="N27" s="31">
        <v>45606</v>
      </c>
      <c r="O27" s="30" t="s">
        <v>114</v>
      </c>
    </row>
    <row r="28" spans="1:15" s="30" customFormat="1" ht="15" customHeight="1" x14ac:dyDescent="0.25">
      <c r="B28" s="30" t="s">
        <v>168</v>
      </c>
      <c r="C28" s="30" t="s">
        <v>6</v>
      </c>
      <c r="D28" s="30" t="s">
        <v>11</v>
      </c>
      <c r="E28" s="30" t="s">
        <v>17</v>
      </c>
      <c r="F28" s="11">
        <v>207</v>
      </c>
      <c r="G28" s="30">
        <v>1</v>
      </c>
      <c r="H28" s="281" t="s">
        <v>23</v>
      </c>
      <c r="I28" s="21" t="s">
        <v>43</v>
      </c>
      <c r="J28" s="21" t="s">
        <v>439</v>
      </c>
      <c r="K28" s="30" t="s">
        <v>107</v>
      </c>
      <c r="L28" s="32">
        <v>5</v>
      </c>
      <c r="M28" s="22">
        <v>28.03</v>
      </c>
      <c r="N28" s="31">
        <v>45606</v>
      </c>
      <c r="O28" s="30" t="s">
        <v>114</v>
      </c>
    </row>
    <row r="29" spans="1:15" s="30" customFormat="1" ht="15" customHeight="1" x14ac:dyDescent="0.25">
      <c r="B29" s="30" t="s">
        <v>168</v>
      </c>
      <c r="C29" s="30" t="s">
        <v>6</v>
      </c>
      <c r="D29" s="30" t="s">
        <v>11</v>
      </c>
      <c r="E29" s="30" t="s">
        <v>17</v>
      </c>
      <c r="F29" s="11">
        <v>208</v>
      </c>
      <c r="G29" s="30">
        <v>1</v>
      </c>
      <c r="H29" s="281" t="s">
        <v>23</v>
      </c>
      <c r="I29" s="21" t="s">
        <v>68</v>
      </c>
      <c r="J29" s="21" t="s">
        <v>440</v>
      </c>
      <c r="K29" s="30" t="s">
        <v>116</v>
      </c>
      <c r="L29" s="32">
        <v>2</v>
      </c>
      <c r="M29" s="22">
        <v>16.18</v>
      </c>
      <c r="N29" s="31">
        <v>44691</v>
      </c>
      <c r="O29" s="30" t="s">
        <v>114</v>
      </c>
    </row>
    <row r="30" spans="1:15" s="30" customFormat="1" ht="15" customHeight="1" x14ac:dyDescent="0.25">
      <c r="B30" s="30" t="s">
        <v>168</v>
      </c>
      <c r="C30" s="30" t="s">
        <v>6</v>
      </c>
      <c r="D30" s="30" t="s">
        <v>11</v>
      </c>
      <c r="E30" s="30" t="s">
        <v>17</v>
      </c>
      <c r="F30" s="11">
        <v>210</v>
      </c>
      <c r="G30" s="30">
        <v>1</v>
      </c>
      <c r="H30" s="281" t="s">
        <v>23</v>
      </c>
      <c r="I30" s="21" t="s">
        <v>66</v>
      </c>
      <c r="J30" s="21" t="s">
        <v>948</v>
      </c>
      <c r="K30" s="30" t="s">
        <v>107</v>
      </c>
      <c r="L30" s="32">
        <v>4</v>
      </c>
      <c r="M30" s="22">
        <v>15.81</v>
      </c>
      <c r="N30" s="31">
        <v>45606</v>
      </c>
      <c r="O30" s="30" t="s">
        <v>114</v>
      </c>
    </row>
    <row r="31" spans="1:15" s="30" customFormat="1" ht="15" customHeight="1" x14ac:dyDescent="0.25">
      <c r="B31" s="30" t="s">
        <v>168</v>
      </c>
      <c r="C31" s="30" t="s">
        <v>6</v>
      </c>
      <c r="D31" s="30" t="s">
        <v>11</v>
      </c>
      <c r="E31" s="30" t="s">
        <v>17</v>
      </c>
      <c r="F31" s="11">
        <v>209</v>
      </c>
      <c r="G31" s="30">
        <v>1</v>
      </c>
      <c r="H31" s="281" t="s">
        <v>23</v>
      </c>
      <c r="I31" s="21" t="s">
        <v>68</v>
      </c>
      <c r="J31" s="21"/>
      <c r="K31" s="30" t="s">
        <v>93</v>
      </c>
      <c r="L31" s="32">
        <v>0</v>
      </c>
      <c r="M31" s="22">
        <v>13.02</v>
      </c>
      <c r="N31" s="31">
        <v>45606</v>
      </c>
      <c r="O31" s="30" t="s">
        <v>114</v>
      </c>
    </row>
    <row r="32" spans="1:15" s="30" customFormat="1" ht="25.5" customHeight="1" x14ac:dyDescent="0.25">
      <c r="B32" s="30" t="s">
        <v>169</v>
      </c>
      <c r="C32" s="30" t="s">
        <v>6</v>
      </c>
      <c r="D32" s="30" t="s">
        <v>11</v>
      </c>
      <c r="E32" s="30" t="s">
        <v>17</v>
      </c>
      <c r="F32" s="11">
        <v>214</v>
      </c>
      <c r="G32" s="30">
        <v>1</v>
      </c>
      <c r="H32" s="281" t="s">
        <v>385</v>
      </c>
      <c r="I32" s="21" t="s">
        <v>68</v>
      </c>
      <c r="J32" s="21" t="s">
        <v>96</v>
      </c>
      <c r="K32" s="30" t="s">
        <v>107</v>
      </c>
      <c r="L32" s="32">
        <v>30</v>
      </c>
      <c r="M32" s="22">
        <v>56.3</v>
      </c>
      <c r="N32" s="31">
        <v>44691</v>
      </c>
      <c r="O32" s="30" t="s">
        <v>114</v>
      </c>
    </row>
    <row r="33" spans="2:15 16380:16380" s="30" customFormat="1" ht="15" customHeight="1" x14ac:dyDescent="0.25">
      <c r="B33" s="30" t="s">
        <v>168</v>
      </c>
      <c r="C33" s="30" t="s">
        <v>6</v>
      </c>
      <c r="D33" s="30" t="s">
        <v>11</v>
      </c>
      <c r="E33" s="30" t="s">
        <v>17</v>
      </c>
      <c r="F33" s="11">
        <v>218</v>
      </c>
      <c r="G33" s="30">
        <v>1</v>
      </c>
      <c r="H33" s="281" t="s">
        <v>23</v>
      </c>
      <c r="I33" s="21" t="s">
        <v>44</v>
      </c>
      <c r="J33" s="21" t="s">
        <v>441</v>
      </c>
      <c r="K33" s="30" t="s">
        <v>116</v>
      </c>
      <c r="L33" s="32">
        <v>6</v>
      </c>
      <c r="M33" s="22">
        <v>49.95</v>
      </c>
      <c r="N33" s="31">
        <v>44691</v>
      </c>
      <c r="O33" s="30" t="s">
        <v>114</v>
      </c>
    </row>
    <row r="34" spans="2:15 16380:16380" s="30" customFormat="1" ht="15" customHeight="1" x14ac:dyDescent="0.25">
      <c r="B34" s="30" t="s">
        <v>168</v>
      </c>
      <c r="C34" s="30" t="s">
        <v>6</v>
      </c>
      <c r="D34" s="30" t="s">
        <v>11</v>
      </c>
      <c r="E34" s="30" t="s">
        <v>17</v>
      </c>
      <c r="F34" s="11">
        <v>219</v>
      </c>
      <c r="G34" s="30">
        <v>1</v>
      </c>
      <c r="H34" s="281" t="s">
        <v>390</v>
      </c>
      <c r="I34" s="21" t="s">
        <v>38</v>
      </c>
      <c r="J34" s="21" t="s">
        <v>470</v>
      </c>
      <c r="K34" s="30" t="s">
        <v>94</v>
      </c>
      <c r="L34" s="32">
        <v>0</v>
      </c>
      <c r="M34" s="22">
        <v>4.51</v>
      </c>
      <c r="N34" s="31">
        <v>44691</v>
      </c>
      <c r="O34" s="30" t="s">
        <v>114</v>
      </c>
    </row>
    <row r="35" spans="2:15 16380:16380" s="30" customFormat="1" ht="15" customHeight="1" x14ac:dyDescent="0.25">
      <c r="B35" s="30" t="s">
        <v>168</v>
      </c>
      <c r="C35" s="30" t="s">
        <v>6</v>
      </c>
      <c r="D35" s="30" t="s">
        <v>11</v>
      </c>
      <c r="E35" s="30" t="s">
        <v>17</v>
      </c>
      <c r="F35" s="11" t="s">
        <v>124</v>
      </c>
      <c r="G35" s="30">
        <v>1</v>
      </c>
      <c r="H35" s="281" t="s">
        <v>23</v>
      </c>
      <c r="I35" s="21" t="s">
        <v>66</v>
      </c>
      <c r="J35" s="21" t="s">
        <v>437</v>
      </c>
      <c r="K35" s="30" t="s">
        <v>107</v>
      </c>
      <c r="L35" s="32">
        <v>6</v>
      </c>
      <c r="M35" s="22">
        <v>34.43</v>
      </c>
      <c r="N35" s="31">
        <v>44691</v>
      </c>
      <c r="O35" s="30" t="s">
        <v>114</v>
      </c>
    </row>
    <row r="36" spans="2:15 16380:16380" s="30" customFormat="1" ht="15" customHeight="1" x14ac:dyDescent="0.25">
      <c r="B36" s="30" t="s">
        <v>168</v>
      </c>
      <c r="C36" s="30" t="s">
        <v>6</v>
      </c>
      <c r="D36" s="30" t="s">
        <v>11</v>
      </c>
      <c r="E36" s="30" t="s">
        <v>17</v>
      </c>
      <c r="F36" s="11" t="s">
        <v>126</v>
      </c>
      <c r="G36" s="30">
        <v>1</v>
      </c>
      <c r="H36" s="281" t="s">
        <v>23</v>
      </c>
      <c r="I36" s="21" t="s">
        <v>66</v>
      </c>
      <c r="J36" s="21" t="s">
        <v>110</v>
      </c>
      <c r="K36" s="30" t="s">
        <v>107</v>
      </c>
      <c r="L36" s="32">
        <v>2</v>
      </c>
      <c r="M36" s="22">
        <v>6.24</v>
      </c>
      <c r="N36" s="31">
        <v>44691</v>
      </c>
      <c r="O36" s="30" t="s">
        <v>114</v>
      </c>
    </row>
    <row r="37" spans="2:15 16380:16380" s="30" customFormat="1" ht="15" customHeight="1" x14ac:dyDescent="0.25">
      <c r="B37" s="30" t="s">
        <v>168</v>
      </c>
      <c r="C37" s="30" t="s">
        <v>6</v>
      </c>
      <c r="D37" s="30" t="s">
        <v>11</v>
      </c>
      <c r="E37" s="30" t="s">
        <v>17</v>
      </c>
      <c r="F37" s="11" t="s">
        <v>259</v>
      </c>
      <c r="G37" s="30">
        <v>1</v>
      </c>
      <c r="H37" s="281" t="s">
        <v>23</v>
      </c>
      <c r="I37" s="21" t="s">
        <v>54</v>
      </c>
      <c r="J37" s="21" t="s">
        <v>437</v>
      </c>
      <c r="K37" s="30" t="s">
        <v>107</v>
      </c>
      <c r="L37" s="32">
        <v>8</v>
      </c>
      <c r="M37" s="22">
        <v>65.23</v>
      </c>
      <c r="N37" s="31">
        <v>44691</v>
      </c>
      <c r="O37" s="30" t="s">
        <v>114</v>
      </c>
    </row>
    <row r="38" spans="2:15 16380:16380" s="30" customFormat="1" ht="15" customHeight="1" x14ac:dyDescent="0.25">
      <c r="B38" s="30" t="s">
        <v>168</v>
      </c>
      <c r="C38" s="30" t="s">
        <v>6</v>
      </c>
      <c r="D38" s="30" t="s">
        <v>11</v>
      </c>
      <c r="E38" s="30" t="s">
        <v>17</v>
      </c>
      <c r="F38" s="11">
        <v>210</v>
      </c>
      <c r="G38" s="30">
        <v>1</v>
      </c>
      <c r="H38" s="30" t="s">
        <v>117</v>
      </c>
      <c r="I38" s="21" t="s">
        <v>129</v>
      </c>
      <c r="J38" s="21" t="s">
        <v>97</v>
      </c>
      <c r="K38" s="30" t="s">
        <v>107</v>
      </c>
      <c r="L38" s="32">
        <v>30</v>
      </c>
      <c r="M38" s="22">
        <v>56.63</v>
      </c>
      <c r="N38" s="31">
        <v>44691</v>
      </c>
      <c r="O38" s="30" t="s">
        <v>114</v>
      </c>
    </row>
    <row r="39" spans="2:15 16380:16380" s="30" customFormat="1" ht="15" customHeight="1" x14ac:dyDescent="0.25">
      <c r="B39" s="30" t="s">
        <v>168</v>
      </c>
      <c r="C39" s="30" t="s">
        <v>6</v>
      </c>
      <c r="D39" s="30" t="s">
        <v>11</v>
      </c>
      <c r="E39" s="30" t="s">
        <v>17</v>
      </c>
      <c r="F39" s="11"/>
      <c r="G39" s="30">
        <v>1</v>
      </c>
      <c r="H39" s="30" t="s">
        <v>398</v>
      </c>
      <c r="I39" s="21" t="s">
        <v>68</v>
      </c>
      <c r="J39" s="21" t="s">
        <v>131</v>
      </c>
      <c r="K39" s="30" t="s">
        <v>94</v>
      </c>
      <c r="L39" s="32">
        <v>4</v>
      </c>
      <c r="M39" s="22">
        <v>10.64</v>
      </c>
      <c r="N39" s="31">
        <v>44691</v>
      </c>
      <c r="O39" s="30" t="s">
        <v>114</v>
      </c>
    </row>
    <row r="40" spans="2:15 16380:16380" s="30" customFormat="1" ht="15" customHeight="1" x14ac:dyDescent="0.25">
      <c r="B40" s="30" t="s">
        <v>168</v>
      </c>
      <c r="C40" s="30" t="s">
        <v>6</v>
      </c>
      <c r="D40" s="30" t="s">
        <v>11</v>
      </c>
      <c r="E40" s="30" t="s">
        <v>17</v>
      </c>
      <c r="F40" s="11"/>
      <c r="G40" s="30">
        <v>1</v>
      </c>
      <c r="H40" s="30" t="s">
        <v>398</v>
      </c>
      <c r="I40" s="21" t="s">
        <v>68</v>
      </c>
      <c r="J40" s="21" t="s">
        <v>132</v>
      </c>
      <c r="K40" s="30" t="s">
        <v>94</v>
      </c>
      <c r="L40" s="32">
        <v>4</v>
      </c>
      <c r="M40" s="22">
        <v>9.3800000000000008</v>
      </c>
      <c r="N40" s="31">
        <v>44691</v>
      </c>
      <c r="O40" s="30" t="s">
        <v>114</v>
      </c>
      <c r="XEZ40" s="198" t="e">
        <f>K34+K37+K38+K39+#REF!+K41</f>
        <v>#VALUE!</v>
      </c>
    </row>
    <row r="41" spans="2:15 16380:16380" s="30" customFormat="1" ht="15" customHeight="1" x14ac:dyDescent="0.25">
      <c r="B41" s="30" t="s">
        <v>170</v>
      </c>
      <c r="C41" s="30" t="s">
        <v>6</v>
      </c>
      <c r="D41" s="30" t="s">
        <v>11</v>
      </c>
      <c r="E41" s="30" t="s">
        <v>17</v>
      </c>
      <c r="F41" s="11"/>
      <c r="G41" s="30">
        <v>1</v>
      </c>
      <c r="H41" s="30" t="s">
        <v>394</v>
      </c>
      <c r="I41" s="21" t="s">
        <v>68</v>
      </c>
      <c r="J41" s="21" t="s">
        <v>98</v>
      </c>
      <c r="K41" s="30" t="s">
        <v>94</v>
      </c>
      <c r="L41" s="32">
        <v>0</v>
      </c>
      <c r="M41" s="22">
        <v>115.23</v>
      </c>
      <c r="N41" s="31">
        <v>44691</v>
      </c>
      <c r="O41" s="30" t="s">
        <v>114</v>
      </c>
    </row>
    <row r="42" spans="2:15 16380:16380" s="30" customFormat="1" ht="15" customHeight="1" x14ac:dyDescent="0.25">
      <c r="B42" s="30" t="s">
        <v>170</v>
      </c>
      <c r="C42" s="30" t="s">
        <v>6</v>
      </c>
      <c r="D42" s="30" t="s">
        <v>11</v>
      </c>
      <c r="E42" s="30" t="s">
        <v>17</v>
      </c>
      <c r="F42" s="11"/>
      <c r="G42" s="30">
        <v>1</v>
      </c>
      <c r="H42" s="30" t="s">
        <v>394</v>
      </c>
      <c r="I42" s="21" t="s">
        <v>68</v>
      </c>
      <c r="J42" s="21" t="s">
        <v>133</v>
      </c>
      <c r="K42" s="30" t="s">
        <v>94</v>
      </c>
      <c r="L42" s="32">
        <v>0</v>
      </c>
      <c r="M42" s="22">
        <v>65.81</v>
      </c>
      <c r="N42" s="31">
        <v>44691</v>
      </c>
      <c r="O42" s="30" t="s">
        <v>114</v>
      </c>
    </row>
    <row r="43" spans="2:15 16380:16380" s="30" customFormat="1" ht="15" customHeight="1" x14ac:dyDescent="0.25">
      <c r="B43" s="30" t="s">
        <v>168</v>
      </c>
      <c r="C43" s="30" t="s">
        <v>6</v>
      </c>
      <c r="D43" s="30" t="s">
        <v>11</v>
      </c>
      <c r="E43" s="30" t="s">
        <v>17</v>
      </c>
      <c r="F43" s="11"/>
      <c r="G43" s="30">
        <v>1</v>
      </c>
      <c r="H43" s="30" t="s">
        <v>390</v>
      </c>
      <c r="I43" s="20" t="s">
        <v>129</v>
      </c>
      <c r="J43" s="21" t="s">
        <v>807</v>
      </c>
      <c r="K43" s="30" t="s">
        <v>107</v>
      </c>
      <c r="L43" s="32">
        <v>1</v>
      </c>
      <c r="M43" s="22">
        <v>5.47</v>
      </c>
      <c r="N43" s="31">
        <v>44691</v>
      </c>
      <c r="O43" s="30" t="s">
        <v>114</v>
      </c>
    </row>
    <row r="44" spans="2:15 16380:16380" s="30" customFormat="1" ht="15" customHeight="1" x14ac:dyDescent="0.25">
      <c r="B44" s="30" t="s">
        <v>169</v>
      </c>
      <c r="C44" s="30" t="s">
        <v>6</v>
      </c>
      <c r="D44" s="30" t="s">
        <v>11</v>
      </c>
      <c r="E44" s="30" t="s">
        <v>17</v>
      </c>
      <c r="F44" s="11"/>
      <c r="G44" s="30">
        <v>1</v>
      </c>
      <c r="H44" s="30" t="s">
        <v>388</v>
      </c>
      <c r="I44" s="20" t="s">
        <v>129</v>
      </c>
      <c r="J44" s="33" t="s">
        <v>428</v>
      </c>
      <c r="K44" s="30" t="s">
        <v>107</v>
      </c>
      <c r="L44" s="32">
        <v>2</v>
      </c>
      <c r="M44" s="22">
        <v>11.88</v>
      </c>
      <c r="N44" s="31">
        <v>44691</v>
      </c>
      <c r="O44" s="30" t="s">
        <v>114</v>
      </c>
    </row>
    <row r="45" spans="2:15 16380:16380" s="30" customFormat="1" ht="15" customHeight="1" x14ac:dyDescent="0.25">
      <c r="B45" s="30" t="s">
        <v>169</v>
      </c>
      <c r="C45" s="30" t="s">
        <v>6</v>
      </c>
      <c r="D45" s="30" t="s">
        <v>11</v>
      </c>
      <c r="E45" s="30" t="s">
        <v>17</v>
      </c>
      <c r="F45" s="11"/>
      <c r="G45" s="30">
        <v>1</v>
      </c>
      <c r="H45" s="30" t="s">
        <v>389</v>
      </c>
      <c r="I45" s="20" t="s">
        <v>129</v>
      </c>
      <c r="J45" s="21" t="s">
        <v>323</v>
      </c>
      <c r="K45" s="30" t="s">
        <v>107</v>
      </c>
      <c r="L45" s="32">
        <v>1</v>
      </c>
      <c r="M45" s="22">
        <v>12.07</v>
      </c>
      <c r="N45" s="31">
        <v>44691</v>
      </c>
      <c r="O45" s="30" t="s">
        <v>114</v>
      </c>
    </row>
    <row r="46" spans="2:15 16380:16380" s="30" customFormat="1" ht="15" customHeight="1" x14ac:dyDescent="0.25">
      <c r="B46" s="30" t="s">
        <v>169</v>
      </c>
      <c r="C46" s="30" t="s">
        <v>6</v>
      </c>
      <c r="D46" s="30" t="s">
        <v>11</v>
      </c>
      <c r="E46" s="30" t="s">
        <v>17</v>
      </c>
      <c r="F46" s="11"/>
      <c r="G46" s="30">
        <v>1</v>
      </c>
      <c r="H46" s="30" t="s">
        <v>388</v>
      </c>
      <c r="I46" s="20" t="s">
        <v>129</v>
      </c>
      <c r="J46" s="21" t="s">
        <v>320</v>
      </c>
      <c r="K46" s="30" t="s">
        <v>107</v>
      </c>
      <c r="L46" s="32">
        <v>2</v>
      </c>
      <c r="M46" s="22">
        <v>11.57</v>
      </c>
      <c r="N46" s="31">
        <v>44691</v>
      </c>
      <c r="O46" s="30" t="s">
        <v>114</v>
      </c>
    </row>
    <row r="47" spans="2:15 16380:16380" s="30" customFormat="1" ht="15" customHeight="1" x14ac:dyDescent="0.25">
      <c r="B47" s="30" t="s">
        <v>169</v>
      </c>
      <c r="C47" s="30" t="s">
        <v>6</v>
      </c>
      <c r="D47" s="30" t="s">
        <v>11</v>
      </c>
      <c r="E47" s="30" t="s">
        <v>17</v>
      </c>
      <c r="F47" s="11"/>
      <c r="G47" s="30">
        <v>1</v>
      </c>
      <c r="H47" s="30" t="s">
        <v>99</v>
      </c>
      <c r="I47" s="20" t="s">
        <v>129</v>
      </c>
      <c r="J47" s="21" t="s">
        <v>99</v>
      </c>
      <c r="K47" s="30" t="s">
        <v>107</v>
      </c>
      <c r="L47" s="32">
        <v>6</v>
      </c>
      <c r="M47" s="22">
        <v>10.26</v>
      </c>
      <c r="N47" s="31">
        <v>44691</v>
      </c>
      <c r="O47" s="30" t="s">
        <v>114</v>
      </c>
    </row>
    <row r="48" spans="2:15 16380:16380" s="30" customFormat="1" ht="15" customHeight="1" x14ac:dyDescent="0.25">
      <c r="B48" s="30" t="s">
        <v>169</v>
      </c>
      <c r="C48" s="30" t="s">
        <v>6</v>
      </c>
      <c r="D48" s="30" t="s">
        <v>11</v>
      </c>
      <c r="E48" s="30" t="s">
        <v>17</v>
      </c>
      <c r="F48" s="11"/>
      <c r="G48" s="30">
        <v>1</v>
      </c>
      <c r="H48" s="30" t="s">
        <v>399</v>
      </c>
      <c r="I48" s="20" t="s">
        <v>129</v>
      </c>
      <c r="J48" s="21" t="s">
        <v>100</v>
      </c>
      <c r="K48" s="30" t="s">
        <v>94</v>
      </c>
      <c r="L48" s="32">
        <v>1</v>
      </c>
      <c r="M48" s="22">
        <v>2.77</v>
      </c>
      <c r="N48" s="31">
        <v>44691</v>
      </c>
      <c r="O48" s="30" t="s">
        <v>114</v>
      </c>
    </row>
    <row r="49" spans="2:15" s="30" customFormat="1" ht="15" customHeight="1" x14ac:dyDescent="0.25">
      <c r="B49" s="30" t="s">
        <v>169</v>
      </c>
      <c r="C49" s="30" t="s">
        <v>6</v>
      </c>
      <c r="D49" s="30" t="s">
        <v>11</v>
      </c>
      <c r="E49" s="30" t="s">
        <v>17</v>
      </c>
      <c r="F49" s="11"/>
      <c r="G49" s="30">
        <v>1</v>
      </c>
      <c r="H49" s="30" t="s">
        <v>399</v>
      </c>
      <c r="I49" s="20" t="s">
        <v>129</v>
      </c>
      <c r="J49" s="21" t="s">
        <v>101</v>
      </c>
      <c r="K49" s="30" t="s">
        <v>94</v>
      </c>
      <c r="L49" s="32">
        <v>1</v>
      </c>
      <c r="M49" s="22">
        <v>1.3</v>
      </c>
      <c r="N49" s="31">
        <v>44691</v>
      </c>
      <c r="O49" s="30" t="s">
        <v>114</v>
      </c>
    </row>
    <row r="50" spans="2:15" s="30" customFormat="1" ht="15" customHeight="1" x14ac:dyDescent="0.25">
      <c r="B50" s="30" t="s">
        <v>169</v>
      </c>
      <c r="C50" s="30" t="s">
        <v>6</v>
      </c>
      <c r="D50" s="30" t="s">
        <v>11</v>
      </c>
      <c r="E50" s="30" t="s">
        <v>17</v>
      </c>
      <c r="F50" s="11"/>
      <c r="G50" s="30">
        <v>1</v>
      </c>
      <c r="H50" s="30" t="s">
        <v>399</v>
      </c>
      <c r="I50" s="20" t="s">
        <v>129</v>
      </c>
      <c r="J50" s="21" t="s">
        <v>410</v>
      </c>
      <c r="K50" s="30" t="s">
        <v>94</v>
      </c>
      <c r="L50" s="32">
        <v>1</v>
      </c>
      <c r="M50" s="22">
        <v>1.51</v>
      </c>
      <c r="N50" s="31">
        <v>44691</v>
      </c>
      <c r="O50" s="30" t="s">
        <v>114</v>
      </c>
    </row>
    <row r="51" spans="2:15" s="30" customFormat="1" ht="15" customHeight="1" x14ac:dyDescent="0.25">
      <c r="B51" s="30" t="s">
        <v>168</v>
      </c>
      <c r="C51" s="30" t="s">
        <v>6</v>
      </c>
      <c r="D51" s="30" t="s">
        <v>11</v>
      </c>
      <c r="E51" s="30" t="s">
        <v>17</v>
      </c>
      <c r="F51" s="11"/>
      <c r="G51" s="30">
        <v>1</v>
      </c>
      <c r="H51" s="30" t="s">
        <v>398</v>
      </c>
      <c r="I51" s="20" t="s">
        <v>129</v>
      </c>
      <c r="J51" s="21" t="s">
        <v>102</v>
      </c>
      <c r="K51" s="30" t="s">
        <v>94</v>
      </c>
      <c r="L51" s="32">
        <v>1</v>
      </c>
      <c r="M51" s="22">
        <v>4.46</v>
      </c>
      <c r="N51" s="31">
        <v>44691</v>
      </c>
      <c r="O51" s="30" t="s">
        <v>114</v>
      </c>
    </row>
    <row r="52" spans="2:15" s="30" customFormat="1" ht="15" customHeight="1" x14ac:dyDescent="0.25">
      <c r="B52" s="30" t="s">
        <v>168</v>
      </c>
      <c r="C52" s="30" t="s">
        <v>6</v>
      </c>
      <c r="D52" s="30" t="s">
        <v>11</v>
      </c>
      <c r="E52" s="30" t="s">
        <v>17</v>
      </c>
      <c r="F52" s="11"/>
      <c r="G52" s="30">
        <v>1</v>
      </c>
      <c r="H52" s="30" t="s">
        <v>398</v>
      </c>
      <c r="I52" s="20" t="s">
        <v>129</v>
      </c>
      <c r="J52" s="21" t="s">
        <v>103</v>
      </c>
      <c r="K52" s="30" t="s">
        <v>94</v>
      </c>
      <c r="L52" s="32">
        <v>1</v>
      </c>
      <c r="M52" s="22">
        <v>4.67</v>
      </c>
      <c r="N52" s="31">
        <v>44691</v>
      </c>
      <c r="O52" s="30" t="s">
        <v>114</v>
      </c>
    </row>
    <row r="53" spans="2:15" s="30" customFormat="1" ht="30" customHeight="1" x14ac:dyDescent="0.25">
      <c r="B53" s="30" t="s">
        <v>168</v>
      </c>
      <c r="C53" s="30" t="s">
        <v>6</v>
      </c>
      <c r="D53" s="30" t="s">
        <v>11</v>
      </c>
      <c r="E53" s="30" t="s">
        <v>17</v>
      </c>
      <c r="F53" s="11"/>
      <c r="G53" s="30">
        <v>1</v>
      </c>
      <c r="H53" s="30" t="s">
        <v>389</v>
      </c>
      <c r="I53" s="20" t="s">
        <v>129</v>
      </c>
      <c r="J53" s="21" t="s">
        <v>104</v>
      </c>
      <c r="K53" s="30" t="s">
        <v>94</v>
      </c>
      <c r="L53" s="32">
        <v>0</v>
      </c>
      <c r="M53" s="22">
        <v>1.06</v>
      </c>
      <c r="N53" s="31">
        <v>44691</v>
      </c>
      <c r="O53" s="30" t="s">
        <v>114</v>
      </c>
    </row>
    <row r="54" spans="2:15" s="30" customFormat="1" ht="28.5" customHeight="1" x14ac:dyDescent="0.25">
      <c r="B54" s="30" t="s">
        <v>169</v>
      </c>
      <c r="C54" s="30" t="s">
        <v>6</v>
      </c>
      <c r="D54" s="30" t="s">
        <v>11</v>
      </c>
      <c r="E54" s="30" t="s">
        <v>17</v>
      </c>
      <c r="F54" s="11"/>
      <c r="G54" s="30">
        <v>1</v>
      </c>
      <c r="H54" s="30" t="s">
        <v>388</v>
      </c>
      <c r="I54" s="20" t="s">
        <v>129</v>
      </c>
      <c r="J54" s="33" t="s">
        <v>429</v>
      </c>
      <c r="K54" s="30" t="s">
        <v>107</v>
      </c>
      <c r="L54" s="32">
        <v>1</v>
      </c>
      <c r="M54" s="22">
        <v>12.3</v>
      </c>
      <c r="N54" s="31">
        <v>44691</v>
      </c>
      <c r="O54" s="30" t="s">
        <v>114</v>
      </c>
    </row>
    <row r="55" spans="2:15" s="30" customFormat="1" ht="15" customHeight="1" x14ac:dyDescent="0.25">
      <c r="B55" s="30" t="s">
        <v>168</v>
      </c>
      <c r="C55" s="30" t="s">
        <v>6</v>
      </c>
      <c r="D55" s="30" t="s">
        <v>11</v>
      </c>
      <c r="E55" s="30" t="s">
        <v>17</v>
      </c>
      <c r="F55" s="11"/>
      <c r="G55" s="30">
        <v>1</v>
      </c>
      <c r="H55" s="30" t="s">
        <v>258</v>
      </c>
      <c r="I55" s="20" t="s">
        <v>129</v>
      </c>
      <c r="J55" s="21" t="s">
        <v>324</v>
      </c>
      <c r="K55" s="30" t="s">
        <v>94</v>
      </c>
      <c r="L55" s="32">
        <v>0</v>
      </c>
      <c r="M55" s="22">
        <v>2.68</v>
      </c>
      <c r="N55" s="31">
        <v>44691</v>
      </c>
      <c r="O55" s="30" t="s">
        <v>114</v>
      </c>
    </row>
    <row r="56" spans="2:15" s="30" customFormat="1" ht="27.75" customHeight="1" x14ac:dyDescent="0.25">
      <c r="B56" s="30" t="s">
        <v>168</v>
      </c>
      <c r="C56" s="30" t="s">
        <v>6</v>
      </c>
      <c r="D56" s="30" t="s">
        <v>11</v>
      </c>
      <c r="E56" s="30" t="s">
        <v>17</v>
      </c>
      <c r="F56" s="11"/>
      <c r="G56" s="30">
        <v>1</v>
      </c>
      <c r="H56" s="30" t="s">
        <v>258</v>
      </c>
      <c r="I56" s="20" t="s">
        <v>129</v>
      </c>
      <c r="J56" s="21" t="s">
        <v>260</v>
      </c>
      <c r="K56" s="30" t="s">
        <v>94</v>
      </c>
      <c r="L56" s="32">
        <v>0</v>
      </c>
      <c r="M56" s="22">
        <v>9</v>
      </c>
      <c r="N56" s="31">
        <v>44691</v>
      </c>
      <c r="O56" s="30" t="s">
        <v>114</v>
      </c>
    </row>
    <row r="57" spans="2:15" s="30" customFormat="1" ht="15" customHeight="1" x14ac:dyDescent="0.25">
      <c r="B57" s="30" t="s">
        <v>169</v>
      </c>
      <c r="C57" s="30" t="s">
        <v>6</v>
      </c>
      <c r="D57" s="30" t="s">
        <v>11</v>
      </c>
      <c r="E57" s="30" t="s">
        <v>17</v>
      </c>
      <c r="F57" s="11"/>
      <c r="G57" s="30">
        <v>1</v>
      </c>
      <c r="H57" s="30" t="s">
        <v>388</v>
      </c>
      <c r="I57" s="20" t="s">
        <v>129</v>
      </c>
      <c r="J57" s="33" t="s">
        <v>808</v>
      </c>
      <c r="K57" s="30" t="s">
        <v>107</v>
      </c>
      <c r="L57" s="32">
        <v>2</v>
      </c>
      <c r="M57" s="22">
        <v>8.4</v>
      </c>
      <c r="N57" s="31">
        <v>44691</v>
      </c>
      <c r="O57" s="30" t="s">
        <v>114</v>
      </c>
    </row>
    <row r="58" spans="2:15" s="30" customFormat="1" ht="15" customHeight="1" x14ac:dyDescent="0.25">
      <c r="B58" s="30" t="s">
        <v>169</v>
      </c>
      <c r="C58" s="30" t="s">
        <v>6</v>
      </c>
      <c r="D58" s="30" t="s">
        <v>11</v>
      </c>
      <c r="E58" s="30" t="s">
        <v>17</v>
      </c>
      <c r="F58" s="11"/>
      <c r="G58" s="30">
        <v>1</v>
      </c>
      <c r="H58" s="30" t="s">
        <v>388</v>
      </c>
      <c r="I58" s="20" t="s">
        <v>129</v>
      </c>
      <c r="J58" s="33" t="s">
        <v>847</v>
      </c>
      <c r="K58" s="30" t="s">
        <v>107</v>
      </c>
      <c r="L58" s="32">
        <v>2</v>
      </c>
      <c r="M58" s="22">
        <v>4.13</v>
      </c>
      <c r="N58" s="31">
        <v>44691</v>
      </c>
      <c r="O58" s="30" t="s">
        <v>114</v>
      </c>
    </row>
    <row r="59" spans="2:15" s="30" customFormat="1" ht="15" customHeight="1" x14ac:dyDescent="0.25">
      <c r="B59" s="30" t="s">
        <v>169</v>
      </c>
      <c r="C59" s="30" t="s">
        <v>6</v>
      </c>
      <c r="D59" s="30" t="s">
        <v>11</v>
      </c>
      <c r="E59" s="30" t="s">
        <v>17</v>
      </c>
      <c r="F59" s="11"/>
      <c r="G59" s="30">
        <v>1</v>
      </c>
      <c r="H59" s="30" t="s">
        <v>388</v>
      </c>
      <c r="I59" s="20" t="s">
        <v>129</v>
      </c>
      <c r="J59" s="33" t="s">
        <v>848</v>
      </c>
      <c r="K59" s="30" t="s">
        <v>107</v>
      </c>
      <c r="L59" s="32">
        <v>2</v>
      </c>
      <c r="M59" s="22">
        <v>5.77</v>
      </c>
      <c r="N59" s="31">
        <v>44691</v>
      </c>
      <c r="O59" s="30" t="s">
        <v>114</v>
      </c>
    </row>
    <row r="60" spans="2:15" s="30" customFormat="1" ht="15" customHeight="1" x14ac:dyDescent="0.25">
      <c r="B60" s="30" t="s">
        <v>169</v>
      </c>
      <c r="C60" s="30" t="s">
        <v>6</v>
      </c>
      <c r="D60" s="30" t="s">
        <v>11</v>
      </c>
      <c r="E60" s="30" t="s">
        <v>17</v>
      </c>
      <c r="F60" s="11"/>
      <c r="G60" s="30">
        <v>1</v>
      </c>
      <c r="H60" s="30" t="s">
        <v>388</v>
      </c>
      <c r="I60" s="20" t="s">
        <v>129</v>
      </c>
      <c r="J60" s="33" t="s">
        <v>849</v>
      </c>
      <c r="K60" s="30" t="s">
        <v>107</v>
      </c>
      <c r="L60" s="32">
        <v>2</v>
      </c>
      <c r="M60" s="22">
        <v>9.5399999999999991</v>
      </c>
      <c r="N60" s="31">
        <v>44691</v>
      </c>
      <c r="O60" s="30" t="s">
        <v>114</v>
      </c>
    </row>
    <row r="61" spans="2:15" s="30" customFormat="1" ht="15" customHeight="1" x14ac:dyDescent="0.25">
      <c r="B61" s="30" t="s">
        <v>169</v>
      </c>
      <c r="C61" s="30" t="s">
        <v>6</v>
      </c>
      <c r="D61" s="30" t="s">
        <v>11</v>
      </c>
      <c r="E61" s="30" t="s">
        <v>17</v>
      </c>
      <c r="F61" s="11"/>
      <c r="G61" s="30">
        <v>1</v>
      </c>
      <c r="H61" s="30" t="s">
        <v>388</v>
      </c>
      <c r="I61" s="20" t="s">
        <v>129</v>
      </c>
      <c r="J61" s="33" t="s">
        <v>850</v>
      </c>
      <c r="K61" s="30" t="s">
        <v>107</v>
      </c>
      <c r="L61" s="32">
        <v>2</v>
      </c>
      <c r="M61" s="22">
        <v>5.86</v>
      </c>
      <c r="N61" s="31">
        <v>44691</v>
      </c>
      <c r="O61" s="30" t="s">
        <v>114</v>
      </c>
    </row>
    <row r="62" spans="2:15" s="30" customFormat="1" ht="15" customHeight="1" x14ac:dyDescent="0.25">
      <c r="B62" s="30" t="s">
        <v>169</v>
      </c>
      <c r="C62" s="30" t="s">
        <v>6</v>
      </c>
      <c r="D62" s="30" t="s">
        <v>11</v>
      </c>
      <c r="E62" s="30" t="s">
        <v>17</v>
      </c>
      <c r="F62" s="11"/>
      <c r="G62" s="30">
        <v>1</v>
      </c>
      <c r="H62" s="30" t="s">
        <v>99</v>
      </c>
      <c r="I62" s="20" t="s">
        <v>129</v>
      </c>
      <c r="J62" s="33" t="s">
        <v>851</v>
      </c>
      <c r="K62" s="30" t="s">
        <v>107</v>
      </c>
      <c r="L62" s="32">
        <v>2</v>
      </c>
      <c r="M62" s="22">
        <v>16.739999999999998</v>
      </c>
      <c r="N62" s="31">
        <v>44691</v>
      </c>
      <c r="O62" s="30" t="s">
        <v>114</v>
      </c>
    </row>
    <row r="63" spans="2:15" s="30" customFormat="1" ht="15" customHeight="1" x14ac:dyDescent="0.25">
      <c r="B63" s="30" t="s">
        <v>169</v>
      </c>
      <c r="C63" s="30" t="s">
        <v>6</v>
      </c>
      <c r="D63" s="30" t="s">
        <v>11</v>
      </c>
      <c r="E63" s="30" t="s">
        <v>17</v>
      </c>
      <c r="F63" s="11"/>
      <c r="G63" s="30">
        <v>1</v>
      </c>
      <c r="H63" s="30" t="s">
        <v>23</v>
      </c>
      <c r="I63" s="20" t="s">
        <v>129</v>
      </c>
      <c r="J63" s="33" t="s">
        <v>846</v>
      </c>
      <c r="K63" s="30" t="s">
        <v>107</v>
      </c>
      <c r="L63" s="32">
        <v>2</v>
      </c>
      <c r="M63" s="22">
        <v>14.28</v>
      </c>
      <c r="N63" s="31">
        <v>44691</v>
      </c>
      <c r="O63" s="30" t="s">
        <v>114</v>
      </c>
    </row>
    <row r="64" spans="2:15" s="30" customFormat="1" ht="15" customHeight="1" x14ac:dyDescent="0.25">
      <c r="B64" s="30" t="s">
        <v>169</v>
      </c>
      <c r="C64" s="30" t="s">
        <v>6</v>
      </c>
      <c r="D64" s="30" t="s">
        <v>11</v>
      </c>
      <c r="E64" s="30" t="s">
        <v>17</v>
      </c>
      <c r="F64" s="11"/>
      <c r="G64" s="30">
        <v>1</v>
      </c>
      <c r="H64" s="30" t="s">
        <v>117</v>
      </c>
      <c r="I64" s="20" t="s">
        <v>129</v>
      </c>
      <c r="J64" s="33" t="s">
        <v>852</v>
      </c>
      <c r="K64" s="30" t="s">
        <v>107</v>
      </c>
      <c r="L64" s="32">
        <v>2</v>
      </c>
      <c r="M64" s="22">
        <v>19.12</v>
      </c>
      <c r="N64" s="31">
        <v>44691</v>
      </c>
      <c r="O64" s="30" t="s">
        <v>114</v>
      </c>
    </row>
    <row r="65" spans="2:15" s="30" customFormat="1" ht="15" customHeight="1" x14ac:dyDescent="0.25">
      <c r="B65" s="30" t="s">
        <v>169</v>
      </c>
      <c r="C65" s="30" t="s">
        <v>6</v>
      </c>
      <c r="D65" s="30" t="s">
        <v>11</v>
      </c>
      <c r="E65" s="30" t="s">
        <v>17</v>
      </c>
      <c r="F65" s="11"/>
      <c r="G65" s="30">
        <v>1</v>
      </c>
      <c r="H65" s="30" t="s">
        <v>23</v>
      </c>
      <c r="I65" s="20" t="s">
        <v>129</v>
      </c>
      <c r="J65" s="33" t="s">
        <v>853</v>
      </c>
      <c r="K65" s="30" t="s">
        <v>107</v>
      </c>
      <c r="L65" s="32">
        <v>2</v>
      </c>
      <c r="M65" s="22">
        <v>17.52</v>
      </c>
      <c r="N65" s="31">
        <v>44691</v>
      </c>
      <c r="O65" s="30" t="s">
        <v>114</v>
      </c>
    </row>
    <row r="66" spans="2:15" s="30" customFormat="1" ht="27" customHeight="1" x14ac:dyDescent="0.25">
      <c r="B66" s="30" t="s">
        <v>169</v>
      </c>
      <c r="C66" s="30" t="s">
        <v>6</v>
      </c>
      <c r="D66" s="30" t="s">
        <v>11</v>
      </c>
      <c r="E66" s="30" t="s">
        <v>17</v>
      </c>
      <c r="F66" s="11"/>
      <c r="G66" s="30">
        <v>1</v>
      </c>
      <c r="H66" s="30" t="s">
        <v>23</v>
      </c>
      <c r="I66" s="20" t="s">
        <v>129</v>
      </c>
      <c r="J66" s="33" t="s">
        <v>853</v>
      </c>
      <c r="K66" s="30" t="s">
        <v>107</v>
      </c>
      <c r="L66" s="32">
        <v>2</v>
      </c>
      <c r="M66" s="22">
        <v>15.35</v>
      </c>
      <c r="N66" s="31">
        <v>44691</v>
      </c>
      <c r="O66" s="30" t="s">
        <v>114</v>
      </c>
    </row>
    <row r="67" spans="2:15" s="30" customFormat="1" ht="27" customHeight="1" x14ac:dyDescent="0.25">
      <c r="B67" s="30" t="s">
        <v>169</v>
      </c>
      <c r="C67" s="30" t="s">
        <v>6</v>
      </c>
      <c r="D67" s="30" t="s">
        <v>11</v>
      </c>
      <c r="E67" s="30" t="s">
        <v>17</v>
      </c>
      <c r="F67" s="11"/>
      <c r="G67" s="30">
        <v>1</v>
      </c>
      <c r="H67" s="30" t="s">
        <v>23</v>
      </c>
      <c r="I67" s="20" t="s">
        <v>129</v>
      </c>
      <c r="J67" s="33" t="s">
        <v>853</v>
      </c>
      <c r="K67" s="30" t="s">
        <v>107</v>
      </c>
      <c r="L67" s="32">
        <v>2</v>
      </c>
      <c r="M67" s="22">
        <v>18.100000000000001</v>
      </c>
      <c r="N67" s="31">
        <v>44691</v>
      </c>
      <c r="O67" s="30" t="s">
        <v>114</v>
      </c>
    </row>
    <row r="68" spans="2:15" s="30" customFormat="1" ht="27" customHeight="1" x14ac:dyDescent="0.25">
      <c r="B68" s="30" t="s">
        <v>169</v>
      </c>
      <c r="C68" s="30" t="s">
        <v>6</v>
      </c>
      <c r="D68" s="30" t="s">
        <v>11</v>
      </c>
      <c r="E68" s="30" t="s">
        <v>17</v>
      </c>
      <c r="F68" s="11"/>
      <c r="G68" s="30">
        <v>1</v>
      </c>
      <c r="H68" s="30" t="s">
        <v>23</v>
      </c>
      <c r="I68" s="20" t="s">
        <v>129</v>
      </c>
      <c r="J68" s="33" t="s">
        <v>853</v>
      </c>
      <c r="K68" s="30" t="s">
        <v>107</v>
      </c>
      <c r="L68" s="32">
        <v>2</v>
      </c>
      <c r="M68" s="22">
        <v>20.059999999999999</v>
      </c>
      <c r="N68" s="31">
        <v>44691</v>
      </c>
      <c r="O68" s="30" t="s">
        <v>114</v>
      </c>
    </row>
    <row r="69" spans="2:15" s="30" customFormat="1" ht="27" customHeight="1" x14ac:dyDescent="0.25">
      <c r="B69" s="30" t="s">
        <v>169</v>
      </c>
      <c r="C69" s="30" t="s">
        <v>6</v>
      </c>
      <c r="D69" s="30" t="s">
        <v>11</v>
      </c>
      <c r="E69" s="30" t="s">
        <v>17</v>
      </c>
      <c r="F69" s="11"/>
      <c r="G69" s="30">
        <v>1</v>
      </c>
      <c r="H69" s="30" t="s">
        <v>394</v>
      </c>
      <c r="I69" s="20" t="s">
        <v>129</v>
      </c>
      <c r="J69" s="33" t="s">
        <v>854</v>
      </c>
      <c r="K69" s="30" t="s">
        <v>107</v>
      </c>
      <c r="L69" s="32">
        <v>2</v>
      </c>
      <c r="M69" s="22">
        <v>27.4</v>
      </c>
      <c r="N69" s="31">
        <v>44691</v>
      </c>
      <c r="O69" s="30" t="s">
        <v>114</v>
      </c>
    </row>
    <row r="70" spans="2:15" s="30" customFormat="1" ht="27" customHeight="1" x14ac:dyDescent="0.25">
      <c r="B70" s="30" t="s">
        <v>169</v>
      </c>
      <c r="C70" s="30" t="s">
        <v>6</v>
      </c>
      <c r="D70" s="30" t="s">
        <v>11</v>
      </c>
      <c r="E70" s="30" t="s">
        <v>17</v>
      </c>
      <c r="F70" s="11"/>
      <c r="G70" s="30">
        <v>1</v>
      </c>
      <c r="H70" s="30" t="s">
        <v>394</v>
      </c>
      <c r="I70" s="20" t="s">
        <v>129</v>
      </c>
      <c r="J70" s="33" t="s">
        <v>855</v>
      </c>
      <c r="K70" s="30" t="s">
        <v>107</v>
      </c>
      <c r="L70" s="32">
        <v>2</v>
      </c>
      <c r="M70" s="22">
        <v>34.92</v>
      </c>
      <c r="N70" s="31">
        <v>44691</v>
      </c>
      <c r="O70" s="30" t="s">
        <v>114</v>
      </c>
    </row>
    <row r="71" spans="2:15" s="30" customFormat="1" ht="27" customHeight="1" x14ac:dyDescent="0.25">
      <c r="B71" s="30" t="s">
        <v>168</v>
      </c>
      <c r="C71" s="30" t="s">
        <v>6</v>
      </c>
      <c r="D71" s="30" t="s">
        <v>11</v>
      </c>
      <c r="E71" s="30" t="s">
        <v>17</v>
      </c>
      <c r="F71" s="11"/>
      <c r="G71" s="30">
        <v>1</v>
      </c>
      <c r="H71" s="281" t="s">
        <v>23</v>
      </c>
      <c r="I71" s="21" t="s">
        <v>49</v>
      </c>
      <c r="J71" s="21" t="s">
        <v>949</v>
      </c>
      <c r="K71" s="30" t="s">
        <v>116</v>
      </c>
      <c r="L71" s="32">
        <v>3</v>
      </c>
      <c r="M71" s="22">
        <v>58</v>
      </c>
      <c r="N71" s="31">
        <v>45606</v>
      </c>
      <c r="O71" s="30" t="s">
        <v>114</v>
      </c>
    </row>
    <row r="72" spans="2:15" s="30" customFormat="1" ht="27" customHeight="1" x14ac:dyDescent="0.25">
      <c r="B72" s="30" t="s">
        <v>170</v>
      </c>
      <c r="C72" s="30" t="s">
        <v>6</v>
      </c>
      <c r="D72" s="30" t="s">
        <v>11</v>
      </c>
      <c r="E72" s="30" t="s">
        <v>17</v>
      </c>
      <c r="F72" s="11"/>
      <c r="G72" s="30">
        <v>1</v>
      </c>
      <c r="H72" s="30" t="s">
        <v>174</v>
      </c>
      <c r="I72" s="21" t="s">
        <v>68</v>
      </c>
      <c r="J72" s="21" t="s">
        <v>133</v>
      </c>
      <c r="K72" s="30" t="s">
        <v>94</v>
      </c>
      <c r="L72" s="32">
        <v>0</v>
      </c>
      <c r="M72" s="22">
        <v>28.41</v>
      </c>
      <c r="N72" s="31">
        <v>44691</v>
      </c>
      <c r="O72" s="30" t="s">
        <v>114</v>
      </c>
    </row>
    <row r="73" spans="2:15" s="30" customFormat="1" ht="27" customHeight="1" x14ac:dyDescent="0.25">
      <c r="B73" s="30" t="s">
        <v>170</v>
      </c>
      <c r="C73" s="30" t="s">
        <v>6</v>
      </c>
      <c r="D73" s="30" t="s">
        <v>11</v>
      </c>
      <c r="E73" s="30" t="s">
        <v>17</v>
      </c>
      <c r="F73" s="11"/>
      <c r="G73" s="19">
        <v>1</v>
      </c>
      <c r="H73" s="30" t="s">
        <v>193</v>
      </c>
      <c r="I73" s="21" t="s">
        <v>68</v>
      </c>
      <c r="J73" s="21" t="s">
        <v>433</v>
      </c>
      <c r="K73" s="21" t="s">
        <v>107</v>
      </c>
      <c r="L73" s="32">
        <v>50</v>
      </c>
      <c r="M73" s="34">
        <v>3138.69</v>
      </c>
      <c r="N73" s="31">
        <v>44691</v>
      </c>
      <c r="O73" s="30" t="s">
        <v>114</v>
      </c>
    </row>
    <row r="74" spans="2:15" s="30" customFormat="1" ht="15" customHeight="1" x14ac:dyDescent="0.25">
      <c r="B74" s="30" t="s">
        <v>168</v>
      </c>
      <c r="C74" s="30" t="s">
        <v>6</v>
      </c>
      <c r="D74" s="30" t="s">
        <v>11</v>
      </c>
      <c r="E74" s="30" t="s">
        <v>15</v>
      </c>
      <c r="F74" s="11" t="s">
        <v>139</v>
      </c>
      <c r="G74" s="30">
        <v>2</v>
      </c>
      <c r="H74" s="281" t="s">
        <v>23</v>
      </c>
      <c r="I74" s="21" t="s">
        <v>48</v>
      </c>
      <c r="J74" s="21" t="s">
        <v>791</v>
      </c>
      <c r="K74" s="30" t="s">
        <v>107</v>
      </c>
      <c r="L74" s="32">
        <v>5</v>
      </c>
      <c r="M74" s="22">
        <v>42.98</v>
      </c>
      <c r="N74" s="31">
        <v>44694</v>
      </c>
      <c r="O74" s="30" t="s">
        <v>114</v>
      </c>
    </row>
    <row r="75" spans="2:15" s="30" customFormat="1" ht="15" customHeight="1" x14ac:dyDescent="0.25">
      <c r="B75" s="30" t="s">
        <v>168</v>
      </c>
      <c r="C75" s="30" t="s">
        <v>6</v>
      </c>
      <c r="D75" s="30" t="s">
        <v>11</v>
      </c>
      <c r="E75" s="30" t="s">
        <v>15</v>
      </c>
      <c r="F75" s="11" t="s">
        <v>142</v>
      </c>
      <c r="G75" s="30">
        <v>2</v>
      </c>
      <c r="H75" s="281" t="s">
        <v>23</v>
      </c>
      <c r="I75" s="21" t="s">
        <v>58</v>
      </c>
      <c r="J75" s="21" t="s">
        <v>135</v>
      </c>
      <c r="K75" s="30" t="s">
        <v>107</v>
      </c>
      <c r="L75" s="32">
        <v>2</v>
      </c>
      <c r="M75" s="22">
        <v>23.84</v>
      </c>
      <c r="N75" s="31">
        <v>44694</v>
      </c>
      <c r="O75" s="30" t="s">
        <v>114</v>
      </c>
    </row>
    <row r="76" spans="2:15" s="30" customFormat="1" ht="15" customHeight="1" x14ac:dyDescent="0.25">
      <c r="B76" s="30" t="s">
        <v>165</v>
      </c>
      <c r="C76" s="30" t="s">
        <v>6</v>
      </c>
      <c r="D76" s="30" t="s">
        <v>11</v>
      </c>
      <c r="E76" s="30" t="s">
        <v>15</v>
      </c>
      <c r="F76" s="11" t="s">
        <v>261</v>
      </c>
      <c r="G76" s="30">
        <v>2</v>
      </c>
      <c r="H76" s="281" t="s">
        <v>26</v>
      </c>
      <c r="I76" s="21" t="s">
        <v>32</v>
      </c>
      <c r="J76" s="21" t="s">
        <v>138</v>
      </c>
      <c r="K76" s="30" t="s">
        <v>107</v>
      </c>
      <c r="L76" s="32">
        <v>28</v>
      </c>
      <c r="M76" s="22">
        <v>32.74</v>
      </c>
      <c r="N76" s="31">
        <v>44694</v>
      </c>
      <c r="O76" s="30" t="s">
        <v>114</v>
      </c>
    </row>
    <row r="77" spans="2:15" s="30" customFormat="1" ht="15" customHeight="1" x14ac:dyDescent="0.25">
      <c r="B77" s="30" t="s">
        <v>165</v>
      </c>
      <c r="C77" s="30" t="s">
        <v>6</v>
      </c>
      <c r="D77" s="30" t="s">
        <v>11</v>
      </c>
      <c r="E77" s="30" t="s">
        <v>15</v>
      </c>
      <c r="F77" s="11" t="s">
        <v>141</v>
      </c>
      <c r="G77" s="30">
        <v>2</v>
      </c>
      <c r="H77" s="281" t="s">
        <v>26</v>
      </c>
      <c r="I77" s="21" t="s">
        <v>32</v>
      </c>
      <c r="J77" s="21" t="s">
        <v>138</v>
      </c>
      <c r="K77" s="30" t="s">
        <v>107</v>
      </c>
      <c r="L77" s="32">
        <v>43</v>
      </c>
      <c r="M77" s="22">
        <v>55.89</v>
      </c>
      <c r="N77" s="31">
        <v>44694</v>
      </c>
      <c r="O77" s="30" t="s">
        <v>114</v>
      </c>
    </row>
    <row r="78" spans="2:15" s="30" customFormat="1" ht="15" customHeight="1" x14ac:dyDescent="0.25">
      <c r="B78" s="30" t="s">
        <v>165</v>
      </c>
      <c r="C78" s="30" t="s">
        <v>6</v>
      </c>
      <c r="D78" s="30" t="s">
        <v>11</v>
      </c>
      <c r="E78" s="30" t="s">
        <v>15</v>
      </c>
      <c r="F78" s="11" t="s">
        <v>140</v>
      </c>
      <c r="G78" s="30">
        <v>2</v>
      </c>
      <c r="H78" s="281" t="s">
        <v>26</v>
      </c>
      <c r="I78" s="21" t="s">
        <v>32</v>
      </c>
      <c r="J78" s="21" t="s">
        <v>138</v>
      </c>
      <c r="K78" s="30" t="s">
        <v>107</v>
      </c>
      <c r="L78" s="32">
        <v>35</v>
      </c>
      <c r="M78" s="22">
        <v>37.630000000000003</v>
      </c>
      <c r="N78" s="31">
        <v>44694</v>
      </c>
      <c r="O78" s="30" t="s">
        <v>114</v>
      </c>
    </row>
    <row r="79" spans="2:15" s="30" customFormat="1" ht="15" customHeight="1" x14ac:dyDescent="0.25">
      <c r="B79" s="30" t="s">
        <v>165</v>
      </c>
      <c r="C79" s="30" t="s">
        <v>6</v>
      </c>
      <c r="D79" s="30" t="s">
        <v>11</v>
      </c>
      <c r="E79" s="30" t="s">
        <v>15</v>
      </c>
      <c r="F79" s="11" t="s">
        <v>144</v>
      </c>
      <c r="G79" s="30">
        <v>2</v>
      </c>
      <c r="H79" s="281" t="s">
        <v>26</v>
      </c>
      <c r="I79" s="21" t="s">
        <v>32</v>
      </c>
      <c r="J79" s="21" t="s">
        <v>138</v>
      </c>
      <c r="K79" s="30" t="s">
        <v>107</v>
      </c>
      <c r="L79" s="32">
        <v>55</v>
      </c>
      <c r="M79" s="22">
        <v>57.91</v>
      </c>
      <c r="N79" s="31">
        <v>44694</v>
      </c>
      <c r="O79" s="30" t="s">
        <v>114</v>
      </c>
    </row>
    <row r="80" spans="2:15" s="30" customFormat="1" ht="15" customHeight="1" x14ac:dyDescent="0.25">
      <c r="B80" s="30" t="s">
        <v>165</v>
      </c>
      <c r="C80" s="30" t="s">
        <v>6</v>
      </c>
      <c r="D80" s="30" t="s">
        <v>11</v>
      </c>
      <c r="E80" s="30" t="s">
        <v>15</v>
      </c>
      <c r="F80" s="11" t="s">
        <v>145</v>
      </c>
      <c r="G80" s="30">
        <v>2</v>
      </c>
      <c r="H80" s="281" t="s">
        <v>26</v>
      </c>
      <c r="I80" s="21" t="s">
        <v>32</v>
      </c>
      <c r="J80" s="21" t="s">
        <v>138</v>
      </c>
      <c r="K80" s="30" t="s">
        <v>107</v>
      </c>
      <c r="L80" s="32">
        <v>55</v>
      </c>
      <c r="M80" s="22">
        <v>62.62</v>
      </c>
      <c r="N80" s="31">
        <v>44694</v>
      </c>
      <c r="O80" s="30" t="s">
        <v>114</v>
      </c>
    </row>
    <row r="81" spans="1:15" s="30" customFormat="1" ht="15" customHeight="1" x14ac:dyDescent="0.25">
      <c r="B81" s="30" t="s">
        <v>165</v>
      </c>
      <c r="C81" s="30" t="s">
        <v>6</v>
      </c>
      <c r="D81" s="30" t="s">
        <v>11</v>
      </c>
      <c r="E81" s="30" t="s">
        <v>15</v>
      </c>
      <c r="F81" s="11"/>
      <c r="G81" s="30">
        <v>2</v>
      </c>
      <c r="H81" s="30" t="s">
        <v>23</v>
      </c>
      <c r="I81" s="21" t="s">
        <v>33</v>
      </c>
      <c r="J81" s="21" t="s">
        <v>789</v>
      </c>
      <c r="K81" s="30" t="s">
        <v>107</v>
      </c>
      <c r="L81" s="32">
        <v>40</v>
      </c>
      <c r="M81" s="22">
        <v>44.16</v>
      </c>
      <c r="N81" s="31">
        <v>44694</v>
      </c>
      <c r="O81" s="30" t="s">
        <v>114</v>
      </c>
    </row>
    <row r="82" spans="1:15" s="30" customFormat="1" ht="15" customHeight="1" x14ac:dyDescent="0.25">
      <c r="B82" s="30" t="s">
        <v>165</v>
      </c>
      <c r="C82" s="30" t="s">
        <v>6</v>
      </c>
      <c r="D82" s="30" t="s">
        <v>11</v>
      </c>
      <c r="E82" s="30" t="s">
        <v>15</v>
      </c>
      <c r="F82" s="11"/>
      <c r="G82" s="30">
        <v>2</v>
      </c>
      <c r="H82" s="30" t="s">
        <v>23</v>
      </c>
      <c r="I82" s="21" t="s">
        <v>33</v>
      </c>
      <c r="J82" s="21" t="s">
        <v>789</v>
      </c>
      <c r="K82" s="30" t="s">
        <v>107</v>
      </c>
      <c r="L82" s="32">
        <v>40</v>
      </c>
      <c r="M82" s="22">
        <v>43.24</v>
      </c>
      <c r="N82" s="31">
        <v>44694</v>
      </c>
      <c r="O82" s="30" t="s">
        <v>114</v>
      </c>
    </row>
    <row r="83" spans="1:15" s="30" customFormat="1" ht="15" customHeight="1" x14ac:dyDescent="0.25">
      <c r="B83" s="30" t="s">
        <v>165</v>
      </c>
      <c r="C83" s="30" t="s">
        <v>6</v>
      </c>
      <c r="D83" s="30" t="s">
        <v>11</v>
      </c>
      <c r="E83" s="30" t="s">
        <v>15</v>
      </c>
      <c r="F83" s="11"/>
      <c r="G83" s="30">
        <v>2</v>
      </c>
      <c r="H83" s="30" t="s">
        <v>396</v>
      </c>
      <c r="I83" s="21" t="s">
        <v>33</v>
      </c>
      <c r="J83" s="21" t="s">
        <v>790</v>
      </c>
      <c r="K83" s="30" t="s">
        <v>107</v>
      </c>
      <c r="L83" s="32">
        <v>40</v>
      </c>
      <c r="M83" s="22">
        <v>43.77</v>
      </c>
      <c r="N83" s="31">
        <v>44694</v>
      </c>
      <c r="O83" s="30" t="s">
        <v>114</v>
      </c>
    </row>
    <row r="84" spans="1:15" s="69" customFormat="1" ht="15" customHeight="1" x14ac:dyDescent="0.25">
      <c r="A84" s="30"/>
      <c r="B84" s="30" t="s">
        <v>165</v>
      </c>
      <c r="C84" s="30" t="s">
        <v>6</v>
      </c>
      <c r="D84" s="30" t="s">
        <v>11</v>
      </c>
      <c r="E84" s="30" t="s">
        <v>15</v>
      </c>
      <c r="F84" s="11"/>
      <c r="G84" s="30">
        <v>2</v>
      </c>
      <c r="H84" s="30" t="s">
        <v>396</v>
      </c>
      <c r="I84" s="21" t="s">
        <v>33</v>
      </c>
      <c r="J84" s="21" t="s">
        <v>790</v>
      </c>
      <c r="K84" s="30" t="s">
        <v>107</v>
      </c>
      <c r="L84" s="32">
        <v>46</v>
      </c>
      <c r="M84" s="22">
        <v>49.25</v>
      </c>
      <c r="N84" s="31">
        <v>44694</v>
      </c>
      <c r="O84" s="30" t="s">
        <v>114</v>
      </c>
    </row>
    <row r="85" spans="1:15" s="30" customFormat="1" ht="15" customHeight="1" x14ac:dyDescent="0.25">
      <c r="B85" s="30" t="s">
        <v>165</v>
      </c>
      <c r="C85" s="30" t="s">
        <v>6</v>
      </c>
      <c r="D85" s="30" t="s">
        <v>11</v>
      </c>
      <c r="E85" s="30" t="s">
        <v>15</v>
      </c>
      <c r="F85" s="11"/>
      <c r="G85" s="30">
        <v>2</v>
      </c>
      <c r="H85" s="30" t="s">
        <v>27</v>
      </c>
      <c r="I85" s="21" t="s">
        <v>33</v>
      </c>
      <c r="J85" s="21" t="s">
        <v>773</v>
      </c>
      <c r="K85" s="30" t="s">
        <v>107</v>
      </c>
      <c r="L85" s="32">
        <v>38</v>
      </c>
      <c r="M85" s="22">
        <v>37.090000000000003</v>
      </c>
      <c r="N85" s="31">
        <v>44694</v>
      </c>
      <c r="O85" s="30" t="s">
        <v>114</v>
      </c>
    </row>
    <row r="86" spans="1:15" s="30" customFormat="1" ht="15" customHeight="1" x14ac:dyDescent="0.25">
      <c r="B86" s="30" t="s">
        <v>168</v>
      </c>
      <c r="C86" s="30" t="s">
        <v>6</v>
      </c>
      <c r="D86" s="30" t="s">
        <v>11</v>
      </c>
      <c r="E86" s="30" t="s">
        <v>15</v>
      </c>
      <c r="F86" s="11"/>
      <c r="G86" s="30">
        <v>2</v>
      </c>
      <c r="H86" s="30" t="s">
        <v>27</v>
      </c>
      <c r="I86" s="21" t="s">
        <v>33</v>
      </c>
      <c r="J86" s="21" t="s">
        <v>809</v>
      </c>
      <c r="K86" s="30" t="s">
        <v>107</v>
      </c>
      <c r="L86" s="32">
        <v>2</v>
      </c>
      <c r="M86" s="22">
        <v>14.64</v>
      </c>
      <c r="N86" s="31">
        <v>44694</v>
      </c>
      <c r="O86" s="30" t="s">
        <v>114</v>
      </c>
    </row>
    <row r="87" spans="1:15" s="30" customFormat="1" ht="15" hidden="1" customHeight="1" x14ac:dyDescent="0.25">
      <c r="B87" s="30" t="s">
        <v>168</v>
      </c>
      <c r="C87" s="30" t="s">
        <v>6</v>
      </c>
      <c r="D87" s="30" t="s">
        <v>11</v>
      </c>
      <c r="E87" s="30" t="s">
        <v>15</v>
      </c>
      <c r="F87" s="11"/>
      <c r="G87" s="30">
        <v>2</v>
      </c>
      <c r="H87" s="30" t="s">
        <v>23</v>
      </c>
      <c r="I87" s="21" t="s">
        <v>33</v>
      </c>
      <c r="J87" s="21" t="s">
        <v>797</v>
      </c>
      <c r="L87" s="32"/>
      <c r="M87" s="22">
        <v>16.933</v>
      </c>
      <c r="N87" s="31"/>
    </row>
    <row r="88" spans="1:15" s="30" customFormat="1" ht="15" customHeight="1" x14ac:dyDescent="0.25">
      <c r="B88" s="30" t="s">
        <v>168</v>
      </c>
      <c r="C88" s="30" t="s">
        <v>6</v>
      </c>
      <c r="D88" s="30" t="s">
        <v>11</v>
      </c>
      <c r="E88" s="30" t="s">
        <v>15</v>
      </c>
      <c r="F88" s="11"/>
      <c r="G88" s="30">
        <v>2</v>
      </c>
      <c r="H88" s="30" t="s">
        <v>390</v>
      </c>
      <c r="I88" s="21" t="s">
        <v>33</v>
      </c>
      <c r="J88" s="21" t="s">
        <v>770</v>
      </c>
      <c r="K88" s="30" t="s">
        <v>107</v>
      </c>
      <c r="L88" s="32">
        <v>1</v>
      </c>
      <c r="M88" s="22">
        <v>8.42</v>
      </c>
      <c r="N88" s="31">
        <v>44694</v>
      </c>
      <c r="O88" s="30" t="s">
        <v>114</v>
      </c>
    </row>
    <row r="89" spans="1:15" s="30" customFormat="1" ht="15" customHeight="1" x14ac:dyDescent="0.25">
      <c r="B89" s="30" t="s">
        <v>168</v>
      </c>
      <c r="C89" s="30" t="s">
        <v>6</v>
      </c>
      <c r="D89" s="30" t="s">
        <v>11</v>
      </c>
      <c r="E89" s="30" t="s">
        <v>15</v>
      </c>
      <c r="F89" s="11"/>
      <c r="G89" s="30">
        <v>2</v>
      </c>
      <c r="H89" s="30" t="s">
        <v>23</v>
      </c>
      <c r="I89" s="20" t="s">
        <v>33</v>
      </c>
      <c r="J89" s="21" t="s">
        <v>769</v>
      </c>
      <c r="K89" s="30" t="s">
        <v>107</v>
      </c>
      <c r="L89" s="32">
        <v>2</v>
      </c>
      <c r="M89" s="22">
        <v>25.56</v>
      </c>
      <c r="N89" s="31">
        <v>44694</v>
      </c>
      <c r="O89" s="30" t="s">
        <v>114</v>
      </c>
    </row>
    <row r="90" spans="1:15" s="30" customFormat="1" ht="28.5" customHeight="1" x14ac:dyDescent="0.25">
      <c r="B90" s="30" t="s">
        <v>168</v>
      </c>
      <c r="C90" s="30" t="s">
        <v>6</v>
      </c>
      <c r="D90" s="30" t="s">
        <v>11</v>
      </c>
      <c r="E90" s="30" t="s">
        <v>15</v>
      </c>
      <c r="F90" s="11"/>
      <c r="G90" s="30">
        <v>2</v>
      </c>
      <c r="H90" s="30" t="s">
        <v>398</v>
      </c>
      <c r="I90" s="20" t="s">
        <v>33</v>
      </c>
      <c r="J90" s="21" t="s">
        <v>792</v>
      </c>
      <c r="K90" s="30" t="s">
        <v>94</v>
      </c>
      <c r="L90" s="32">
        <v>0</v>
      </c>
      <c r="M90" s="22">
        <v>13.1</v>
      </c>
      <c r="N90" s="31">
        <v>44694</v>
      </c>
      <c r="O90" s="30" t="s">
        <v>114</v>
      </c>
    </row>
    <row r="91" spans="1:15" s="30" customFormat="1" ht="28.5" customHeight="1" x14ac:dyDescent="0.25">
      <c r="B91" s="30" t="s">
        <v>168</v>
      </c>
      <c r="C91" s="30" t="s">
        <v>6</v>
      </c>
      <c r="D91" s="30" t="s">
        <v>11</v>
      </c>
      <c r="E91" s="30" t="s">
        <v>15</v>
      </c>
      <c r="F91" s="11"/>
      <c r="G91" s="30">
        <v>2</v>
      </c>
      <c r="H91" s="30" t="s">
        <v>23</v>
      </c>
      <c r="I91" s="20" t="s">
        <v>33</v>
      </c>
      <c r="J91" s="21" t="s">
        <v>771</v>
      </c>
      <c r="K91" s="30" t="s">
        <v>107</v>
      </c>
      <c r="L91" s="32">
        <v>10</v>
      </c>
      <c r="M91" s="22">
        <v>32.049999999999997</v>
      </c>
      <c r="N91" s="31">
        <v>44694</v>
      </c>
      <c r="O91" s="30" t="s">
        <v>114</v>
      </c>
    </row>
    <row r="92" spans="1:15" s="30" customFormat="1" ht="29.25" hidden="1" customHeight="1" x14ac:dyDescent="0.25">
      <c r="B92" s="30" t="s">
        <v>168</v>
      </c>
      <c r="C92" s="30" t="s">
        <v>6</v>
      </c>
      <c r="D92" s="30" t="s">
        <v>11</v>
      </c>
      <c r="E92" s="30" t="s">
        <v>15</v>
      </c>
      <c r="F92" s="11"/>
      <c r="G92" s="30">
        <v>2</v>
      </c>
      <c r="H92" s="30" t="s">
        <v>389</v>
      </c>
      <c r="I92" s="20" t="s">
        <v>33</v>
      </c>
      <c r="J92" s="21" t="s">
        <v>606</v>
      </c>
      <c r="K92" s="30" t="s">
        <v>107</v>
      </c>
      <c r="L92" s="32"/>
      <c r="M92" s="22">
        <v>9.85</v>
      </c>
      <c r="N92" s="31"/>
    </row>
    <row r="93" spans="1:15" s="30" customFormat="1" ht="30.75" hidden="1" customHeight="1" x14ac:dyDescent="0.25">
      <c r="B93" s="30" t="s">
        <v>168</v>
      </c>
      <c r="C93" s="30" t="s">
        <v>6</v>
      </c>
      <c r="D93" s="30" t="s">
        <v>11</v>
      </c>
      <c r="E93" s="30" t="s">
        <v>15</v>
      </c>
      <c r="F93" s="11"/>
      <c r="G93" s="30">
        <v>2</v>
      </c>
      <c r="H93" s="30" t="s">
        <v>23</v>
      </c>
      <c r="I93" s="20" t="s">
        <v>33</v>
      </c>
      <c r="J93" s="21" t="s">
        <v>772</v>
      </c>
      <c r="K93" s="30" t="s">
        <v>107</v>
      </c>
      <c r="L93" s="32">
        <v>417</v>
      </c>
      <c r="M93" s="22">
        <v>17.72</v>
      </c>
      <c r="N93" s="31"/>
    </row>
    <row r="94" spans="1:15" s="30" customFormat="1" ht="15" customHeight="1" x14ac:dyDescent="0.25">
      <c r="B94" s="30" t="s">
        <v>165</v>
      </c>
      <c r="C94" s="30" t="s">
        <v>6</v>
      </c>
      <c r="D94" s="30" t="s">
        <v>11</v>
      </c>
      <c r="E94" s="30" t="s">
        <v>15</v>
      </c>
      <c r="F94" s="11" t="s">
        <v>143</v>
      </c>
      <c r="G94" s="30">
        <v>2</v>
      </c>
      <c r="H94" s="30" t="s">
        <v>396</v>
      </c>
      <c r="I94" s="21" t="s">
        <v>58</v>
      </c>
      <c r="J94" s="21" t="s">
        <v>137</v>
      </c>
      <c r="K94" s="30" t="s">
        <v>90</v>
      </c>
      <c r="L94" s="32">
        <v>30</v>
      </c>
      <c r="M94" s="22">
        <v>56.99</v>
      </c>
      <c r="N94" s="31">
        <v>44694</v>
      </c>
      <c r="O94" s="30" t="s">
        <v>114</v>
      </c>
    </row>
    <row r="95" spans="1:15" s="30" customFormat="1" ht="15" customHeight="1" x14ac:dyDescent="0.25">
      <c r="B95" s="30" t="s">
        <v>165</v>
      </c>
      <c r="C95" s="30" t="s">
        <v>6</v>
      </c>
      <c r="D95" s="30" t="s">
        <v>11</v>
      </c>
      <c r="E95" s="30" t="s">
        <v>15</v>
      </c>
      <c r="F95" s="11" t="s">
        <v>146</v>
      </c>
      <c r="G95" s="30">
        <v>2</v>
      </c>
      <c r="H95" s="30" t="s">
        <v>23</v>
      </c>
      <c r="I95" s="21" t="s">
        <v>33</v>
      </c>
      <c r="J95" s="21" t="s">
        <v>774</v>
      </c>
      <c r="K95" s="30" t="s">
        <v>90</v>
      </c>
      <c r="L95" s="32">
        <v>40</v>
      </c>
      <c r="M95" s="22">
        <v>23.55</v>
      </c>
      <c r="N95" s="31">
        <v>44694</v>
      </c>
      <c r="O95" s="30" t="s">
        <v>114</v>
      </c>
    </row>
    <row r="96" spans="1:15" s="30" customFormat="1" ht="15" customHeight="1" x14ac:dyDescent="0.25">
      <c r="B96" s="30" t="s">
        <v>165</v>
      </c>
      <c r="C96" s="30" t="s">
        <v>6</v>
      </c>
      <c r="D96" s="30" t="s">
        <v>11</v>
      </c>
      <c r="E96" s="30" t="s">
        <v>15</v>
      </c>
      <c r="F96" s="11"/>
      <c r="H96" s="30" t="s">
        <v>23</v>
      </c>
      <c r="I96" s="21" t="s">
        <v>33</v>
      </c>
      <c r="J96" s="21" t="s">
        <v>775</v>
      </c>
      <c r="K96" s="30" t="s">
        <v>90</v>
      </c>
      <c r="L96" s="32"/>
      <c r="M96" s="22">
        <v>23.78</v>
      </c>
      <c r="N96" s="31"/>
      <c r="O96" s="30" t="s">
        <v>114</v>
      </c>
    </row>
    <row r="97" spans="1:15" s="30" customFormat="1" ht="15" customHeight="1" x14ac:dyDescent="0.25">
      <c r="B97" s="30" t="s">
        <v>165</v>
      </c>
      <c r="C97" s="30" t="s">
        <v>6</v>
      </c>
      <c r="D97" s="30" t="s">
        <v>11</v>
      </c>
      <c r="E97" s="30" t="s">
        <v>15</v>
      </c>
      <c r="F97" s="11" t="s">
        <v>147</v>
      </c>
      <c r="G97" s="30">
        <v>2</v>
      </c>
      <c r="H97" s="30" t="s">
        <v>26</v>
      </c>
      <c r="I97" s="21" t="s">
        <v>32</v>
      </c>
      <c r="J97" s="21" t="s">
        <v>138</v>
      </c>
      <c r="K97" s="30" t="s">
        <v>90</v>
      </c>
      <c r="L97" s="32">
        <v>40</v>
      </c>
      <c r="M97" s="22">
        <v>57.33</v>
      </c>
      <c r="N97" s="31">
        <v>44694</v>
      </c>
      <c r="O97" s="30" t="s">
        <v>114</v>
      </c>
    </row>
    <row r="98" spans="1:15" s="30" customFormat="1" ht="30.75" customHeight="1" x14ac:dyDescent="0.25">
      <c r="B98" s="30" t="s">
        <v>165</v>
      </c>
      <c r="C98" s="30" t="s">
        <v>6</v>
      </c>
      <c r="D98" s="30" t="s">
        <v>11</v>
      </c>
      <c r="E98" s="30" t="s">
        <v>15</v>
      </c>
      <c r="F98" s="11" t="s">
        <v>148</v>
      </c>
      <c r="G98" s="30">
        <v>2</v>
      </c>
      <c r="H98" s="30" t="s">
        <v>26</v>
      </c>
      <c r="I98" s="21" t="s">
        <v>32</v>
      </c>
      <c r="J98" s="21" t="s">
        <v>138</v>
      </c>
      <c r="K98" s="30" t="s">
        <v>90</v>
      </c>
      <c r="L98" s="32">
        <v>54</v>
      </c>
      <c r="M98" s="22">
        <v>60.03</v>
      </c>
      <c r="N98" s="31">
        <v>44694</v>
      </c>
      <c r="O98" s="30" t="s">
        <v>114</v>
      </c>
    </row>
    <row r="99" spans="1:15" s="30" customFormat="1" ht="15" customHeight="1" x14ac:dyDescent="0.25">
      <c r="B99" s="30" t="s">
        <v>169</v>
      </c>
      <c r="C99" s="30" t="s">
        <v>6</v>
      </c>
      <c r="D99" s="30" t="s">
        <v>11</v>
      </c>
      <c r="E99" s="30" t="s">
        <v>15</v>
      </c>
      <c r="F99" s="11"/>
      <c r="G99" s="30">
        <v>2</v>
      </c>
      <c r="H99" s="30" t="s">
        <v>391</v>
      </c>
      <c r="I99" s="21" t="s">
        <v>68</v>
      </c>
      <c r="J99" s="21" t="s">
        <v>134</v>
      </c>
      <c r="K99" s="30" t="s">
        <v>107</v>
      </c>
      <c r="L99" s="32">
        <v>20</v>
      </c>
      <c r="M99" s="22">
        <v>30.38</v>
      </c>
      <c r="N99" s="31">
        <v>44694</v>
      </c>
      <c r="O99" s="30" t="s">
        <v>114</v>
      </c>
    </row>
    <row r="100" spans="1:15" s="30" customFormat="1" ht="15" customHeight="1" x14ac:dyDescent="0.25">
      <c r="B100" s="30" t="s">
        <v>170</v>
      </c>
      <c r="C100" s="30" t="s">
        <v>6</v>
      </c>
      <c r="D100" s="30" t="s">
        <v>11</v>
      </c>
      <c r="E100" s="30" t="s">
        <v>15</v>
      </c>
      <c r="F100" s="11"/>
      <c r="G100" s="30">
        <v>2</v>
      </c>
      <c r="H100" s="30" t="s">
        <v>394</v>
      </c>
      <c r="I100" s="21" t="s">
        <v>68</v>
      </c>
      <c r="J100" s="21" t="s">
        <v>133</v>
      </c>
      <c r="K100" s="30" t="s">
        <v>94</v>
      </c>
      <c r="L100" s="32">
        <v>0</v>
      </c>
      <c r="M100" s="22">
        <v>19.21</v>
      </c>
      <c r="N100" s="31">
        <v>44694</v>
      </c>
      <c r="O100" s="30" t="s">
        <v>114</v>
      </c>
    </row>
    <row r="101" spans="1:15" s="30" customFormat="1" ht="30" x14ac:dyDescent="0.25">
      <c r="B101" s="30" t="s">
        <v>170</v>
      </c>
      <c r="C101" s="30" t="s">
        <v>6</v>
      </c>
      <c r="D101" s="30" t="s">
        <v>11</v>
      </c>
      <c r="E101" s="30" t="s">
        <v>15</v>
      </c>
      <c r="F101" s="11"/>
      <c r="G101" s="30">
        <v>2</v>
      </c>
      <c r="H101" s="30" t="s">
        <v>394</v>
      </c>
      <c r="I101" s="21" t="s">
        <v>68</v>
      </c>
      <c r="J101" s="21" t="s">
        <v>98</v>
      </c>
      <c r="K101" s="30" t="s">
        <v>94</v>
      </c>
      <c r="L101" s="32">
        <v>0</v>
      </c>
      <c r="M101" s="22">
        <v>210.05</v>
      </c>
      <c r="N101" s="31">
        <v>44694</v>
      </c>
      <c r="O101" s="30" t="s">
        <v>114</v>
      </c>
    </row>
    <row r="102" spans="1:15" s="30" customFormat="1" ht="15" customHeight="1" x14ac:dyDescent="0.25">
      <c r="B102" s="30" t="s">
        <v>170</v>
      </c>
      <c r="C102" s="30" t="s">
        <v>6</v>
      </c>
      <c r="D102" s="30" t="s">
        <v>11</v>
      </c>
      <c r="E102" s="30" t="s">
        <v>15</v>
      </c>
      <c r="F102" s="11"/>
      <c r="G102" s="30">
        <v>2</v>
      </c>
      <c r="H102" s="30" t="s">
        <v>394</v>
      </c>
      <c r="I102" s="21" t="s">
        <v>68</v>
      </c>
      <c r="J102" s="21" t="s">
        <v>264</v>
      </c>
      <c r="K102" s="30" t="s">
        <v>94</v>
      </c>
      <c r="L102" s="32">
        <v>0</v>
      </c>
      <c r="M102" s="22">
        <v>5.65</v>
      </c>
      <c r="N102" s="31">
        <v>44694</v>
      </c>
      <c r="O102" s="30" t="s">
        <v>114</v>
      </c>
    </row>
    <row r="103" spans="1:15" s="30" customFormat="1" ht="15" customHeight="1" x14ac:dyDescent="0.25">
      <c r="B103" s="30" t="s">
        <v>165</v>
      </c>
      <c r="C103" s="30" t="s">
        <v>6</v>
      </c>
      <c r="D103" s="30" t="s">
        <v>11</v>
      </c>
      <c r="E103" s="30" t="s">
        <v>15</v>
      </c>
      <c r="F103" s="11"/>
      <c r="G103" s="30">
        <v>2</v>
      </c>
      <c r="H103" s="30" t="s">
        <v>258</v>
      </c>
      <c r="I103" s="21" t="s">
        <v>35</v>
      </c>
      <c r="J103" s="21" t="s">
        <v>810</v>
      </c>
      <c r="K103" s="30" t="s">
        <v>116</v>
      </c>
      <c r="L103" s="32">
        <v>24</v>
      </c>
      <c r="M103" s="22">
        <v>34.270000000000003</v>
      </c>
      <c r="N103" s="31">
        <v>44694</v>
      </c>
      <c r="O103" s="30" t="s">
        <v>114</v>
      </c>
    </row>
    <row r="104" spans="1:15" s="30" customFormat="1" ht="15" customHeight="1" x14ac:dyDescent="0.25">
      <c r="A104" s="69"/>
      <c r="B104" s="69" t="s">
        <v>165</v>
      </c>
      <c r="C104" s="69" t="s">
        <v>6</v>
      </c>
      <c r="D104" s="69" t="s">
        <v>11</v>
      </c>
      <c r="E104" s="69" t="s">
        <v>15</v>
      </c>
      <c r="F104" s="70"/>
      <c r="G104" s="69">
        <v>2</v>
      </c>
      <c r="H104" s="69" t="s">
        <v>393</v>
      </c>
      <c r="I104" s="71" t="s">
        <v>32</v>
      </c>
      <c r="J104" s="71" t="s">
        <v>136</v>
      </c>
      <c r="K104" s="69" t="s">
        <v>90</v>
      </c>
      <c r="L104" s="72">
        <v>30</v>
      </c>
      <c r="M104" s="73">
        <v>47.13</v>
      </c>
      <c r="N104" s="232">
        <v>44694</v>
      </c>
      <c r="O104" s="69" t="s">
        <v>114</v>
      </c>
    </row>
    <row r="105" spans="1:15" s="30" customFormat="1" ht="15" customHeight="1" x14ac:dyDescent="0.25">
      <c r="B105" s="30" t="s">
        <v>165</v>
      </c>
      <c r="C105" s="30" t="s">
        <v>6</v>
      </c>
      <c r="D105" s="30" t="s">
        <v>11</v>
      </c>
      <c r="E105" s="30" t="s">
        <v>15</v>
      </c>
      <c r="F105" s="11"/>
      <c r="G105" s="30">
        <v>2</v>
      </c>
      <c r="H105" s="30" t="s">
        <v>389</v>
      </c>
      <c r="I105" s="21" t="s">
        <v>32</v>
      </c>
      <c r="J105" s="21" t="s">
        <v>865</v>
      </c>
      <c r="K105" s="30" t="s">
        <v>90</v>
      </c>
      <c r="L105" s="32">
        <v>24</v>
      </c>
      <c r="M105" s="22">
        <v>31.63</v>
      </c>
      <c r="N105" s="31">
        <v>44694</v>
      </c>
      <c r="O105" s="30" t="s">
        <v>114</v>
      </c>
    </row>
    <row r="106" spans="1:15" s="30" customFormat="1" ht="15" customHeight="1" x14ac:dyDescent="0.25">
      <c r="B106" s="30" t="s">
        <v>169</v>
      </c>
      <c r="C106" s="30" t="s">
        <v>6</v>
      </c>
      <c r="D106" s="30" t="s">
        <v>11</v>
      </c>
      <c r="E106" s="30" t="s">
        <v>15</v>
      </c>
      <c r="F106" s="11"/>
      <c r="G106" s="30">
        <v>2</v>
      </c>
      <c r="H106" s="30" t="s">
        <v>399</v>
      </c>
      <c r="I106" s="21" t="s">
        <v>68</v>
      </c>
      <c r="J106" s="21" t="s">
        <v>151</v>
      </c>
      <c r="K106" s="30" t="s">
        <v>94</v>
      </c>
      <c r="L106" s="32">
        <v>4</v>
      </c>
      <c r="M106" s="22">
        <v>11.12</v>
      </c>
      <c r="N106" s="31">
        <v>44694</v>
      </c>
      <c r="O106" s="30" t="s">
        <v>114</v>
      </c>
    </row>
    <row r="107" spans="1:15" s="30" customFormat="1" ht="15" customHeight="1" x14ac:dyDescent="0.25">
      <c r="B107" s="30" t="s">
        <v>169</v>
      </c>
      <c r="C107" s="30" t="s">
        <v>6</v>
      </c>
      <c r="D107" s="30" t="s">
        <v>11</v>
      </c>
      <c r="E107" s="30" t="s">
        <v>15</v>
      </c>
      <c r="F107" s="11"/>
      <c r="G107" s="30">
        <v>2</v>
      </c>
      <c r="H107" s="30" t="s">
        <v>399</v>
      </c>
      <c r="I107" s="21" t="s">
        <v>68</v>
      </c>
      <c r="J107" s="21" t="s">
        <v>152</v>
      </c>
      <c r="K107" s="30" t="s">
        <v>94</v>
      </c>
      <c r="L107" s="32">
        <v>4</v>
      </c>
      <c r="M107" s="22">
        <v>10.69</v>
      </c>
      <c r="N107" s="31">
        <v>44694</v>
      </c>
      <c r="O107" s="30" t="s">
        <v>114</v>
      </c>
    </row>
    <row r="108" spans="1:15" s="30" customFormat="1" ht="15" customHeight="1" x14ac:dyDescent="0.25">
      <c r="B108" s="30" t="s">
        <v>168</v>
      </c>
      <c r="C108" s="30" t="s">
        <v>6</v>
      </c>
      <c r="D108" s="30" t="s">
        <v>11</v>
      </c>
      <c r="E108" s="30" t="s">
        <v>15</v>
      </c>
      <c r="F108" s="11"/>
      <c r="G108" s="30">
        <v>2</v>
      </c>
      <c r="H108" s="30" t="s">
        <v>398</v>
      </c>
      <c r="I108" s="21" t="s">
        <v>68</v>
      </c>
      <c r="J108" s="21" t="s">
        <v>325</v>
      </c>
      <c r="K108" s="30" t="s">
        <v>94</v>
      </c>
      <c r="L108" s="32">
        <v>1</v>
      </c>
      <c r="M108" s="22">
        <v>2.3199999999999998</v>
      </c>
      <c r="N108" s="31">
        <v>44694</v>
      </c>
      <c r="O108" s="30" t="s">
        <v>114</v>
      </c>
    </row>
    <row r="109" spans="1:15" s="30" customFormat="1" ht="15" customHeight="1" x14ac:dyDescent="0.25">
      <c r="B109" s="30" t="s">
        <v>168</v>
      </c>
      <c r="C109" s="30" t="s">
        <v>6</v>
      </c>
      <c r="D109" s="30" t="s">
        <v>11</v>
      </c>
      <c r="E109" s="30" t="s">
        <v>15</v>
      </c>
      <c r="F109" s="11"/>
      <c r="G109" s="30">
        <v>2</v>
      </c>
      <c r="H109" s="30" t="s">
        <v>390</v>
      </c>
      <c r="I109" s="21" t="s">
        <v>68</v>
      </c>
      <c r="J109" s="21" t="s">
        <v>326</v>
      </c>
      <c r="K109" s="30" t="s">
        <v>94</v>
      </c>
      <c r="L109" s="32">
        <v>0</v>
      </c>
      <c r="M109" s="22">
        <v>10.73</v>
      </c>
      <c r="N109" s="31">
        <v>44694</v>
      </c>
      <c r="O109" s="30" t="s">
        <v>114</v>
      </c>
    </row>
    <row r="110" spans="1:15" s="30" customFormat="1" ht="15" customHeight="1" x14ac:dyDescent="0.25">
      <c r="B110" s="30" t="s">
        <v>168</v>
      </c>
      <c r="C110" s="30" t="s">
        <v>6</v>
      </c>
      <c r="D110" s="30" t="s">
        <v>11</v>
      </c>
      <c r="E110" s="30" t="s">
        <v>15</v>
      </c>
      <c r="F110" s="11"/>
      <c r="G110" s="30">
        <v>2</v>
      </c>
      <c r="H110" s="30" t="s">
        <v>23</v>
      </c>
      <c r="I110" s="21" t="s">
        <v>33</v>
      </c>
      <c r="J110" s="21" t="s">
        <v>787</v>
      </c>
      <c r="K110" s="30" t="s">
        <v>107</v>
      </c>
      <c r="L110" s="32">
        <v>2</v>
      </c>
      <c r="M110" s="22">
        <v>21.81</v>
      </c>
      <c r="N110" s="31">
        <v>44694</v>
      </c>
      <c r="O110" s="30" t="s">
        <v>114</v>
      </c>
    </row>
    <row r="111" spans="1:15" s="30" customFormat="1" ht="15" customHeight="1" x14ac:dyDescent="0.25">
      <c r="B111" s="30" t="s">
        <v>168</v>
      </c>
      <c r="C111" s="30" t="s">
        <v>6</v>
      </c>
      <c r="D111" s="30" t="s">
        <v>11</v>
      </c>
      <c r="E111" s="30" t="s">
        <v>15</v>
      </c>
      <c r="F111" s="11"/>
      <c r="G111" s="30">
        <v>2</v>
      </c>
      <c r="H111" s="30" t="s">
        <v>23</v>
      </c>
      <c r="I111" s="20" t="s">
        <v>33</v>
      </c>
      <c r="J111" s="21" t="s">
        <v>788</v>
      </c>
      <c r="K111" s="30" t="s">
        <v>90</v>
      </c>
      <c r="L111" s="32">
        <v>2</v>
      </c>
      <c r="M111" s="22">
        <v>17.649999999999999</v>
      </c>
      <c r="N111" s="31">
        <v>44694</v>
      </c>
      <c r="O111" s="30" t="s">
        <v>114</v>
      </c>
    </row>
    <row r="112" spans="1:15" s="30" customFormat="1" ht="15" customHeight="1" x14ac:dyDescent="0.25">
      <c r="B112" s="30" t="s">
        <v>168</v>
      </c>
      <c r="C112" s="30" t="s">
        <v>6</v>
      </c>
      <c r="D112" s="30" t="s">
        <v>11</v>
      </c>
      <c r="E112" s="30" t="s">
        <v>15</v>
      </c>
      <c r="F112" s="11"/>
      <c r="G112" s="30">
        <v>2</v>
      </c>
      <c r="H112" s="30" t="s">
        <v>30</v>
      </c>
      <c r="I112" s="20" t="s">
        <v>33</v>
      </c>
      <c r="J112" s="21" t="s">
        <v>30</v>
      </c>
      <c r="K112" s="30" t="s">
        <v>94</v>
      </c>
      <c r="L112" s="32">
        <v>0</v>
      </c>
      <c r="M112" s="22">
        <v>11.07</v>
      </c>
      <c r="N112" s="31">
        <v>44694</v>
      </c>
      <c r="O112" s="30" t="s">
        <v>114</v>
      </c>
    </row>
    <row r="113" spans="2:15" s="30" customFormat="1" ht="15" customHeight="1" x14ac:dyDescent="0.25">
      <c r="B113" s="30" t="s">
        <v>168</v>
      </c>
      <c r="C113" s="30" t="s">
        <v>6</v>
      </c>
      <c r="D113" s="30" t="s">
        <v>11</v>
      </c>
      <c r="E113" s="30" t="s">
        <v>15</v>
      </c>
      <c r="F113" s="11"/>
      <c r="G113" s="30">
        <v>2</v>
      </c>
      <c r="H113" s="30" t="s">
        <v>23</v>
      </c>
      <c r="I113" s="20" t="s">
        <v>33</v>
      </c>
      <c r="J113" s="21" t="s">
        <v>776</v>
      </c>
      <c r="K113" s="30" t="s">
        <v>107</v>
      </c>
      <c r="L113" s="32">
        <v>15</v>
      </c>
      <c r="M113" s="22">
        <v>19.13</v>
      </c>
      <c r="N113" s="31">
        <v>44694</v>
      </c>
      <c r="O113" s="30" t="s">
        <v>114</v>
      </c>
    </row>
    <row r="114" spans="2:15" s="30" customFormat="1" ht="15" customHeight="1" x14ac:dyDescent="0.25">
      <c r="B114" s="30" t="s">
        <v>165</v>
      </c>
      <c r="C114" s="30" t="s">
        <v>6</v>
      </c>
      <c r="D114" s="30" t="s">
        <v>11</v>
      </c>
      <c r="E114" s="30" t="s">
        <v>16</v>
      </c>
      <c r="F114" s="11"/>
      <c r="G114" s="30">
        <v>2</v>
      </c>
      <c r="H114" s="30" t="s">
        <v>23</v>
      </c>
      <c r="I114" s="21" t="s">
        <v>69</v>
      </c>
      <c r="J114" s="21" t="s">
        <v>613</v>
      </c>
      <c r="K114" s="30" t="s">
        <v>107</v>
      </c>
      <c r="L114" s="32">
        <v>41</v>
      </c>
      <c r="M114" s="22">
        <v>35.479999999999997</v>
      </c>
      <c r="N114" s="31">
        <v>44698</v>
      </c>
      <c r="O114" s="30" t="s">
        <v>114</v>
      </c>
    </row>
    <row r="115" spans="2:15" s="30" customFormat="1" ht="15" customHeight="1" x14ac:dyDescent="0.25">
      <c r="B115" s="30" t="s">
        <v>165</v>
      </c>
      <c r="C115" s="30" t="s">
        <v>6</v>
      </c>
      <c r="D115" s="30" t="s">
        <v>11</v>
      </c>
      <c r="E115" s="30" t="s">
        <v>16</v>
      </c>
      <c r="F115" s="11"/>
      <c r="G115" s="30">
        <v>2</v>
      </c>
      <c r="H115" s="30" t="s">
        <v>391</v>
      </c>
      <c r="I115" s="21" t="s">
        <v>69</v>
      </c>
      <c r="J115" s="21" t="s">
        <v>612</v>
      </c>
      <c r="K115" s="30" t="s">
        <v>107</v>
      </c>
      <c r="L115" s="32">
        <v>37</v>
      </c>
      <c r="M115" s="22">
        <v>35.44</v>
      </c>
      <c r="N115" s="31">
        <v>44698</v>
      </c>
      <c r="O115" s="30" t="s">
        <v>114</v>
      </c>
    </row>
    <row r="116" spans="2:15" s="30" customFormat="1" ht="15" customHeight="1" x14ac:dyDescent="0.25">
      <c r="B116" s="30" t="s">
        <v>165</v>
      </c>
      <c r="C116" s="30" t="s">
        <v>6</v>
      </c>
      <c r="D116" s="30" t="s">
        <v>11</v>
      </c>
      <c r="E116" s="30" t="s">
        <v>16</v>
      </c>
      <c r="F116" s="11"/>
      <c r="G116" s="30">
        <v>2</v>
      </c>
      <c r="H116" s="30" t="s">
        <v>389</v>
      </c>
      <c r="I116" s="21" t="s">
        <v>64</v>
      </c>
      <c r="J116" s="21" t="s">
        <v>606</v>
      </c>
      <c r="K116" s="30" t="s">
        <v>107</v>
      </c>
      <c r="L116" s="32">
        <v>36</v>
      </c>
      <c r="M116" s="22">
        <v>37.26</v>
      </c>
      <c r="N116" s="31">
        <v>44698</v>
      </c>
      <c r="O116" s="30" t="s">
        <v>114</v>
      </c>
    </row>
    <row r="117" spans="2:15" s="30" customFormat="1" ht="15" customHeight="1" x14ac:dyDescent="0.25">
      <c r="B117" s="30" t="s">
        <v>165</v>
      </c>
      <c r="C117" s="30" t="s">
        <v>6</v>
      </c>
      <c r="D117" s="30" t="s">
        <v>11</v>
      </c>
      <c r="E117" s="30" t="s">
        <v>16</v>
      </c>
      <c r="F117" s="11"/>
      <c r="G117" s="30">
        <v>2</v>
      </c>
      <c r="H117" s="30" t="s">
        <v>396</v>
      </c>
      <c r="I117" s="21" t="s">
        <v>58</v>
      </c>
      <c r="J117" s="21" t="s">
        <v>153</v>
      </c>
      <c r="K117" s="30" t="s">
        <v>107</v>
      </c>
      <c r="L117" s="32">
        <v>50</v>
      </c>
      <c r="M117" s="22">
        <v>86.05</v>
      </c>
      <c r="N117" s="31">
        <v>44698</v>
      </c>
      <c r="O117" s="30" t="s">
        <v>114</v>
      </c>
    </row>
    <row r="118" spans="2:15" s="30" customFormat="1" ht="15" customHeight="1" x14ac:dyDescent="0.25">
      <c r="B118" s="30" t="s">
        <v>168</v>
      </c>
      <c r="C118" s="30" t="s">
        <v>6</v>
      </c>
      <c r="D118" s="30" t="s">
        <v>11</v>
      </c>
      <c r="E118" s="30" t="s">
        <v>16</v>
      </c>
      <c r="F118" s="11"/>
      <c r="G118" s="30">
        <v>2</v>
      </c>
      <c r="H118" s="30" t="s">
        <v>23</v>
      </c>
      <c r="I118" s="21" t="s">
        <v>35</v>
      </c>
      <c r="J118" s="21" t="s">
        <v>442</v>
      </c>
      <c r="K118" s="30" t="s">
        <v>107</v>
      </c>
      <c r="L118" s="32">
        <v>2</v>
      </c>
      <c r="M118" s="22">
        <v>22.96</v>
      </c>
      <c r="N118" s="31">
        <v>44698</v>
      </c>
      <c r="O118" s="30" t="s">
        <v>114</v>
      </c>
    </row>
    <row r="119" spans="2:15" s="30" customFormat="1" ht="15" customHeight="1" x14ac:dyDescent="0.25">
      <c r="B119" s="30" t="s">
        <v>168</v>
      </c>
      <c r="C119" s="30" t="s">
        <v>6</v>
      </c>
      <c r="D119" s="30" t="s">
        <v>11</v>
      </c>
      <c r="E119" s="30" t="s">
        <v>16</v>
      </c>
      <c r="F119" s="11"/>
      <c r="G119" s="19">
        <v>3</v>
      </c>
      <c r="H119" s="30" t="s">
        <v>23</v>
      </c>
      <c r="I119" s="21" t="s">
        <v>51</v>
      </c>
      <c r="J119" s="21" t="s">
        <v>443</v>
      </c>
      <c r="K119" s="30" t="s">
        <v>107</v>
      </c>
      <c r="L119" s="32">
        <v>9</v>
      </c>
      <c r="M119" s="22">
        <v>83.43</v>
      </c>
      <c r="N119" s="31">
        <v>44698</v>
      </c>
      <c r="O119" s="30" t="s">
        <v>114</v>
      </c>
    </row>
    <row r="120" spans="2:15" s="30" customFormat="1" ht="15" customHeight="1" x14ac:dyDescent="0.25">
      <c r="B120" s="30" t="s">
        <v>168</v>
      </c>
      <c r="C120" s="30" t="s">
        <v>6</v>
      </c>
      <c r="D120" s="30" t="s">
        <v>11</v>
      </c>
      <c r="E120" s="30" t="s">
        <v>16</v>
      </c>
      <c r="F120" s="11"/>
      <c r="G120" s="19">
        <v>3</v>
      </c>
      <c r="H120" s="30" t="s">
        <v>23</v>
      </c>
      <c r="I120" s="21" t="s">
        <v>48</v>
      </c>
      <c r="J120" s="21" t="s">
        <v>444</v>
      </c>
      <c r="K120" s="30" t="s">
        <v>107</v>
      </c>
      <c r="L120" s="32">
        <v>5</v>
      </c>
      <c r="M120" s="22">
        <v>27.16</v>
      </c>
      <c r="N120" s="31">
        <v>44698</v>
      </c>
      <c r="O120" s="30" t="s">
        <v>114</v>
      </c>
    </row>
    <row r="121" spans="2:15" s="30" customFormat="1" ht="30" customHeight="1" x14ac:dyDescent="0.25">
      <c r="B121" s="30" t="s">
        <v>169</v>
      </c>
      <c r="C121" s="30" t="s">
        <v>6</v>
      </c>
      <c r="D121" s="30" t="s">
        <v>11</v>
      </c>
      <c r="E121" s="30" t="s">
        <v>16</v>
      </c>
      <c r="F121" s="11" t="s">
        <v>159</v>
      </c>
      <c r="G121" s="19">
        <v>2</v>
      </c>
      <c r="H121" s="30" t="s">
        <v>391</v>
      </c>
      <c r="I121" s="21" t="s">
        <v>69</v>
      </c>
      <c r="J121" s="21" t="s">
        <v>371</v>
      </c>
      <c r="K121" s="30" t="s">
        <v>107</v>
      </c>
      <c r="L121" s="32">
        <v>10</v>
      </c>
      <c r="M121" s="22">
        <v>11.5</v>
      </c>
      <c r="N121" s="31">
        <v>44698</v>
      </c>
      <c r="O121" s="30" t="s">
        <v>114</v>
      </c>
    </row>
    <row r="122" spans="2:15" s="30" customFormat="1" ht="15" customHeight="1" x14ac:dyDescent="0.25">
      <c r="B122" s="30" t="s">
        <v>168</v>
      </c>
      <c r="C122" s="30" t="s">
        <v>6</v>
      </c>
      <c r="D122" s="30" t="s">
        <v>11</v>
      </c>
      <c r="E122" s="30" t="s">
        <v>16</v>
      </c>
      <c r="F122" s="11" t="s">
        <v>160</v>
      </c>
      <c r="G122" s="19">
        <v>2</v>
      </c>
      <c r="H122" s="30" t="s">
        <v>390</v>
      </c>
      <c r="I122" s="21" t="s">
        <v>38</v>
      </c>
      <c r="J122" s="21" t="s">
        <v>362</v>
      </c>
      <c r="K122" s="30" t="s">
        <v>94</v>
      </c>
      <c r="L122" s="32">
        <v>0</v>
      </c>
      <c r="M122" s="22">
        <v>5.98</v>
      </c>
      <c r="N122" s="31">
        <v>44698</v>
      </c>
      <c r="O122" s="30" t="s">
        <v>114</v>
      </c>
    </row>
    <row r="123" spans="2:15" s="30" customFormat="1" ht="15" customHeight="1" x14ac:dyDescent="0.25">
      <c r="B123" s="30" t="s">
        <v>169</v>
      </c>
      <c r="C123" s="30" t="s">
        <v>6</v>
      </c>
      <c r="D123" s="30" t="s">
        <v>11</v>
      </c>
      <c r="E123" s="30" t="s">
        <v>16</v>
      </c>
      <c r="F123" s="11" t="s">
        <v>158</v>
      </c>
      <c r="G123" s="19">
        <v>2</v>
      </c>
      <c r="H123" s="30" t="s">
        <v>391</v>
      </c>
      <c r="I123" s="21" t="s">
        <v>69</v>
      </c>
      <c r="J123" s="21" t="s">
        <v>426</v>
      </c>
      <c r="K123" s="30" t="s">
        <v>107</v>
      </c>
      <c r="L123" s="32">
        <v>0</v>
      </c>
      <c r="M123" s="22">
        <v>11.3</v>
      </c>
      <c r="N123" s="31">
        <v>44698</v>
      </c>
      <c r="O123" s="30" t="s">
        <v>114</v>
      </c>
    </row>
    <row r="124" spans="2:15" s="30" customFormat="1" ht="15" customHeight="1" x14ac:dyDescent="0.25">
      <c r="B124" s="30" t="s">
        <v>169</v>
      </c>
      <c r="C124" s="30" t="s">
        <v>6</v>
      </c>
      <c r="D124" s="30" t="s">
        <v>11</v>
      </c>
      <c r="E124" s="30" t="s">
        <v>16</v>
      </c>
      <c r="F124" s="11" t="s">
        <v>157</v>
      </c>
      <c r="G124" s="19">
        <v>2</v>
      </c>
      <c r="H124" s="30" t="s">
        <v>391</v>
      </c>
      <c r="I124" s="21" t="s">
        <v>69</v>
      </c>
      <c r="J124" s="21" t="s">
        <v>417</v>
      </c>
      <c r="K124" s="30" t="s">
        <v>107</v>
      </c>
      <c r="L124" s="32">
        <v>15</v>
      </c>
      <c r="M124" s="22">
        <v>70.56</v>
      </c>
      <c r="N124" s="31">
        <v>44698</v>
      </c>
      <c r="O124" s="30" t="s">
        <v>114</v>
      </c>
    </row>
    <row r="125" spans="2:15" s="30" customFormat="1" ht="15" customHeight="1" x14ac:dyDescent="0.25">
      <c r="B125" s="30" t="s">
        <v>167</v>
      </c>
      <c r="C125" s="30" t="s">
        <v>6</v>
      </c>
      <c r="D125" s="30" t="s">
        <v>11</v>
      </c>
      <c r="E125" s="30" t="s">
        <v>16</v>
      </c>
      <c r="F125" s="11"/>
      <c r="G125" s="19">
        <v>2</v>
      </c>
      <c r="H125" s="30" t="s">
        <v>22</v>
      </c>
      <c r="I125" s="21" t="s">
        <v>32</v>
      </c>
      <c r="J125" s="21" t="s">
        <v>154</v>
      </c>
      <c r="K125" s="30" t="s">
        <v>107</v>
      </c>
      <c r="L125" s="32">
        <v>80</v>
      </c>
      <c r="M125" s="22">
        <v>110</v>
      </c>
      <c r="N125" s="31">
        <v>44698</v>
      </c>
      <c r="O125" s="30" t="s">
        <v>114</v>
      </c>
    </row>
    <row r="126" spans="2:15" s="30" customFormat="1" ht="15" customHeight="1" x14ac:dyDescent="0.25">
      <c r="B126" s="30" t="s">
        <v>168</v>
      </c>
      <c r="C126" s="30" t="s">
        <v>6</v>
      </c>
      <c r="D126" s="30" t="s">
        <v>11</v>
      </c>
      <c r="E126" s="30" t="s">
        <v>16</v>
      </c>
      <c r="F126" s="11"/>
      <c r="G126" s="19" t="s">
        <v>273</v>
      </c>
      <c r="H126" s="30" t="s">
        <v>389</v>
      </c>
      <c r="I126" s="21" t="s">
        <v>64</v>
      </c>
      <c r="J126" s="21" t="s">
        <v>405</v>
      </c>
      <c r="K126" s="30" t="s">
        <v>94</v>
      </c>
      <c r="L126" s="32">
        <v>0</v>
      </c>
      <c r="M126" s="22">
        <v>44.73</v>
      </c>
      <c r="N126" s="31">
        <v>44698</v>
      </c>
      <c r="O126" s="30" t="s">
        <v>114</v>
      </c>
    </row>
    <row r="127" spans="2:15" s="30" customFormat="1" ht="15" customHeight="1" x14ac:dyDescent="0.25">
      <c r="B127" s="30" t="s">
        <v>168</v>
      </c>
      <c r="C127" s="30" t="s">
        <v>6</v>
      </c>
      <c r="D127" s="30" t="s">
        <v>11</v>
      </c>
      <c r="E127" s="30" t="s">
        <v>16</v>
      </c>
      <c r="F127" s="11"/>
      <c r="G127" s="19" t="s">
        <v>273</v>
      </c>
      <c r="H127" s="30" t="s">
        <v>389</v>
      </c>
      <c r="I127" s="21" t="s">
        <v>68</v>
      </c>
      <c r="J127" s="21" t="s">
        <v>104</v>
      </c>
      <c r="K127" s="30" t="s">
        <v>94</v>
      </c>
      <c r="L127" s="32">
        <v>0</v>
      </c>
      <c r="M127" s="22">
        <v>2.7</v>
      </c>
      <c r="N127" s="31">
        <v>44698</v>
      </c>
      <c r="O127" s="30" t="s">
        <v>114</v>
      </c>
    </row>
    <row r="128" spans="2:15" s="30" customFormat="1" ht="30" customHeight="1" x14ac:dyDescent="0.25">
      <c r="B128" s="30" t="s">
        <v>169</v>
      </c>
      <c r="C128" s="30" t="s">
        <v>6</v>
      </c>
      <c r="D128" s="30" t="s">
        <v>11</v>
      </c>
      <c r="E128" s="30" t="s">
        <v>16</v>
      </c>
      <c r="F128" s="11"/>
      <c r="G128" s="19" t="s">
        <v>273</v>
      </c>
      <c r="H128" s="30" t="s">
        <v>399</v>
      </c>
      <c r="I128" s="21" t="s">
        <v>68</v>
      </c>
      <c r="J128" s="21" t="s">
        <v>155</v>
      </c>
      <c r="K128" s="30" t="s">
        <v>94</v>
      </c>
      <c r="L128" s="32">
        <v>2</v>
      </c>
      <c r="M128" s="22">
        <v>9.25</v>
      </c>
      <c r="N128" s="31">
        <v>44698</v>
      </c>
      <c r="O128" s="30" t="s">
        <v>114</v>
      </c>
    </row>
    <row r="129" spans="2:15" s="30" customFormat="1" ht="15" customHeight="1" x14ac:dyDescent="0.25">
      <c r="B129" s="30" t="s">
        <v>169</v>
      </c>
      <c r="C129" s="30" t="s">
        <v>6</v>
      </c>
      <c r="D129" s="30" t="s">
        <v>11</v>
      </c>
      <c r="E129" s="30" t="s">
        <v>16</v>
      </c>
      <c r="F129" s="11"/>
      <c r="G129" s="30">
        <v>2</v>
      </c>
      <c r="H129" s="30" t="s">
        <v>399</v>
      </c>
      <c r="I129" s="21" t="s">
        <v>68</v>
      </c>
      <c r="J129" s="21" t="s">
        <v>373</v>
      </c>
      <c r="K129" s="30" t="s">
        <v>94</v>
      </c>
      <c r="L129" s="32">
        <v>1</v>
      </c>
      <c r="M129" s="22">
        <v>3.35</v>
      </c>
      <c r="N129" s="31">
        <v>44698</v>
      </c>
      <c r="O129" s="30" t="s">
        <v>114</v>
      </c>
    </row>
    <row r="130" spans="2:15" s="30" customFormat="1" ht="15" customHeight="1" x14ac:dyDescent="0.25">
      <c r="B130" s="30" t="s">
        <v>169</v>
      </c>
      <c r="C130" s="30" t="s">
        <v>6</v>
      </c>
      <c r="D130" s="30" t="s">
        <v>11</v>
      </c>
      <c r="E130" s="30" t="s">
        <v>16</v>
      </c>
      <c r="F130" s="11"/>
      <c r="G130" s="30">
        <v>2</v>
      </c>
      <c r="H130" s="30" t="s">
        <v>399</v>
      </c>
      <c r="I130" s="21" t="s">
        <v>68</v>
      </c>
      <c r="J130" s="21" t="s">
        <v>372</v>
      </c>
      <c r="K130" s="30" t="s">
        <v>94</v>
      </c>
      <c r="L130" s="32">
        <v>1</v>
      </c>
      <c r="M130" s="22">
        <v>3.35</v>
      </c>
      <c r="N130" s="31">
        <v>44698</v>
      </c>
      <c r="O130" s="30" t="s">
        <v>114</v>
      </c>
    </row>
    <row r="131" spans="2:15" s="30" customFormat="1" ht="15" customHeight="1" x14ac:dyDescent="0.25">
      <c r="B131" s="30" t="s">
        <v>170</v>
      </c>
      <c r="C131" s="30" t="s">
        <v>6</v>
      </c>
      <c r="D131" s="30" t="s">
        <v>11</v>
      </c>
      <c r="E131" s="30" t="s">
        <v>16</v>
      </c>
      <c r="F131" s="11"/>
      <c r="G131" s="30">
        <v>2</v>
      </c>
      <c r="H131" s="30" t="s">
        <v>394</v>
      </c>
      <c r="I131" s="21" t="s">
        <v>68</v>
      </c>
      <c r="J131" s="21" t="s">
        <v>98</v>
      </c>
      <c r="K131" s="30" t="s">
        <v>94</v>
      </c>
      <c r="L131" s="32">
        <v>0</v>
      </c>
      <c r="M131" s="22">
        <v>196</v>
      </c>
      <c r="N131" s="31">
        <v>44698</v>
      </c>
      <c r="O131" s="30" t="s">
        <v>114</v>
      </c>
    </row>
    <row r="132" spans="2:15" s="30" customFormat="1" ht="15" customHeight="1" x14ac:dyDescent="0.25">
      <c r="B132" s="30" t="s">
        <v>170</v>
      </c>
      <c r="C132" s="30" t="s">
        <v>6</v>
      </c>
      <c r="D132" s="30" t="s">
        <v>11</v>
      </c>
      <c r="E132" s="30" t="s">
        <v>16</v>
      </c>
      <c r="F132" s="11"/>
      <c r="G132" s="30">
        <v>2</v>
      </c>
      <c r="H132" s="30" t="s">
        <v>394</v>
      </c>
      <c r="I132" s="21" t="s">
        <v>68</v>
      </c>
      <c r="J132" s="21" t="s">
        <v>133</v>
      </c>
      <c r="K132" s="30" t="s">
        <v>94</v>
      </c>
      <c r="L132" s="32">
        <v>0</v>
      </c>
      <c r="M132" s="22">
        <v>20.55</v>
      </c>
      <c r="N132" s="31">
        <v>44698</v>
      </c>
      <c r="O132" s="30" t="s">
        <v>114</v>
      </c>
    </row>
    <row r="133" spans="2:15" s="30" customFormat="1" ht="30" customHeight="1" x14ac:dyDescent="0.25">
      <c r="B133" s="30" t="s">
        <v>170</v>
      </c>
      <c r="C133" s="30" t="s">
        <v>6</v>
      </c>
      <c r="D133" s="30" t="s">
        <v>11</v>
      </c>
      <c r="E133" s="30" t="s">
        <v>16</v>
      </c>
      <c r="F133" s="11"/>
      <c r="G133" s="30">
        <v>2</v>
      </c>
      <c r="H133" s="30" t="s">
        <v>183</v>
      </c>
      <c r="I133" s="21" t="s">
        <v>68</v>
      </c>
      <c r="J133" s="21" t="s">
        <v>221</v>
      </c>
      <c r="K133" s="30" t="s">
        <v>107</v>
      </c>
      <c r="L133" s="32">
        <v>0</v>
      </c>
      <c r="M133" s="22">
        <v>23.77</v>
      </c>
      <c r="N133" s="31">
        <v>44698</v>
      </c>
      <c r="O133" s="30" t="s">
        <v>114</v>
      </c>
    </row>
    <row r="134" spans="2:15" s="30" customFormat="1" ht="15" customHeight="1" x14ac:dyDescent="0.25">
      <c r="B134" s="30" t="s">
        <v>169</v>
      </c>
      <c r="C134" s="30" t="s">
        <v>6</v>
      </c>
      <c r="D134" s="30" t="s">
        <v>11</v>
      </c>
      <c r="E134" s="30" t="s">
        <v>16</v>
      </c>
      <c r="F134" s="11"/>
      <c r="G134" s="30">
        <v>3</v>
      </c>
      <c r="H134" s="30" t="s">
        <v>399</v>
      </c>
      <c r="I134" s="21" t="s">
        <v>68</v>
      </c>
      <c r="J134" s="21" t="s">
        <v>262</v>
      </c>
      <c r="K134" s="30" t="s">
        <v>94</v>
      </c>
      <c r="L134" s="32">
        <v>1</v>
      </c>
      <c r="M134" s="22">
        <v>2.94</v>
      </c>
      <c r="N134" s="31">
        <v>44698</v>
      </c>
      <c r="O134" s="30" t="s">
        <v>114</v>
      </c>
    </row>
    <row r="135" spans="2:15" s="30" customFormat="1" ht="45" x14ac:dyDescent="0.25">
      <c r="B135" s="30" t="s">
        <v>169</v>
      </c>
      <c r="C135" s="30" t="s">
        <v>6</v>
      </c>
      <c r="D135" s="30" t="s">
        <v>11</v>
      </c>
      <c r="E135" s="30" t="s">
        <v>16</v>
      </c>
      <c r="F135" s="11"/>
      <c r="G135" s="30">
        <v>3</v>
      </c>
      <c r="H135" s="30" t="s">
        <v>399</v>
      </c>
      <c r="I135" s="21" t="s">
        <v>68</v>
      </c>
      <c r="J135" s="21" t="s">
        <v>263</v>
      </c>
      <c r="K135" s="30" t="s">
        <v>94</v>
      </c>
      <c r="L135" s="32">
        <v>1</v>
      </c>
      <c r="M135" s="22">
        <v>2.19</v>
      </c>
      <c r="N135" s="31">
        <v>44698</v>
      </c>
      <c r="O135" s="30" t="s">
        <v>114</v>
      </c>
    </row>
    <row r="136" spans="2:15" s="30" customFormat="1" ht="15" customHeight="1" x14ac:dyDescent="0.25">
      <c r="B136" s="30" t="s">
        <v>170</v>
      </c>
      <c r="C136" s="30" t="s">
        <v>6</v>
      </c>
      <c r="D136" s="30" t="s">
        <v>11</v>
      </c>
      <c r="E136" s="30" t="s">
        <v>16</v>
      </c>
      <c r="F136" s="11"/>
      <c r="G136" s="30">
        <v>3</v>
      </c>
      <c r="H136" s="30" t="s">
        <v>174</v>
      </c>
      <c r="I136" s="21" t="s">
        <v>68</v>
      </c>
      <c r="J136" s="21" t="s">
        <v>321</v>
      </c>
      <c r="K136" s="30" t="s">
        <v>94</v>
      </c>
      <c r="L136" s="32">
        <v>0</v>
      </c>
      <c r="M136" s="22">
        <v>31.5</v>
      </c>
      <c r="N136" s="31">
        <v>44698</v>
      </c>
      <c r="O136" s="30" t="s">
        <v>114</v>
      </c>
    </row>
    <row r="137" spans="2:15" s="30" customFormat="1" ht="15" customHeight="1" x14ac:dyDescent="0.25">
      <c r="B137" s="30" t="s">
        <v>168</v>
      </c>
      <c r="C137" s="30" t="s">
        <v>6</v>
      </c>
      <c r="D137" s="30" t="s">
        <v>11</v>
      </c>
      <c r="E137" s="30" t="s">
        <v>16</v>
      </c>
      <c r="F137" s="11"/>
      <c r="G137" s="30">
        <v>2</v>
      </c>
      <c r="H137" s="30" t="s">
        <v>258</v>
      </c>
      <c r="I137" s="21" t="s">
        <v>129</v>
      </c>
      <c r="J137" s="21" t="s">
        <v>322</v>
      </c>
      <c r="K137" s="30" t="s">
        <v>94</v>
      </c>
      <c r="L137" s="32">
        <v>0</v>
      </c>
      <c r="M137" s="22">
        <v>2.7</v>
      </c>
      <c r="N137" s="31">
        <v>44698</v>
      </c>
      <c r="O137" s="30" t="s">
        <v>114</v>
      </c>
    </row>
    <row r="138" spans="2:15" s="30" customFormat="1" ht="15" customHeight="1" x14ac:dyDescent="0.25">
      <c r="B138" s="30" t="s">
        <v>168</v>
      </c>
      <c r="C138" s="30" t="s">
        <v>6</v>
      </c>
      <c r="D138" s="30" t="s">
        <v>11</v>
      </c>
      <c r="E138" s="30" t="s">
        <v>16</v>
      </c>
      <c r="F138" s="11"/>
      <c r="G138" s="30">
        <v>3</v>
      </c>
      <c r="H138" s="30" t="s">
        <v>258</v>
      </c>
      <c r="I138" s="21" t="s">
        <v>32</v>
      </c>
      <c r="J138" s="21" t="s">
        <v>156</v>
      </c>
      <c r="K138" s="30" t="s">
        <v>94</v>
      </c>
      <c r="L138" s="32">
        <v>0</v>
      </c>
      <c r="M138" s="22">
        <v>4.8</v>
      </c>
      <c r="N138" s="31">
        <v>44698</v>
      </c>
      <c r="O138" s="30" t="s">
        <v>114</v>
      </c>
    </row>
    <row r="139" spans="2:15" s="30" customFormat="1" ht="15" customHeight="1" x14ac:dyDescent="0.25">
      <c r="B139" s="30" t="s">
        <v>169</v>
      </c>
      <c r="C139" s="30" t="s">
        <v>6</v>
      </c>
      <c r="D139" s="30" t="s">
        <v>10</v>
      </c>
      <c r="E139" s="30" t="s">
        <v>14</v>
      </c>
      <c r="F139" s="11">
        <v>102</v>
      </c>
      <c r="G139" s="30">
        <v>1</v>
      </c>
      <c r="H139" s="30" t="s">
        <v>385</v>
      </c>
      <c r="I139" s="21" t="s">
        <v>68</v>
      </c>
      <c r="J139" s="21" t="s">
        <v>96</v>
      </c>
      <c r="K139" s="30" t="s">
        <v>107</v>
      </c>
      <c r="L139" s="35">
        <v>25</v>
      </c>
      <c r="M139" s="22">
        <v>37.090000000000003</v>
      </c>
      <c r="N139" s="31">
        <v>44704</v>
      </c>
      <c r="O139" s="30" t="s">
        <v>114</v>
      </c>
    </row>
    <row r="140" spans="2:15" s="30" customFormat="1" ht="15" customHeight="1" x14ac:dyDescent="0.25">
      <c r="B140" s="30" t="s">
        <v>168</v>
      </c>
      <c r="C140" s="30" t="s">
        <v>6</v>
      </c>
      <c r="D140" s="30" t="s">
        <v>10</v>
      </c>
      <c r="E140" s="30" t="s">
        <v>14</v>
      </c>
      <c r="F140" s="11" t="s">
        <v>198</v>
      </c>
      <c r="G140" s="30">
        <v>1</v>
      </c>
      <c r="H140" s="30" t="s">
        <v>23</v>
      </c>
      <c r="I140" s="21" t="s">
        <v>64</v>
      </c>
      <c r="J140" s="20" t="s">
        <v>363</v>
      </c>
      <c r="K140" s="30" t="s">
        <v>107</v>
      </c>
      <c r="L140" s="36">
        <v>2</v>
      </c>
      <c r="M140" s="37">
        <v>10.06</v>
      </c>
      <c r="N140" s="31">
        <v>44704</v>
      </c>
      <c r="O140" s="30" t="s">
        <v>114</v>
      </c>
    </row>
    <row r="141" spans="2:15" s="30" customFormat="1" ht="15" customHeight="1" x14ac:dyDescent="0.25">
      <c r="B141" s="30" t="s">
        <v>168</v>
      </c>
      <c r="C141" s="30" t="s">
        <v>6</v>
      </c>
      <c r="D141" s="30" t="s">
        <v>10</v>
      </c>
      <c r="E141" s="30" t="s">
        <v>14</v>
      </c>
      <c r="F141" s="11" t="s">
        <v>198</v>
      </c>
      <c r="G141" s="30">
        <v>1</v>
      </c>
      <c r="H141" s="30" t="s">
        <v>23</v>
      </c>
      <c r="I141" s="21" t="s">
        <v>64</v>
      </c>
      <c r="J141" s="20" t="s">
        <v>537</v>
      </c>
      <c r="K141" s="30" t="s">
        <v>107</v>
      </c>
      <c r="L141" s="36">
        <v>3</v>
      </c>
      <c r="M141" s="37">
        <v>54.95</v>
      </c>
      <c r="N141" s="31">
        <v>44704</v>
      </c>
      <c r="O141" s="30" t="s">
        <v>114</v>
      </c>
    </row>
    <row r="142" spans="2:15" s="30" customFormat="1" ht="15" customHeight="1" x14ac:dyDescent="0.25">
      <c r="B142" s="30" t="s">
        <v>168</v>
      </c>
      <c r="C142" s="30" t="s">
        <v>6</v>
      </c>
      <c r="D142" s="30" t="s">
        <v>10</v>
      </c>
      <c r="E142" s="30" t="s">
        <v>14</v>
      </c>
      <c r="F142" s="11" t="s">
        <v>199</v>
      </c>
      <c r="G142" s="30">
        <v>1</v>
      </c>
      <c r="H142" s="30" t="s">
        <v>23</v>
      </c>
      <c r="I142" s="21" t="s">
        <v>64</v>
      </c>
      <c r="J142" s="20" t="s">
        <v>536</v>
      </c>
      <c r="K142" s="30" t="s">
        <v>107</v>
      </c>
      <c r="L142" s="36">
        <v>0</v>
      </c>
      <c r="M142" s="37">
        <v>23.61</v>
      </c>
      <c r="N142" s="31">
        <v>44704</v>
      </c>
      <c r="O142" s="30" t="s">
        <v>114</v>
      </c>
    </row>
    <row r="143" spans="2:15" s="30" customFormat="1" ht="15" customHeight="1" x14ac:dyDescent="0.25">
      <c r="B143" s="30" t="s">
        <v>167</v>
      </c>
      <c r="C143" s="30" t="s">
        <v>6</v>
      </c>
      <c r="D143" s="30" t="s">
        <v>10</v>
      </c>
      <c r="E143" s="30" t="s">
        <v>14</v>
      </c>
      <c r="F143" s="11">
        <v>104</v>
      </c>
      <c r="G143" s="30">
        <v>1</v>
      </c>
      <c r="H143" s="30" t="s">
        <v>392</v>
      </c>
      <c r="I143" s="21" t="s">
        <v>418</v>
      </c>
      <c r="J143" s="21" t="s">
        <v>406</v>
      </c>
      <c r="K143" s="30" t="s">
        <v>90</v>
      </c>
      <c r="L143" s="36">
        <v>2</v>
      </c>
      <c r="M143" s="18">
        <v>14.69</v>
      </c>
      <c r="N143" s="31">
        <v>44704</v>
      </c>
      <c r="O143" s="30" t="s">
        <v>114</v>
      </c>
    </row>
    <row r="144" spans="2:15" s="30" customFormat="1" ht="15" hidden="1" customHeight="1" x14ac:dyDescent="0.25">
      <c r="B144" s="30" t="s">
        <v>167</v>
      </c>
      <c r="C144" s="30" t="s">
        <v>6</v>
      </c>
      <c r="D144" s="30" t="s">
        <v>10</v>
      </c>
      <c r="E144" s="30" t="s">
        <v>14</v>
      </c>
      <c r="F144" s="11"/>
      <c r="G144" s="30">
        <v>1</v>
      </c>
      <c r="H144" s="30" t="s">
        <v>388</v>
      </c>
      <c r="I144" s="21" t="s">
        <v>418</v>
      </c>
      <c r="J144" s="21" t="s">
        <v>430</v>
      </c>
      <c r="K144" s="30" t="s">
        <v>90</v>
      </c>
      <c r="L144" s="36">
        <v>2</v>
      </c>
      <c r="M144" s="18">
        <v>5.65</v>
      </c>
      <c r="N144" s="31">
        <v>44704</v>
      </c>
      <c r="O144" s="30" t="s">
        <v>115</v>
      </c>
    </row>
    <row r="145" spans="2:15" s="30" customFormat="1" ht="15" hidden="1" customHeight="1" x14ac:dyDescent="0.25">
      <c r="B145" s="30" t="s">
        <v>167</v>
      </c>
      <c r="C145" s="30" t="s">
        <v>6</v>
      </c>
      <c r="D145" s="30" t="s">
        <v>10</v>
      </c>
      <c r="E145" s="30" t="s">
        <v>14</v>
      </c>
      <c r="F145" s="11"/>
      <c r="G145" s="30">
        <v>1</v>
      </c>
      <c r="H145" s="30" t="s">
        <v>388</v>
      </c>
      <c r="I145" s="21" t="s">
        <v>418</v>
      </c>
      <c r="J145" s="21" t="s">
        <v>432</v>
      </c>
      <c r="K145" s="30" t="s">
        <v>90</v>
      </c>
      <c r="L145" s="36">
        <v>2</v>
      </c>
      <c r="M145" s="18">
        <v>5.65</v>
      </c>
      <c r="N145" s="31">
        <v>44704</v>
      </c>
      <c r="O145" s="30" t="s">
        <v>115</v>
      </c>
    </row>
    <row r="146" spans="2:15" s="30" customFormat="1" ht="15" hidden="1" customHeight="1" x14ac:dyDescent="0.25">
      <c r="B146" s="30" t="s">
        <v>167</v>
      </c>
      <c r="C146" s="30" t="s">
        <v>6</v>
      </c>
      <c r="D146" s="30" t="s">
        <v>10</v>
      </c>
      <c r="E146" s="30" t="s">
        <v>14</v>
      </c>
      <c r="F146" s="11"/>
      <c r="G146" s="30">
        <v>1</v>
      </c>
      <c r="H146" s="30" t="s">
        <v>388</v>
      </c>
      <c r="I146" s="21" t="s">
        <v>418</v>
      </c>
      <c r="J146" s="21" t="s">
        <v>431</v>
      </c>
      <c r="K146" s="30" t="s">
        <v>90</v>
      </c>
      <c r="L146" s="36">
        <v>2</v>
      </c>
      <c r="M146" s="18">
        <v>5.65</v>
      </c>
      <c r="N146" s="31">
        <v>44704</v>
      </c>
      <c r="O146" s="30" t="s">
        <v>115</v>
      </c>
    </row>
    <row r="147" spans="2:15" s="30" customFormat="1" ht="15" hidden="1" customHeight="1" x14ac:dyDescent="0.25">
      <c r="B147" s="30" t="s">
        <v>167</v>
      </c>
      <c r="C147" s="30" t="s">
        <v>6</v>
      </c>
      <c r="D147" s="30" t="s">
        <v>10</v>
      </c>
      <c r="E147" s="30" t="s">
        <v>14</v>
      </c>
      <c r="F147" s="11"/>
      <c r="G147" s="30">
        <v>1</v>
      </c>
      <c r="H147" s="30" t="s">
        <v>388</v>
      </c>
      <c r="I147" s="21" t="s">
        <v>418</v>
      </c>
      <c r="J147" s="21" t="s">
        <v>604</v>
      </c>
      <c r="K147" s="30" t="s">
        <v>90</v>
      </c>
      <c r="L147" s="36">
        <v>2</v>
      </c>
      <c r="M147" s="18">
        <v>5.65</v>
      </c>
      <c r="N147" s="31">
        <v>44704</v>
      </c>
      <c r="O147" s="30" t="s">
        <v>115</v>
      </c>
    </row>
    <row r="148" spans="2:15" s="30" customFormat="1" ht="15" hidden="1" customHeight="1" x14ac:dyDescent="0.25">
      <c r="B148" s="30" t="s">
        <v>167</v>
      </c>
      <c r="C148" s="30" t="s">
        <v>6</v>
      </c>
      <c r="D148" s="30" t="s">
        <v>10</v>
      </c>
      <c r="E148" s="30" t="s">
        <v>14</v>
      </c>
      <c r="F148" s="11"/>
      <c r="G148" s="30">
        <v>1</v>
      </c>
      <c r="H148" s="30" t="s">
        <v>388</v>
      </c>
      <c r="I148" s="21" t="s">
        <v>418</v>
      </c>
      <c r="J148" s="21" t="s">
        <v>605</v>
      </c>
      <c r="K148" s="30" t="s">
        <v>90</v>
      </c>
      <c r="L148" s="36">
        <v>2</v>
      </c>
      <c r="M148" s="18">
        <v>5.65</v>
      </c>
      <c r="N148" s="31">
        <v>44704</v>
      </c>
      <c r="O148" s="30" t="s">
        <v>115</v>
      </c>
    </row>
    <row r="149" spans="2:15" s="30" customFormat="1" ht="15" hidden="1" customHeight="1" x14ac:dyDescent="0.25">
      <c r="B149" s="30" t="s">
        <v>167</v>
      </c>
      <c r="C149" s="30" t="s">
        <v>6</v>
      </c>
      <c r="D149" s="30" t="s">
        <v>10</v>
      </c>
      <c r="E149" s="30" t="s">
        <v>14</v>
      </c>
      <c r="F149" s="11"/>
      <c r="G149" s="30">
        <v>1</v>
      </c>
      <c r="H149" s="30" t="s">
        <v>388</v>
      </c>
      <c r="I149" s="21" t="s">
        <v>418</v>
      </c>
      <c r="J149" s="21" t="s">
        <v>603</v>
      </c>
      <c r="K149" s="30" t="s">
        <v>90</v>
      </c>
      <c r="L149" s="36">
        <v>2</v>
      </c>
      <c r="M149" s="18">
        <v>6.42</v>
      </c>
      <c r="N149" s="31">
        <v>44704</v>
      </c>
      <c r="O149" s="30" t="s">
        <v>115</v>
      </c>
    </row>
    <row r="150" spans="2:15" s="30" customFormat="1" ht="15" hidden="1" customHeight="1" x14ac:dyDescent="0.25">
      <c r="B150" s="30" t="s">
        <v>168</v>
      </c>
      <c r="C150" s="30" t="s">
        <v>6</v>
      </c>
      <c r="D150" s="30" t="s">
        <v>10</v>
      </c>
      <c r="E150" s="30" t="s">
        <v>14</v>
      </c>
      <c r="F150" s="11"/>
      <c r="G150" s="30">
        <v>1</v>
      </c>
      <c r="H150" s="30" t="s">
        <v>390</v>
      </c>
      <c r="I150" s="21" t="s">
        <v>35</v>
      </c>
      <c r="J150" s="21" t="s">
        <v>535</v>
      </c>
      <c r="K150" s="30" t="s">
        <v>116</v>
      </c>
      <c r="L150" s="36">
        <v>1</v>
      </c>
      <c r="M150" s="18">
        <v>6.73</v>
      </c>
      <c r="N150" s="31">
        <v>44704</v>
      </c>
      <c r="O150" s="30" t="s">
        <v>115</v>
      </c>
    </row>
    <row r="151" spans="2:15" s="30" customFormat="1" ht="15.6" hidden="1" customHeight="1" x14ac:dyDescent="0.25">
      <c r="B151" s="30" t="s">
        <v>168</v>
      </c>
      <c r="C151" s="30" t="s">
        <v>6</v>
      </c>
      <c r="D151" s="30" t="s">
        <v>10</v>
      </c>
      <c r="E151" s="30" t="s">
        <v>14</v>
      </c>
      <c r="F151" s="11"/>
      <c r="G151" s="30">
        <v>1</v>
      </c>
      <c r="H151" s="30" t="s">
        <v>389</v>
      </c>
      <c r="I151" s="21" t="s">
        <v>418</v>
      </c>
      <c r="J151" s="21" t="s">
        <v>607</v>
      </c>
      <c r="K151" s="30" t="s">
        <v>90</v>
      </c>
      <c r="L151" s="36">
        <v>1</v>
      </c>
      <c r="M151" s="18">
        <v>1.34</v>
      </c>
      <c r="N151" s="31">
        <v>44704</v>
      </c>
      <c r="O151" s="30" t="s">
        <v>115</v>
      </c>
    </row>
    <row r="152" spans="2:15" s="30" customFormat="1" ht="15" customHeight="1" x14ac:dyDescent="0.25">
      <c r="B152" s="30" t="s">
        <v>168</v>
      </c>
      <c r="C152" s="30" t="s">
        <v>6</v>
      </c>
      <c r="D152" s="30" t="s">
        <v>10</v>
      </c>
      <c r="E152" s="30" t="s">
        <v>14</v>
      </c>
      <c r="F152" s="11"/>
      <c r="G152" s="30">
        <v>1</v>
      </c>
      <c r="H152" s="30" t="s">
        <v>394</v>
      </c>
      <c r="I152" s="21" t="s">
        <v>418</v>
      </c>
      <c r="J152" s="21" t="s">
        <v>609</v>
      </c>
      <c r="K152" s="30" t="s">
        <v>107</v>
      </c>
      <c r="L152" s="36">
        <v>10</v>
      </c>
      <c r="M152" s="18">
        <v>19.75</v>
      </c>
      <c r="N152" s="31">
        <v>44704</v>
      </c>
      <c r="O152" s="30" t="s">
        <v>114</v>
      </c>
    </row>
    <row r="153" spans="2:15" s="30" customFormat="1" ht="15" customHeight="1" x14ac:dyDescent="0.25">
      <c r="B153" s="30" t="s">
        <v>168</v>
      </c>
      <c r="C153" s="30" t="s">
        <v>6</v>
      </c>
      <c r="D153" s="30" t="s">
        <v>10</v>
      </c>
      <c r="E153" s="30" t="s">
        <v>14</v>
      </c>
      <c r="F153" s="11"/>
      <c r="G153" s="30">
        <v>1</v>
      </c>
      <c r="H153" s="30" t="s">
        <v>394</v>
      </c>
      <c r="I153" s="21" t="s">
        <v>418</v>
      </c>
      <c r="J153" s="21" t="s">
        <v>608</v>
      </c>
      <c r="K153" s="30" t="s">
        <v>107</v>
      </c>
      <c r="L153" s="36">
        <v>15</v>
      </c>
      <c r="M153" s="18">
        <v>11.3</v>
      </c>
      <c r="N153" s="31">
        <v>44704</v>
      </c>
      <c r="O153" s="30" t="s">
        <v>114</v>
      </c>
    </row>
    <row r="154" spans="2:15" s="30" customFormat="1" ht="15" customHeight="1" x14ac:dyDescent="0.25">
      <c r="B154" s="30" t="s">
        <v>167</v>
      </c>
      <c r="C154" s="30" t="s">
        <v>6</v>
      </c>
      <c r="D154" s="30" t="s">
        <v>10</v>
      </c>
      <c r="E154" s="30" t="s">
        <v>14</v>
      </c>
      <c r="F154" s="11">
        <v>105</v>
      </c>
      <c r="G154" s="30">
        <v>1</v>
      </c>
      <c r="H154" s="30" t="s">
        <v>389</v>
      </c>
      <c r="I154" s="21" t="s">
        <v>418</v>
      </c>
      <c r="J154" s="21" t="s">
        <v>606</v>
      </c>
      <c r="K154" s="30" t="s">
        <v>90</v>
      </c>
      <c r="L154" s="36">
        <v>1</v>
      </c>
      <c r="M154" s="18">
        <v>3.17</v>
      </c>
      <c r="N154" s="31">
        <v>44704</v>
      </c>
      <c r="O154" s="30" t="s">
        <v>114</v>
      </c>
    </row>
    <row r="155" spans="2:15" s="30" customFormat="1" ht="15" customHeight="1" x14ac:dyDescent="0.25">
      <c r="B155" s="30" t="s">
        <v>168</v>
      </c>
      <c r="C155" s="30" t="s">
        <v>6</v>
      </c>
      <c r="D155" s="30" t="s">
        <v>10</v>
      </c>
      <c r="E155" s="30" t="s">
        <v>14</v>
      </c>
      <c r="F155" s="11">
        <v>106</v>
      </c>
      <c r="G155" s="30">
        <v>1</v>
      </c>
      <c r="H155" s="30" t="s">
        <v>390</v>
      </c>
      <c r="I155" s="21" t="s">
        <v>38</v>
      </c>
      <c r="J155" s="21" t="s">
        <v>328</v>
      </c>
      <c r="K155" s="30" t="s">
        <v>94</v>
      </c>
      <c r="L155" s="36">
        <v>1</v>
      </c>
      <c r="M155" s="18">
        <v>6.73</v>
      </c>
      <c r="N155" s="31">
        <v>44704</v>
      </c>
      <c r="O155" s="30" t="s">
        <v>114</v>
      </c>
    </row>
    <row r="156" spans="2:15" s="30" customFormat="1" ht="15" customHeight="1" x14ac:dyDescent="0.25">
      <c r="B156" s="30" t="s">
        <v>168</v>
      </c>
      <c r="C156" s="30" t="s">
        <v>6</v>
      </c>
      <c r="D156" s="30" t="s">
        <v>10</v>
      </c>
      <c r="E156" s="30" t="s">
        <v>14</v>
      </c>
      <c r="F156" s="11"/>
      <c r="G156" s="30">
        <v>1</v>
      </c>
      <c r="H156" s="30" t="s">
        <v>389</v>
      </c>
      <c r="I156" s="21" t="s">
        <v>68</v>
      </c>
      <c r="J156" s="21" t="s">
        <v>610</v>
      </c>
      <c r="K156" s="30" t="s">
        <v>107</v>
      </c>
      <c r="L156" s="36">
        <v>1</v>
      </c>
      <c r="M156" s="18">
        <v>3.8</v>
      </c>
      <c r="N156" s="31">
        <v>44704</v>
      </c>
      <c r="O156" s="30" t="s">
        <v>114</v>
      </c>
    </row>
    <row r="157" spans="2:15" s="30" customFormat="1" ht="15" customHeight="1" x14ac:dyDescent="0.25">
      <c r="B157" s="30" t="s">
        <v>168</v>
      </c>
      <c r="C157" s="30" t="s">
        <v>6</v>
      </c>
      <c r="D157" s="30" t="s">
        <v>10</v>
      </c>
      <c r="E157" s="30" t="s">
        <v>297</v>
      </c>
      <c r="F157" s="11"/>
      <c r="G157" s="30">
        <v>1</v>
      </c>
      <c r="H157" s="30" t="s">
        <v>386</v>
      </c>
      <c r="I157" s="21" t="s">
        <v>68</v>
      </c>
      <c r="J157" s="21" t="s">
        <v>463</v>
      </c>
      <c r="K157" s="30" t="s">
        <v>107</v>
      </c>
      <c r="L157" s="36">
        <v>93</v>
      </c>
      <c r="M157" s="18">
        <v>234.1</v>
      </c>
      <c r="N157" s="31">
        <v>44704</v>
      </c>
      <c r="O157" s="30" t="s">
        <v>114</v>
      </c>
    </row>
    <row r="158" spans="2:15" s="30" customFormat="1" ht="15" customHeight="1" x14ac:dyDescent="0.25">
      <c r="B158" s="30" t="s">
        <v>168</v>
      </c>
      <c r="C158" s="30" t="s">
        <v>6</v>
      </c>
      <c r="D158" s="30" t="s">
        <v>10</v>
      </c>
      <c r="E158" s="30" t="s">
        <v>297</v>
      </c>
      <c r="F158" s="11"/>
      <c r="G158" s="30">
        <v>1</v>
      </c>
      <c r="H158" s="30" t="s">
        <v>30</v>
      </c>
      <c r="I158" s="21" t="s">
        <v>30</v>
      </c>
      <c r="J158" s="21" t="s">
        <v>222</v>
      </c>
      <c r="K158" s="30" t="s">
        <v>116</v>
      </c>
      <c r="L158" s="36">
        <v>110</v>
      </c>
      <c r="M158" s="37">
        <v>12.08</v>
      </c>
      <c r="N158" s="31">
        <v>44704</v>
      </c>
      <c r="O158" s="30" t="s">
        <v>114</v>
      </c>
    </row>
    <row r="159" spans="2:15" s="30" customFormat="1" ht="15" customHeight="1" x14ac:dyDescent="0.25">
      <c r="B159" s="30" t="s">
        <v>168</v>
      </c>
      <c r="C159" s="30" t="s">
        <v>6</v>
      </c>
      <c r="D159" s="30" t="s">
        <v>10</v>
      </c>
      <c r="E159" s="30" t="s">
        <v>297</v>
      </c>
      <c r="F159" s="11"/>
      <c r="G159" s="30">
        <v>1</v>
      </c>
      <c r="H159" s="30" t="s">
        <v>30</v>
      </c>
      <c r="I159" s="21" t="s">
        <v>30</v>
      </c>
      <c r="J159" s="21" t="s">
        <v>522</v>
      </c>
      <c r="K159" s="30" t="s">
        <v>116</v>
      </c>
      <c r="L159" s="36">
        <v>2</v>
      </c>
      <c r="M159" s="37">
        <v>10.61</v>
      </c>
      <c r="N159" s="31">
        <v>44704</v>
      </c>
      <c r="O159" s="30" t="s">
        <v>114</v>
      </c>
    </row>
    <row r="160" spans="2:15" s="30" customFormat="1" ht="30.75" hidden="1" customHeight="1" x14ac:dyDescent="0.25">
      <c r="B160" s="30" t="s">
        <v>168</v>
      </c>
      <c r="C160" s="30" t="s">
        <v>6</v>
      </c>
      <c r="D160" s="30" t="s">
        <v>10</v>
      </c>
      <c r="E160" s="30" t="s">
        <v>297</v>
      </c>
      <c r="F160" s="11"/>
      <c r="G160" s="30">
        <v>1</v>
      </c>
      <c r="H160" s="30" t="s">
        <v>30</v>
      </c>
      <c r="I160" s="21" t="s">
        <v>30</v>
      </c>
      <c r="J160" s="21" t="s">
        <v>800</v>
      </c>
      <c r="K160" s="30" t="s">
        <v>116</v>
      </c>
      <c r="L160" s="36"/>
      <c r="M160" s="37">
        <v>67.13</v>
      </c>
      <c r="N160" s="31">
        <v>44704</v>
      </c>
    </row>
    <row r="161" spans="2:15" s="30" customFormat="1" ht="28.5" customHeight="1" x14ac:dyDescent="0.25">
      <c r="B161" s="30" t="s">
        <v>168</v>
      </c>
      <c r="C161" s="30" t="s">
        <v>6</v>
      </c>
      <c r="D161" s="30" t="s">
        <v>10</v>
      </c>
      <c r="E161" s="30" t="s">
        <v>297</v>
      </c>
      <c r="F161" s="11"/>
      <c r="G161" s="30">
        <v>1</v>
      </c>
      <c r="H161" s="30" t="s">
        <v>389</v>
      </c>
      <c r="I161" s="21" t="s">
        <v>68</v>
      </c>
      <c r="J161" s="21" t="s">
        <v>104</v>
      </c>
      <c r="K161" s="30" t="s">
        <v>116</v>
      </c>
      <c r="L161" s="36">
        <v>1</v>
      </c>
      <c r="M161" s="37">
        <v>5.41</v>
      </c>
      <c r="N161" s="31">
        <v>44704</v>
      </c>
      <c r="O161" s="30" t="s">
        <v>114</v>
      </c>
    </row>
    <row r="162" spans="2:15" s="30" customFormat="1" ht="30" hidden="1" customHeight="1" x14ac:dyDescent="0.25">
      <c r="B162" s="30" t="s">
        <v>168</v>
      </c>
      <c r="C162" s="30" t="s">
        <v>6</v>
      </c>
      <c r="D162" s="30" t="s">
        <v>10</v>
      </c>
      <c r="E162" s="30" t="s">
        <v>297</v>
      </c>
      <c r="F162" s="11"/>
      <c r="G162" s="30">
        <v>1</v>
      </c>
      <c r="H162" s="30" t="s">
        <v>389</v>
      </c>
      <c r="I162" s="21" t="s">
        <v>30</v>
      </c>
      <c r="J162" s="21" t="s">
        <v>523</v>
      </c>
      <c r="K162" s="30" t="s">
        <v>116</v>
      </c>
      <c r="L162" s="36">
        <v>1</v>
      </c>
      <c r="M162" s="37">
        <v>2.71</v>
      </c>
      <c r="N162" s="31">
        <v>44704</v>
      </c>
      <c r="O162" s="30" t="s">
        <v>115</v>
      </c>
    </row>
    <row r="163" spans="2:15" s="30" customFormat="1" ht="15" customHeight="1" x14ac:dyDescent="0.25">
      <c r="B163" s="30" t="s">
        <v>168</v>
      </c>
      <c r="C163" s="30" t="s">
        <v>6</v>
      </c>
      <c r="D163" s="30" t="s">
        <v>10</v>
      </c>
      <c r="E163" s="30" t="s">
        <v>297</v>
      </c>
      <c r="F163" s="11"/>
      <c r="G163" s="30">
        <v>1</v>
      </c>
      <c r="H163" s="30" t="s">
        <v>30</v>
      </c>
      <c r="I163" s="21" t="s">
        <v>30</v>
      </c>
      <c r="J163" s="21" t="s">
        <v>522</v>
      </c>
      <c r="K163" s="30" t="s">
        <v>116</v>
      </c>
      <c r="L163" s="36">
        <v>1</v>
      </c>
      <c r="M163" s="37">
        <v>8.91</v>
      </c>
      <c r="N163" s="31">
        <v>44704</v>
      </c>
      <c r="O163" s="30" t="s">
        <v>114</v>
      </c>
    </row>
    <row r="164" spans="2:15" s="30" customFormat="1" ht="15" hidden="1" customHeight="1" x14ac:dyDescent="0.25">
      <c r="B164" s="30" t="s">
        <v>168</v>
      </c>
      <c r="C164" s="30" t="s">
        <v>6</v>
      </c>
      <c r="D164" s="30" t="s">
        <v>10</v>
      </c>
      <c r="E164" s="30" t="s">
        <v>297</v>
      </c>
      <c r="F164" s="11"/>
      <c r="G164" s="30">
        <v>1</v>
      </c>
      <c r="H164" s="30" t="s">
        <v>23</v>
      </c>
      <c r="I164" s="21" t="s">
        <v>30</v>
      </c>
      <c r="J164" s="21" t="s">
        <v>524</v>
      </c>
      <c r="K164" s="30" t="s">
        <v>116</v>
      </c>
      <c r="L164" s="36">
        <v>1</v>
      </c>
      <c r="M164" s="37">
        <v>10.6</v>
      </c>
      <c r="N164" s="31">
        <v>44704</v>
      </c>
      <c r="O164" s="30" t="s">
        <v>115</v>
      </c>
    </row>
    <row r="165" spans="2:15" s="30" customFormat="1" ht="15" customHeight="1" x14ac:dyDescent="0.25">
      <c r="B165" s="30" t="s">
        <v>168</v>
      </c>
      <c r="C165" s="30" t="s">
        <v>6</v>
      </c>
      <c r="D165" s="30" t="s">
        <v>10</v>
      </c>
      <c r="E165" s="30" t="s">
        <v>297</v>
      </c>
      <c r="F165" s="11"/>
      <c r="G165" s="30">
        <v>1</v>
      </c>
      <c r="H165" s="30" t="s">
        <v>23</v>
      </c>
      <c r="I165" s="21" t="s">
        <v>30</v>
      </c>
      <c r="J165" s="21" t="s">
        <v>525</v>
      </c>
      <c r="K165" s="30" t="s">
        <v>116</v>
      </c>
      <c r="L165" s="36">
        <v>1</v>
      </c>
      <c r="M165" s="37">
        <v>10.57</v>
      </c>
      <c r="N165" s="31">
        <v>44704</v>
      </c>
      <c r="O165" s="30" t="s">
        <v>114</v>
      </c>
    </row>
    <row r="166" spans="2:15" s="30" customFormat="1" ht="15" hidden="1" customHeight="1" x14ac:dyDescent="0.25">
      <c r="B166" s="30" t="s">
        <v>168</v>
      </c>
      <c r="C166" s="30" t="s">
        <v>6</v>
      </c>
      <c r="D166" s="30" t="s">
        <v>10</v>
      </c>
      <c r="E166" s="30" t="s">
        <v>297</v>
      </c>
      <c r="F166" s="11"/>
      <c r="G166" s="30">
        <v>1</v>
      </c>
      <c r="H166" s="30" t="s">
        <v>23</v>
      </c>
      <c r="I166" s="21" t="s">
        <v>30</v>
      </c>
      <c r="J166" s="21" t="s">
        <v>526</v>
      </c>
      <c r="K166" s="30" t="s">
        <v>116</v>
      </c>
      <c r="L166" s="36">
        <v>2</v>
      </c>
      <c r="M166" s="37">
        <v>28.55</v>
      </c>
      <c r="N166" s="31">
        <v>44704</v>
      </c>
      <c r="O166" s="30" t="s">
        <v>115</v>
      </c>
    </row>
    <row r="167" spans="2:15" s="30" customFormat="1" ht="15" customHeight="1" x14ac:dyDescent="0.25">
      <c r="B167" s="30" t="s">
        <v>165</v>
      </c>
      <c r="C167" s="30" t="s">
        <v>6</v>
      </c>
      <c r="D167" s="30" t="s">
        <v>10</v>
      </c>
      <c r="E167" s="30" t="s">
        <v>297</v>
      </c>
      <c r="F167" s="11"/>
      <c r="G167" s="30">
        <v>1</v>
      </c>
      <c r="H167" s="30" t="s">
        <v>23</v>
      </c>
      <c r="I167" s="21" t="s">
        <v>62</v>
      </c>
      <c r="J167" s="21" t="s">
        <v>527</v>
      </c>
      <c r="K167" s="30" t="s">
        <v>116</v>
      </c>
      <c r="L167" s="36">
        <v>3</v>
      </c>
      <c r="M167" s="37">
        <v>16.420000000000002</v>
      </c>
      <c r="N167" s="31">
        <v>44704</v>
      </c>
      <c r="O167" s="30" t="s">
        <v>114</v>
      </c>
    </row>
    <row r="168" spans="2:15" s="30" customFormat="1" ht="30" customHeight="1" x14ac:dyDescent="0.25">
      <c r="B168" s="30" t="s">
        <v>168</v>
      </c>
      <c r="C168" s="30" t="s">
        <v>6</v>
      </c>
      <c r="D168" s="30" t="s">
        <v>10</v>
      </c>
      <c r="E168" s="30" t="s">
        <v>297</v>
      </c>
      <c r="F168" s="11"/>
      <c r="G168" s="30">
        <v>1</v>
      </c>
      <c r="H168" s="30" t="s">
        <v>23</v>
      </c>
      <c r="I168" s="21" t="s">
        <v>30</v>
      </c>
      <c r="J168" s="21" t="s">
        <v>798</v>
      </c>
      <c r="K168" s="30" t="s">
        <v>116</v>
      </c>
      <c r="L168" s="36">
        <v>1</v>
      </c>
      <c r="M168" s="37">
        <v>20.28</v>
      </c>
      <c r="N168" s="31">
        <v>44704</v>
      </c>
      <c r="O168" s="30" t="s">
        <v>114</v>
      </c>
    </row>
    <row r="169" spans="2:15" s="30" customFormat="1" ht="15" customHeight="1" x14ac:dyDescent="0.25">
      <c r="B169" s="30" t="s">
        <v>168</v>
      </c>
      <c r="C169" s="30" t="s">
        <v>6</v>
      </c>
      <c r="D169" s="30" t="s">
        <v>10</v>
      </c>
      <c r="E169" s="30" t="s">
        <v>297</v>
      </c>
      <c r="F169" s="11"/>
      <c r="G169" s="30">
        <v>1</v>
      </c>
      <c r="H169" s="30" t="s">
        <v>30</v>
      </c>
      <c r="I169" s="21" t="s">
        <v>30</v>
      </c>
      <c r="J169" s="21" t="s">
        <v>528</v>
      </c>
      <c r="K169" s="30" t="s">
        <v>116</v>
      </c>
      <c r="L169" s="36">
        <v>51</v>
      </c>
      <c r="M169" s="37">
        <v>96.12</v>
      </c>
      <c r="N169" s="31">
        <v>44704</v>
      </c>
      <c r="O169" s="30" t="s">
        <v>114</v>
      </c>
    </row>
    <row r="170" spans="2:15" s="30" customFormat="1" ht="15" customHeight="1" x14ac:dyDescent="0.25">
      <c r="B170" s="30" t="s">
        <v>170</v>
      </c>
      <c r="C170" s="30" t="s">
        <v>6</v>
      </c>
      <c r="D170" s="30" t="s">
        <v>10</v>
      </c>
      <c r="E170" s="30" t="s">
        <v>297</v>
      </c>
      <c r="F170" s="11"/>
      <c r="G170" s="30">
        <v>1</v>
      </c>
      <c r="H170" s="30" t="s">
        <v>394</v>
      </c>
      <c r="I170" s="21" t="s">
        <v>30</v>
      </c>
      <c r="J170" s="21" t="s">
        <v>331</v>
      </c>
      <c r="K170" s="30" t="s">
        <v>94</v>
      </c>
      <c r="L170" s="36">
        <v>0</v>
      </c>
      <c r="M170" s="37">
        <v>97.81</v>
      </c>
      <c r="N170" s="31">
        <v>44704</v>
      </c>
      <c r="O170" s="30" t="s">
        <v>114</v>
      </c>
    </row>
    <row r="171" spans="2:15" s="30" customFormat="1" ht="15" customHeight="1" x14ac:dyDescent="0.25">
      <c r="B171" s="30" t="s">
        <v>168</v>
      </c>
      <c r="C171" s="30" t="s">
        <v>6</v>
      </c>
      <c r="D171" s="30" t="s">
        <v>10</v>
      </c>
      <c r="E171" s="30" t="s">
        <v>297</v>
      </c>
      <c r="F171" s="11"/>
      <c r="G171" s="30">
        <v>1</v>
      </c>
      <c r="H171" s="30" t="s">
        <v>30</v>
      </c>
      <c r="I171" s="21" t="s">
        <v>30</v>
      </c>
      <c r="J171" s="21" t="s">
        <v>529</v>
      </c>
      <c r="K171" s="30" t="s">
        <v>116</v>
      </c>
      <c r="L171" s="36">
        <v>2</v>
      </c>
      <c r="M171" s="37">
        <v>143.11000000000001</v>
      </c>
      <c r="N171" s="31">
        <v>44704</v>
      </c>
      <c r="O171" s="30" t="s">
        <v>114</v>
      </c>
    </row>
    <row r="172" spans="2:15" s="30" customFormat="1" ht="15" customHeight="1" x14ac:dyDescent="0.25">
      <c r="B172" s="30" t="s">
        <v>168</v>
      </c>
      <c r="C172" s="30" t="s">
        <v>6</v>
      </c>
      <c r="D172" s="30" t="s">
        <v>10</v>
      </c>
      <c r="E172" s="30" t="s">
        <v>297</v>
      </c>
      <c r="F172" s="11"/>
      <c r="G172" s="30">
        <v>1</v>
      </c>
      <c r="H172" s="30" t="s">
        <v>30</v>
      </c>
      <c r="I172" s="21" t="s">
        <v>30</v>
      </c>
      <c r="J172" s="21" t="s">
        <v>799</v>
      </c>
      <c r="K172" s="30" t="s">
        <v>116</v>
      </c>
      <c r="L172" s="36">
        <v>10</v>
      </c>
      <c r="M172" s="37">
        <v>5.43</v>
      </c>
      <c r="N172" s="31">
        <v>44704</v>
      </c>
      <c r="O172" s="30" t="s">
        <v>114</v>
      </c>
    </row>
    <row r="173" spans="2:15" s="30" customFormat="1" ht="15" customHeight="1" x14ac:dyDescent="0.25">
      <c r="B173" s="30" t="s">
        <v>168</v>
      </c>
      <c r="C173" s="30" t="s">
        <v>6</v>
      </c>
      <c r="D173" s="30" t="s">
        <v>10</v>
      </c>
      <c r="E173" s="30" t="s">
        <v>297</v>
      </c>
      <c r="F173" s="11"/>
      <c r="G173" s="30">
        <v>1</v>
      </c>
      <c r="H173" s="30" t="s">
        <v>30</v>
      </c>
      <c r="I173" s="21" t="s">
        <v>30</v>
      </c>
      <c r="J173" s="21" t="s">
        <v>531</v>
      </c>
      <c r="K173" s="30" t="s">
        <v>116</v>
      </c>
      <c r="L173" s="36">
        <v>34</v>
      </c>
      <c r="M173" s="37">
        <v>85.47</v>
      </c>
      <c r="N173" s="31">
        <v>44704</v>
      </c>
      <c r="O173" s="30" t="s">
        <v>114</v>
      </c>
    </row>
    <row r="174" spans="2:15" s="30" customFormat="1" x14ac:dyDescent="0.25">
      <c r="B174" s="30" t="s">
        <v>168</v>
      </c>
      <c r="C174" s="30" t="s">
        <v>6</v>
      </c>
      <c r="D174" s="30" t="s">
        <v>10</v>
      </c>
      <c r="E174" s="30" t="s">
        <v>297</v>
      </c>
      <c r="F174" s="11"/>
      <c r="G174" s="30">
        <v>1</v>
      </c>
      <c r="H174" s="30" t="s">
        <v>30</v>
      </c>
      <c r="I174" s="21" t="s">
        <v>30</v>
      </c>
      <c r="J174" s="21" t="s">
        <v>532</v>
      </c>
      <c r="K174" s="30" t="s">
        <v>116</v>
      </c>
      <c r="L174" s="36">
        <v>30</v>
      </c>
      <c r="M174" s="37">
        <v>74.09</v>
      </c>
      <c r="N174" s="31">
        <v>44704</v>
      </c>
      <c r="O174" s="30" t="s">
        <v>114</v>
      </c>
    </row>
    <row r="175" spans="2:15" s="30" customFormat="1" ht="15" customHeight="1" x14ac:dyDescent="0.25">
      <c r="B175" s="30" t="s">
        <v>168</v>
      </c>
      <c r="C175" s="30" t="s">
        <v>6</v>
      </c>
      <c r="D175" s="30" t="s">
        <v>10</v>
      </c>
      <c r="E175" s="30" t="s">
        <v>297</v>
      </c>
      <c r="F175" s="11"/>
      <c r="G175" s="30">
        <v>1</v>
      </c>
      <c r="H175" s="30" t="s">
        <v>394</v>
      </c>
      <c r="I175" s="21" t="s">
        <v>30</v>
      </c>
      <c r="J175" s="21" t="s">
        <v>533</v>
      </c>
      <c r="K175" s="30" t="s">
        <v>116</v>
      </c>
      <c r="L175" s="36">
        <v>0</v>
      </c>
      <c r="M175" s="37">
        <v>10.35</v>
      </c>
      <c r="N175" s="31">
        <v>44704</v>
      </c>
      <c r="O175" s="30" t="s">
        <v>114</v>
      </c>
    </row>
    <row r="176" spans="2:15" s="30" customFormat="1" ht="29.25" customHeight="1" x14ac:dyDescent="0.25">
      <c r="B176" s="30" t="s">
        <v>168</v>
      </c>
      <c r="C176" s="30" t="s">
        <v>6</v>
      </c>
      <c r="D176" s="30" t="s">
        <v>10</v>
      </c>
      <c r="E176" s="30" t="s">
        <v>297</v>
      </c>
      <c r="F176" s="11"/>
      <c r="G176" s="30">
        <v>1</v>
      </c>
      <c r="H176" s="30" t="s">
        <v>30</v>
      </c>
      <c r="I176" s="21" t="s">
        <v>30</v>
      </c>
      <c r="J176" s="21" t="s">
        <v>530</v>
      </c>
      <c r="K176" s="30" t="s">
        <v>116</v>
      </c>
      <c r="L176" s="36">
        <v>12</v>
      </c>
      <c r="M176" s="37">
        <v>22.81</v>
      </c>
      <c r="N176" s="31">
        <v>44704</v>
      </c>
      <c r="O176" s="30" t="s">
        <v>114</v>
      </c>
    </row>
    <row r="177" spans="2:15" s="30" customFormat="1" ht="30" customHeight="1" x14ac:dyDescent="0.25">
      <c r="B177" s="30" t="s">
        <v>168</v>
      </c>
      <c r="C177" s="30" t="s">
        <v>6</v>
      </c>
      <c r="D177" s="30" t="s">
        <v>10</v>
      </c>
      <c r="E177" s="30" t="s">
        <v>297</v>
      </c>
      <c r="F177" s="11"/>
      <c r="G177" s="30">
        <v>1</v>
      </c>
      <c r="H177" s="30" t="s">
        <v>398</v>
      </c>
      <c r="I177" s="21" t="s">
        <v>68</v>
      </c>
      <c r="J177" s="21" t="s">
        <v>448</v>
      </c>
      <c r="K177" s="30" t="s">
        <v>94</v>
      </c>
      <c r="L177" s="36">
        <v>1</v>
      </c>
      <c r="M177" s="18">
        <v>1.65</v>
      </c>
      <c r="N177" s="31">
        <v>44704</v>
      </c>
      <c r="O177" s="30" t="s">
        <v>114</v>
      </c>
    </row>
    <row r="178" spans="2:15" s="30" customFormat="1" ht="15" customHeight="1" x14ac:dyDescent="0.25">
      <c r="B178" s="30" t="s">
        <v>168</v>
      </c>
      <c r="C178" s="30" t="s">
        <v>6</v>
      </c>
      <c r="D178" s="30" t="s">
        <v>10</v>
      </c>
      <c r="E178" s="30" t="s">
        <v>14</v>
      </c>
      <c r="F178" s="11"/>
      <c r="G178" s="30">
        <v>1</v>
      </c>
      <c r="H178" s="30" t="s">
        <v>398</v>
      </c>
      <c r="I178" s="21" t="s">
        <v>68</v>
      </c>
      <c r="J178" s="21" t="s">
        <v>449</v>
      </c>
      <c r="K178" s="30" t="s">
        <v>94</v>
      </c>
      <c r="L178" s="36">
        <v>1</v>
      </c>
      <c r="M178" s="18">
        <v>1.649</v>
      </c>
      <c r="N178" s="31">
        <v>44704</v>
      </c>
      <c r="O178" s="30" t="s">
        <v>114</v>
      </c>
    </row>
    <row r="179" spans="2:15" s="30" customFormat="1" ht="45" customHeight="1" x14ac:dyDescent="0.25">
      <c r="B179" s="30" t="s">
        <v>168</v>
      </c>
      <c r="C179" s="30" t="s">
        <v>6</v>
      </c>
      <c r="D179" s="30" t="s">
        <v>10</v>
      </c>
      <c r="E179" s="30" t="s">
        <v>297</v>
      </c>
      <c r="F179" s="11"/>
      <c r="G179" s="30">
        <v>1</v>
      </c>
      <c r="H179" s="30" t="s">
        <v>398</v>
      </c>
      <c r="I179" s="21" t="s">
        <v>68</v>
      </c>
      <c r="J179" s="21" t="s">
        <v>449</v>
      </c>
      <c r="K179" s="30" t="s">
        <v>94</v>
      </c>
      <c r="L179" s="36">
        <v>1</v>
      </c>
      <c r="M179" s="18">
        <v>1.649</v>
      </c>
      <c r="N179" s="31">
        <v>44704</v>
      </c>
      <c r="O179" s="30" t="s">
        <v>114</v>
      </c>
    </row>
    <row r="180" spans="2:15" s="30" customFormat="1" ht="15" customHeight="1" x14ac:dyDescent="0.25">
      <c r="B180" s="30" t="s">
        <v>169</v>
      </c>
      <c r="C180" s="30" t="s">
        <v>6</v>
      </c>
      <c r="D180" s="30" t="s">
        <v>10</v>
      </c>
      <c r="E180" s="30" t="s">
        <v>14</v>
      </c>
      <c r="F180" s="11"/>
      <c r="G180" s="30">
        <v>1</v>
      </c>
      <c r="H180" s="30" t="s">
        <v>399</v>
      </c>
      <c r="I180" s="21" t="s">
        <v>35</v>
      </c>
      <c r="J180" s="21" t="s">
        <v>255</v>
      </c>
      <c r="K180" s="30" t="s">
        <v>94</v>
      </c>
      <c r="L180" s="36">
        <v>1</v>
      </c>
      <c r="M180" s="18">
        <v>4.7</v>
      </c>
      <c r="N180" s="31">
        <v>44704</v>
      </c>
      <c r="O180" s="30" t="s">
        <v>114</v>
      </c>
    </row>
    <row r="181" spans="2:15" s="30" customFormat="1" ht="15" customHeight="1" x14ac:dyDescent="0.25">
      <c r="B181" s="30" t="s">
        <v>169</v>
      </c>
      <c r="C181" s="30" t="s">
        <v>6</v>
      </c>
      <c r="D181" s="30" t="s">
        <v>10</v>
      </c>
      <c r="E181" s="30" t="s">
        <v>14</v>
      </c>
      <c r="F181" s="11"/>
      <c r="G181" s="30">
        <v>1</v>
      </c>
      <c r="H181" s="30" t="s">
        <v>399</v>
      </c>
      <c r="I181" s="21" t="s">
        <v>35</v>
      </c>
      <c r="J181" s="21" t="s">
        <v>256</v>
      </c>
      <c r="K181" s="30" t="s">
        <v>94</v>
      </c>
      <c r="L181" s="36">
        <v>2</v>
      </c>
      <c r="M181" s="18">
        <v>4.7</v>
      </c>
      <c r="N181" s="31">
        <v>44704</v>
      </c>
      <c r="O181" s="30" t="s">
        <v>114</v>
      </c>
    </row>
    <row r="182" spans="2:15" s="30" customFormat="1" ht="15" customHeight="1" x14ac:dyDescent="0.25">
      <c r="B182" s="30" t="s">
        <v>169</v>
      </c>
      <c r="C182" s="30" t="s">
        <v>6</v>
      </c>
      <c r="D182" s="30" t="s">
        <v>10</v>
      </c>
      <c r="E182" s="30" t="s">
        <v>14</v>
      </c>
      <c r="F182" s="11"/>
      <c r="G182" s="30">
        <v>1</v>
      </c>
      <c r="H182" s="30" t="s">
        <v>399</v>
      </c>
      <c r="I182" s="21" t="s">
        <v>35</v>
      </c>
      <c r="J182" s="21" t="s">
        <v>534</v>
      </c>
      <c r="K182" s="30" t="s">
        <v>94</v>
      </c>
      <c r="L182" s="36">
        <v>1</v>
      </c>
      <c r="M182" s="18">
        <v>7.52</v>
      </c>
      <c r="N182" s="31">
        <v>44704</v>
      </c>
      <c r="O182" s="30" t="s">
        <v>114</v>
      </c>
    </row>
    <row r="183" spans="2:15" s="30" customFormat="1" ht="15" customHeight="1" x14ac:dyDescent="0.25">
      <c r="B183" s="30" t="s">
        <v>170</v>
      </c>
      <c r="C183" s="30" t="s">
        <v>6</v>
      </c>
      <c r="D183" s="30" t="s">
        <v>10</v>
      </c>
      <c r="E183" s="30" t="s">
        <v>14</v>
      </c>
      <c r="F183" s="11"/>
      <c r="G183" s="30">
        <v>1</v>
      </c>
      <c r="H183" s="30" t="s">
        <v>394</v>
      </c>
      <c r="I183" s="21" t="s">
        <v>68</v>
      </c>
      <c r="J183" s="21" t="s">
        <v>269</v>
      </c>
      <c r="K183" s="30" t="s">
        <v>94</v>
      </c>
      <c r="L183" s="36">
        <v>0</v>
      </c>
      <c r="M183" s="18">
        <v>115.86</v>
      </c>
      <c r="N183" s="31">
        <v>44704</v>
      </c>
      <c r="O183" s="30" t="s">
        <v>114</v>
      </c>
    </row>
    <row r="184" spans="2:15" s="30" customFormat="1" ht="15" customHeight="1" x14ac:dyDescent="0.25">
      <c r="B184" s="30" t="s">
        <v>170</v>
      </c>
      <c r="C184" s="30" t="s">
        <v>6</v>
      </c>
      <c r="D184" s="30" t="s">
        <v>10</v>
      </c>
      <c r="E184" s="30" t="s">
        <v>14</v>
      </c>
      <c r="F184" s="11"/>
      <c r="G184" s="30">
        <v>1</v>
      </c>
      <c r="H184" s="30" t="s">
        <v>394</v>
      </c>
      <c r="I184" s="21" t="s">
        <v>68</v>
      </c>
      <c r="J184" s="21" t="s">
        <v>270</v>
      </c>
      <c r="K184" s="30" t="s">
        <v>94</v>
      </c>
      <c r="L184" s="36">
        <v>0</v>
      </c>
      <c r="M184" s="18">
        <v>127.15</v>
      </c>
      <c r="N184" s="31">
        <v>44704</v>
      </c>
      <c r="O184" s="30" t="s">
        <v>114</v>
      </c>
    </row>
    <row r="185" spans="2:15" s="30" customFormat="1" ht="15" customHeight="1" x14ac:dyDescent="0.25">
      <c r="B185" s="30" t="s">
        <v>170</v>
      </c>
      <c r="C185" s="30" t="s">
        <v>6</v>
      </c>
      <c r="D185" s="30" t="s">
        <v>10</v>
      </c>
      <c r="E185" s="30" t="s">
        <v>14</v>
      </c>
      <c r="F185" s="11"/>
      <c r="G185" s="30">
        <v>1</v>
      </c>
      <c r="H185" s="30" t="s">
        <v>394</v>
      </c>
      <c r="I185" s="21" t="s">
        <v>68</v>
      </c>
      <c r="J185" s="21" t="s">
        <v>271</v>
      </c>
      <c r="K185" s="30" t="s">
        <v>107</v>
      </c>
      <c r="L185" s="35">
        <v>0</v>
      </c>
      <c r="M185" s="22">
        <v>16.2</v>
      </c>
      <c r="N185" s="31">
        <v>44704</v>
      </c>
      <c r="O185" s="30" t="s">
        <v>114</v>
      </c>
    </row>
    <row r="186" spans="2:15" s="30" customFormat="1" ht="15" hidden="1" customHeight="1" x14ac:dyDescent="0.25">
      <c r="B186" s="30" t="s">
        <v>165</v>
      </c>
      <c r="C186" s="30" t="s">
        <v>6</v>
      </c>
      <c r="D186" s="30" t="s">
        <v>10</v>
      </c>
      <c r="E186" s="30" t="s">
        <v>14</v>
      </c>
      <c r="F186" s="11" t="s">
        <v>208</v>
      </c>
      <c r="G186" s="30">
        <v>2</v>
      </c>
      <c r="H186" s="30" t="s">
        <v>26</v>
      </c>
      <c r="I186" s="21" t="s">
        <v>32</v>
      </c>
      <c r="J186" s="21" t="s">
        <v>265</v>
      </c>
      <c r="K186" s="30" t="s">
        <v>90</v>
      </c>
      <c r="L186" s="35">
        <v>16</v>
      </c>
      <c r="M186" s="22">
        <v>31.6</v>
      </c>
      <c r="N186" s="42">
        <v>44706</v>
      </c>
      <c r="O186" s="30" t="s">
        <v>115</v>
      </c>
    </row>
    <row r="187" spans="2:15" s="30" customFormat="1" ht="15" hidden="1" customHeight="1" x14ac:dyDescent="0.25">
      <c r="B187" s="30" t="s">
        <v>165</v>
      </c>
      <c r="C187" s="30" t="s">
        <v>6</v>
      </c>
      <c r="D187" s="30" t="s">
        <v>10</v>
      </c>
      <c r="E187" s="30" t="s">
        <v>297</v>
      </c>
      <c r="F187" s="11">
        <v>207</v>
      </c>
      <c r="G187" s="30">
        <v>2</v>
      </c>
      <c r="H187" s="30" t="s">
        <v>21</v>
      </c>
      <c r="I187" s="21" t="s">
        <v>73</v>
      </c>
      <c r="J187" s="21" t="s">
        <v>434</v>
      </c>
      <c r="K187" s="30" t="s">
        <v>90</v>
      </c>
      <c r="L187" s="35">
        <v>20</v>
      </c>
      <c r="M187" s="22">
        <v>50.75</v>
      </c>
      <c r="N187" s="42">
        <v>44706</v>
      </c>
      <c r="O187" s="30" t="s">
        <v>115</v>
      </c>
    </row>
    <row r="188" spans="2:15" s="30" customFormat="1" ht="15" hidden="1" customHeight="1" x14ac:dyDescent="0.25">
      <c r="B188" s="30" t="s">
        <v>165</v>
      </c>
      <c r="C188" s="30" t="s">
        <v>6</v>
      </c>
      <c r="D188" s="30" t="s">
        <v>10</v>
      </c>
      <c r="E188" s="30" t="s">
        <v>297</v>
      </c>
      <c r="F188" s="11" t="s">
        <v>540</v>
      </c>
      <c r="G188" s="30">
        <v>2</v>
      </c>
      <c r="H188" s="30" t="s">
        <v>26</v>
      </c>
      <c r="I188" s="21" t="s">
        <v>32</v>
      </c>
      <c r="J188" s="21" t="s">
        <v>138</v>
      </c>
      <c r="K188" s="30" t="s">
        <v>90</v>
      </c>
      <c r="L188" s="35">
        <v>22</v>
      </c>
      <c r="M188" s="22">
        <v>43.78</v>
      </c>
      <c r="N188" s="42">
        <v>44706</v>
      </c>
      <c r="O188" s="30" t="s">
        <v>115</v>
      </c>
    </row>
    <row r="189" spans="2:15" s="30" customFormat="1" ht="15" hidden="1" customHeight="1" x14ac:dyDescent="0.25">
      <c r="B189" s="30" t="s">
        <v>165</v>
      </c>
      <c r="C189" s="30" t="s">
        <v>6</v>
      </c>
      <c r="D189" s="30" t="s">
        <v>10</v>
      </c>
      <c r="E189" s="30" t="s">
        <v>297</v>
      </c>
      <c r="F189" s="11" t="s">
        <v>541</v>
      </c>
      <c r="G189" s="30">
        <v>2</v>
      </c>
      <c r="H189" s="30" t="s">
        <v>26</v>
      </c>
      <c r="I189" s="21" t="s">
        <v>32</v>
      </c>
      <c r="J189" s="21" t="s">
        <v>138</v>
      </c>
      <c r="K189" s="30" t="s">
        <v>90</v>
      </c>
      <c r="L189" s="35">
        <v>26</v>
      </c>
      <c r="M189" s="22">
        <v>52.43</v>
      </c>
      <c r="N189" s="42">
        <v>44706</v>
      </c>
      <c r="O189" s="30" t="s">
        <v>115</v>
      </c>
    </row>
    <row r="190" spans="2:15" s="30" customFormat="1" ht="15" hidden="1" customHeight="1" x14ac:dyDescent="0.25">
      <c r="B190" s="30" t="s">
        <v>165</v>
      </c>
      <c r="C190" s="30" t="s">
        <v>6</v>
      </c>
      <c r="D190" s="30" t="s">
        <v>10</v>
      </c>
      <c r="E190" s="30" t="s">
        <v>297</v>
      </c>
      <c r="F190" s="11" t="s">
        <v>542</v>
      </c>
      <c r="G190" s="30">
        <v>2</v>
      </c>
      <c r="H190" s="30" t="s">
        <v>26</v>
      </c>
      <c r="I190" s="21" t="s">
        <v>32</v>
      </c>
      <c r="J190" s="21" t="s">
        <v>138</v>
      </c>
      <c r="K190" s="30" t="s">
        <v>90</v>
      </c>
      <c r="L190" s="35">
        <v>25</v>
      </c>
      <c r="M190" s="22">
        <v>50.05</v>
      </c>
      <c r="N190" s="42">
        <v>44706</v>
      </c>
      <c r="O190" s="30" t="s">
        <v>115</v>
      </c>
    </row>
    <row r="191" spans="2:15" s="30" customFormat="1" ht="15" hidden="1" customHeight="1" x14ac:dyDescent="0.25">
      <c r="B191" s="30" t="s">
        <v>165</v>
      </c>
      <c r="C191" s="30" t="s">
        <v>6</v>
      </c>
      <c r="D191" s="30" t="s">
        <v>10</v>
      </c>
      <c r="E191" s="30" t="s">
        <v>297</v>
      </c>
      <c r="F191" s="11" t="s">
        <v>543</v>
      </c>
      <c r="G191" s="30">
        <v>2</v>
      </c>
      <c r="H191" s="30" t="s">
        <v>26</v>
      </c>
      <c r="I191" s="21" t="s">
        <v>36</v>
      </c>
      <c r="J191" s="21" t="s">
        <v>138</v>
      </c>
      <c r="K191" s="30" t="s">
        <v>90</v>
      </c>
      <c r="L191" s="35">
        <v>27</v>
      </c>
      <c r="M191" s="22">
        <v>50</v>
      </c>
      <c r="N191" s="42">
        <v>44706</v>
      </c>
      <c r="O191" s="30" t="s">
        <v>115</v>
      </c>
    </row>
    <row r="192" spans="2:15" s="30" customFormat="1" ht="15" hidden="1" customHeight="1" x14ac:dyDescent="0.25">
      <c r="B192" s="30" t="s">
        <v>165</v>
      </c>
      <c r="C192" s="30" t="s">
        <v>6</v>
      </c>
      <c r="D192" s="30" t="s">
        <v>10</v>
      </c>
      <c r="E192" s="30" t="s">
        <v>14</v>
      </c>
      <c r="F192" s="11"/>
      <c r="G192" s="30">
        <v>2</v>
      </c>
      <c r="H192" s="30" t="s">
        <v>397</v>
      </c>
      <c r="I192" s="21" t="s">
        <v>70</v>
      </c>
      <c r="J192" s="21" t="s">
        <v>614</v>
      </c>
      <c r="K192" s="30" t="s">
        <v>91</v>
      </c>
      <c r="L192" s="35">
        <v>12</v>
      </c>
      <c r="M192" s="22">
        <v>50.13</v>
      </c>
      <c r="N192" s="42">
        <v>44706</v>
      </c>
      <c r="O192" s="30" t="s">
        <v>115</v>
      </c>
    </row>
    <row r="193" spans="2:15" s="30" customFormat="1" ht="15" hidden="1" customHeight="1" x14ac:dyDescent="0.25">
      <c r="B193" s="30" t="s">
        <v>165</v>
      </c>
      <c r="C193" s="30" t="s">
        <v>6</v>
      </c>
      <c r="D193" s="30" t="s">
        <v>10</v>
      </c>
      <c r="E193" s="30" t="s">
        <v>297</v>
      </c>
      <c r="F193" s="11" t="s">
        <v>200</v>
      </c>
      <c r="G193" s="30">
        <v>2</v>
      </c>
      <c r="H193" s="30" t="s">
        <v>21</v>
      </c>
      <c r="I193" s="21" t="s">
        <v>73</v>
      </c>
      <c r="J193" s="21" t="s">
        <v>811</v>
      </c>
      <c r="K193" s="30" t="s">
        <v>90</v>
      </c>
      <c r="L193" s="35">
        <v>14</v>
      </c>
      <c r="M193" s="22">
        <v>33.119999999999997</v>
      </c>
      <c r="N193" s="42">
        <v>44706</v>
      </c>
      <c r="O193" s="30" t="s">
        <v>115</v>
      </c>
    </row>
    <row r="194" spans="2:15" s="30" customFormat="1" ht="15" hidden="1" customHeight="1" x14ac:dyDescent="0.25">
      <c r="B194" s="30" t="s">
        <v>168</v>
      </c>
      <c r="C194" s="30" t="s">
        <v>6</v>
      </c>
      <c r="D194" s="30" t="s">
        <v>10</v>
      </c>
      <c r="E194" s="30" t="s">
        <v>297</v>
      </c>
      <c r="F194" s="11" t="s">
        <v>201</v>
      </c>
      <c r="G194" s="30">
        <v>2</v>
      </c>
      <c r="H194" s="30" t="s">
        <v>23</v>
      </c>
      <c r="I194" s="21" t="s">
        <v>83</v>
      </c>
      <c r="J194" s="21" t="s">
        <v>452</v>
      </c>
      <c r="K194" s="30" t="s">
        <v>90</v>
      </c>
      <c r="L194" s="35">
        <v>2</v>
      </c>
      <c r="M194" s="22">
        <v>21.91</v>
      </c>
      <c r="N194" s="42">
        <v>44706</v>
      </c>
      <c r="O194" s="30" t="s">
        <v>115</v>
      </c>
    </row>
    <row r="195" spans="2:15" s="30" customFormat="1" ht="15" hidden="1" customHeight="1" x14ac:dyDescent="0.25">
      <c r="B195" s="30" t="s">
        <v>168</v>
      </c>
      <c r="C195" s="30" t="s">
        <v>6</v>
      </c>
      <c r="D195" s="30" t="s">
        <v>10</v>
      </c>
      <c r="E195" s="30" t="s">
        <v>297</v>
      </c>
      <c r="F195" s="11" t="s">
        <v>202</v>
      </c>
      <c r="G195" s="30">
        <v>2</v>
      </c>
      <c r="H195" s="30" t="s">
        <v>23</v>
      </c>
      <c r="I195" s="21" t="s">
        <v>83</v>
      </c>
      <c r="J195" s="21" t="s">
        <v>453</v>
      </c>
      <c r="K195" s="30" t="s">
        <v>90</v>
      </c>
      <c r="L195" s="35">
        <v>1</v>
      </c>
      <c r="M195" s="22">
        <v>10.119999999999999</v>
      </c>
      <c r="N195" s="42">
        <v>44706</v>
      </c>
      <c r="O195" s="30" t="s">
        <v>115</v>
      </c>
    </row>
    <row r="196" spans="2:15" s="30" customFormat="1" ht="15" hidden="1" customHeight="1" x14ac:dyDescent="0.25">
      <c r="B196" s="30" t="s">
        <v>168</v>
      </c>
      <c r="C196" s="30" t="s">
        <v>6</v>
      </c>
      <c r="D196" s="30" t="s">
        <v>10</v>
      </c>
      <c r="E196" s="30" t="s">
        <v>297</v>
      </c>
      <c r="F196" s="11" t="s">
        <v>203</v>
      </c>
      <c r="G196" s="30">
        <v>2</v>
      </c>
      <c r="H196" s="30" t="s">
        <v>23</v>
      </c>
      <c r="I196" s="21" t="s">
        <v>77</v>
      </c>
      <c r="J196" s="21" t="s">
        <v>452</v>
      </c>
      <c r="K196" s="30" t="s">
        <v>90</v>
      </c>
      <c r="L196" s="35">
        <v>1</v>
      </c>
      <c r="M196" s="22">
        <v>19.21</v>
      </c>
      <c r="N196" s="42">
        <v>44706</v>
      </c>
      <c r="O196" s="30" t="s">
        <v>115</v>
      </c>
    </row>
    <row r="197" spans="2:15" s="30" customFormat="1" ht="15" hidden="1" customHeight="1" x14ac:dyDescent="0.25">
      <c r="B197" s="30" t="s">
        <v>168</v>
      </c>
      <c r="C197" s="30" t="s">
        <v>6</v>
      </c>
      <c r="D197" s="30" t="s">
        <v>10</v>
      </c>
      <c r="E197" s="30" t="s">
        <v>297</v>
      </c>
      <c r="F197" s="11" t="s">
        <v>204</v>
      </c>
      <c r="G197" s="30">
        <v>2</v>
      </c>
      <c r="H197" s="30" t="s">
        <v>23</v>
      </c>
      <c r="I197" s="21" t="s">
        <v>77</v>
      </c>
      <c r="J197" s="21" t="s">
        <v>471</v>
      </c>
      <c r="K197" s="30" t="s">
        <v>90</v>
      </c>
      <c r="L197" s="35">
        <v>1</v>
      </c>
      <c r="M197" s="22">
        <v>16.440000000000001</v>
      </c>
      <c r="N197" s="42">
        <v>44706</v>
      </c>
      <c r="O197" s="30" t="s">
        <v>115</v>
      </c>
    </row>
    <row r="198" spans="2:15" s="30" customFormat="1" ht="15" hidden="1" customHeight="1" x14ac:dyDescent="0.25">
      <c r="B198" s="30" t="s">
        <v>168</v>
      </c>
      <c r="C198" s="30" t="s">
        <v>6</v>
      </c>
      <c r="D198" s="30" t="s">
        <v>10</v>
      </c>
      <c r="E198" s="30" t="s">
        <v>14</v>
      </c>
      <c r="F198" s="11"/>
      <c r="G198" s="30">
        <v>2</v>
      </c>
      <c r="H198" s="30" t="s">
        <v>117</v>
      </c>
      <c r="I198" s="21" t="s">
        <v>32</v>
      </c>
      <c r="J198" s="21" t="s">
        <v>223</v>
      </c>
      <c r="K198" s="30" t="s">
        <v>107</v>
      </c>
      <c r="L198" s="35">
        <v>20</v>
      </c>
      <c r="M198" s="22">
        <v>43.62</v>
      </c>
      <c r="N198" s="42">
        <v>44706</v>
      </c>
      <c r="O198" s="30" t="s">
        <v>115</v>
      </c>
    </row>
    <row r="199" spans="2:15" s="30" customFormat="1" ht="15" hidden="1" customHeight="1" x14ac:dyDescent="0.25">
      <c r="B199" s="30" t="s">
        <v>168</v>
      </c>
      <c r="C199" s="30" t="s">
        <v>6</v>
      </c>
      <c r="D199" s="30" t="s">
        <v>10</v>
      </c>
      <c r="E199" s="30" t="s">
        <v>14</v>
      </c>
      <c r="F199" s="11"/>
      <c r="G199" s="30">
        <v>2</v>
      </c>
      <c r="H199" s="30" t="s">
        <v>394</v>
      </c>
      <c r="I199" s="21" t="s">
        <v>77</v>
      </c>
      <c r="J199" s="21" t="s">
        <v>225</v>
      </c>
      <c r="K199" s="30" t="s">
        <v>107</v>
      </c>
      <c r="L199" s="35">
        <v>12</v>
      </c>
      <c r="M199" s="22">
        <v>17.48</v>
      </c>
      <c r="N199" s="42">
        <v>44706</v>
      </c>
      <c r="O199" s="30" t="s">
        <v>115</v>
      </c>
    </row>
    <row r="200" spans="2:15" s="30" customFormat="1" ht="15" hidden="1" customHeight="1" x14ac:dyDescent="0.25">
      <c r="B200" s="30" t="s">
        <v>168</v>
      </c>
      <c r="C200" s="30" t="s">
        <v>6</v>
      </c>
      <c r="D200" s="30" t="s">
        <v>10</v>
      </c>
      <c r="E200" s="30" t="s">
        <v>14</v>
      </c>
      <c r="F200" s="11"/>
      <c r="G200" s="30">
        <v>2</v>
      </c>
      <c r="H200" s="30" t="s">
        <v>389</v>
      </c>
      <c r="I200" s="21" t="s">
        <v>32</v>
      </c>
      <c r="J200" s="21" t="s">
        <v>546</v>
      </c>
      <c r="K200" s="30" t="s">
        <v>107</v>
      </c>
      <c r="L200" s="35">
        <v>2</v>
      </c>
      <c r="M200" s="22">
        <v>10.130000000000001</v>
      </c>
      <c r="N200" s="42">
        <v>44706</v>
      </c>
      <c r="O200" s="30" t="s">
        <v>115</v>
      </c>
    </row>
    <row r="201" spans="2:15" s="30" customFormat="1" ht="15" hidden="1" customHeight="1" x14ac:dyDescent="0.25">
      <c r="B201" s="30" t="s">
        <v>168</v>
      </c>
      <c r="C201" s="30" t="s">
        <v>6</v>
      </c>
      <c r="D201" s="30" t="s">
        <v>10</v>
      </c>
      <c r="E201" s="30" t="s">
        <v>14</v>
      </c>
      <c r="F201" s="11"/>
      <c r="G201" s="30">
        <v>2</v>
      </c>
      <c r="H201" s="30" t="s">
        <v>23</v>
      </c>
      <c r="I201" s="21" t="s">
        <v>32</v>
      </c>
      <c r="J201" s="21" t="s">
        <v>474</v>
      </c>
      <c r="K201" s="30" t="s">
        <v>107</v>
      </c>
      <c r="L201" s="35">
        <v>1</v>
      </c>
      <c r="M201" s="22">
        <v>10.11</v>
      </c>
      <c r="N201" s="42">
        <v>44706</v>
      </c>
      <c r="O201" s="30" t="s">
        <v>115</v>
      </c>
    </row>
    <row r="202" spans="2:15" s="30" customFormat="1" ht="15" hidden="1" customHeight="1" x14ac:dyDescent="0.25">
      <c r="B202" s="30" t="s">
        <v>168</v>
      </c>
      <c r="C202" s="30" t="s">
        <v>6</v>
      </c>
      <c r="D202" s="30" t="s">
        <v>10</v>
      </c>
      <c r="E202" s="30" t="s">
        <v>14</v>
      </c>
      <c r="F202" s="11"/>
      <c r="G202" s="30">
        <v>2</v>
      </c>
      <c r="H202" s="30" t="s">
        <v>23</v>
      </c>
      <c r="I202" s="21" t="s">
        <v>32</v>
      </c>
      <c r="J202" s="21" t="s">
        <v>544</v>
      </c>
      <c r="K202" s="30" t="s">
        <v>107</v>
      </c>
      <c r="L202" s="35">
        <v>1</v>
      </c>
      <c r="M202" s="22">
        <v>16.66</v>
      </c>
      <c r="N202" s="42">
        <v>44706</v>
      </c>
      <c r="O202" s="30" t="s">
        <v>115</v>
      </c>
    </row>
    <row r="203" spans="2:15" s="30" customFormat="1" ht="15" hidden="1" customHeight="1" x14ac:dyDescent="0.25">
      <c r="B203" s="30" t="s">
        <v>168</v>
      </c>
      <c r="C203" s="30" t="s">
        <v>6</v>
      </c>
      <c r="D203" s="30" t="s">
        <v>10</v>
      </c>
      <c r="E203" s="30" t="s">
        <v>14</v>
      </c>
      <c r="F203" s="11"/>
      <c r="G203" s="30">
        <v>2</v>
      </c>
      <c r="H203" s="30" t="s">
        <v>389</v>
      </c>
      <c r="I203" s="21" t="s">
        <v>32</v>
      </c>
      <c r="J203" s="21" t="s">
        <v>545</v>
      </c>
      <c r="K203" s="30" t="s">
        <v>94</v>
      </c>
      <c r="L203" s="35">
        <v>0</v>
      </c>
      <c r="M203" s="22">
        <v>7.21</v>
      </c>
      <c r="N203" s="42">
        <v>44706</v>
      </c>
      <c r="O203" s="30" t="s">
        <v>115</v>
      </c>
    </row>
    <row r="204" spans="2:15" s="30" customFormat="1" ht="15" hidden="1" customHeight="1" x14ac:dyDescent="0.25">
      <c r="B204" s="30" t="s">
        <v>168</v>
      </c>
      <c r="C204" s="30" t="s">
        <v>6</v>
      </c>
      <c r="D204" s="30" t="s">
        <v>10</v>
      </c>
      <c r="E204" s="30" t="s">
        <v>14</v>
      </c>
      <c r="F204" s="11"/>
      <c r="G204" s="30">
        <v>2</v>
      </c>
      <c r="H204" s="30" t="s">
        <v>23</v>
      </c>
      <c r="I204" s="21" t="s">
        <v>32</v>
      </c>
      <c r="J204" s="21" t="s">
        <v>475</v>
      </c>
      <c r="K204" s="30" t="s">
        <v>107</v>
      </c>
      <c r="L204" s="35">
        <v>7</v>
      </c>
      <c r="M204" s="22">
        <v>19.559999999999999</v>
      </c>
      <c r="N204" s="42">
        <v>44706</v>
      </c>
      <c r="O204" s="30" t="s">
        <v>115</v>
      </c>
    </row>
    <row r="205" spans="2:15" s="30" customFormat="1" ht="15" hidden="1" customHeight="1" x14ac:dyDescent="0.25">
      <c r="B205" s="30" t="s">
        <v>168</v>
      </c>
      <c r="C205" s="30" t="s">
        <v>6</v>
      </c>
      <c r="D205" s="30" t="s">
        <v>10</v>
      </c>
      <c r="E205" s="30" t="s">
        <v>14</v>
      </c>
      <c r="F205" s="11"/>
      <c r="G205" s="30">
        <v>2</v>
      </c>
      <c r="H205" s="30" t="s">
        <v>389</v>
      </c>
      <c r="I205" s="21" t="s">
        <v>32</v>
      </c>
      <c r="J205" s="21" t="s">
        <v>547</v>
      </c>
      <c r="K205" s="30" t="s">
        <v>94</v>
      </c>
      <c r="L205" s="35">
        <v>0</v>
      </c>
      <c r="M205" s="22">
        <v>27.17</v>
      </c>
      <c r="N205" s="42">
        <v>44706</v>
      </c>
      <c r="O205" s="30" t="s">
        <v>115</v>
      </c>
    </row>
    <row r="206" spans="2:15" s="30" customFormat="1" ht="15" hidden="1" customHeight="1" x14ac:dyDescent="0.25">
      <c r="B206" s="30" t="s">
        <v>168</v>
      </c>
      <c r="C206" s="30" t="s">
        <v>6</v>
      </c>
      <c r="D206" s="30" t="s">
        <v>10</v>
      </c>
      <c r="E206" s="30" t="s">
        <v>14</v>
      </c>
      <c r="F206" s="11"/>
      <c r="G206" s="30">
        <v>2</v>
      </c>
      <c r="H206" s="30" t="s">
        <v>23</v>
      </c>
      <c r="I206" s="21" t="s">
        <v>32</v>
      </c>
      <c r="J206" s="21" t="s">
        <v>548</v>
      </c>
      <c r="K206" s="30" t="s">
        <v>107</v>
      </c>
      <c r="L206" s="35">
        <v>3</v>
      </c>
      <c r="M206" s="22">
        <v>11.1</v>
      </c>
      <c r="N206" s="42">
        <v>44706</v>
      </c>
      <c r="O206" s="30" t="s">
        <v>115</v>
      </c>
    </row>
    <row r="207" spans="2:15" s="30" customFormat="1" ht="15" hidden="1" customHeight="1" x14ac:dyDescent="0.25">
      <c r="B207" s="30" t="s">
        <v>168</v>
      </c>
      <c r="C207" s="30" t="s">
        <v>6</v>
      </c>
      <c r="D207" s="30" t="s">
        <v>10</v>
      </c>
      <c r="E207" s="30" t="s">
        <v>14</v>
      </c>
      <c r="F207" s="11"/>
      <c r="G207" s="30">
        <v>2</v>
      </c>
      <c r="H207" s="30" t="s">
        <v>23</v>
      </c>
      <c r="I207" s="21" t="s">
        <v>32</v>
      </c>
      <c r="J207" s="21" t="s">
        <v>549</v>
      </c>
      <c r="K207" s="30" t="s">
        <v>90</v>
      </c>
      <c r="L207" s="35">
        <v>10</v>
      </c>
      <c r="M207" s="22">
        <v>22.67</v>
      </c>
      <c r="N207" s="42">
        <v>44706</v>
      </c>
      <c r="O207" s="30" t="s">
        <v>115</v>
      </c>
    </row>
    <row r="208" spans="2:15" s="30" customFormat="1" ht="15" hidden="1" customHeight="1" x14ac:dyDescent="0.25">
      <c r="B208" s="30" t="s">
        <v>168</v>
      </c>
      <c r="C208" s="30" t="s">
        <v>6</v>
      </c>
      <c r="D208" s="30" t="s">
        <v>10</v>
      </c>
      <c r="E208" s="30" t="s">
        <v>14</v>
      </c>
      <c r="F208" s="11"/>
      <c r="G208" s="30">
        <v>2</v>
      </c>
      <c r="H208" s="30" t="s">
        <v>23</v>
      </c>
      <c r="I208" s="21" t="s">
        <v>32</v>
      </c>
      <c r="J208" s="21" t="s">
        <v>550</v>
      </c>
      <c r="K208" s="30" t="s">
        <v>90</v>
      </c>
      <c r="L208" s="35">
        <v>3</v>
      </c>
      <c r="M208" s="22">
        <v>11.2</v>
      </c>
      <c r="N208" s="42">
        <v>44706</v>
      </c>
      <c r="O208" s="30" t="s">
        <v>115</v>
      </c>
    </row>
    <row r="209" spans="2:15" s="30" customFormat="1" ht="15" hidden="1" customHeight="1" x14ac:dyDescent="0.25">
      <c r="B209" s="30" t="s">
        <v>168</v>
      </c>
      <c r="C209" s="30" t="s">
        <v>6</v>
      </c>
      <c r="D209" s="30" t="s">
        <v>10</v>
      </c>
      <c r="E209" s="30" t="s">
        <v>14</v>
      </c>
      <c r="F209" s="11"/>
      <c r="G209" s="30">
        <v>2</v>
      </c>
      <c r="H209" s="30" t="s">
        <v>23</v>
      </c>
      <c r="I209" s="21" t="s">
        <v>62</v>
      </c>
      <c r="J209" s="21" t="s">
        <v>611</v>
      </c>
      <c r="K209" s="30" t="s">
        <v>107</v>
      </c>
      <c r="L209" s="35">
        <v>2</v>
      </c>
      <c r="M209" s="22">
        <v>21.29</v>
      </c>
      <c r="N209" s="42">
        <v>44706</v>
      </c>
      <c r="O209" s="30" t="s">
        <v>115</v>
      </c>
    </row>
    <row r="210" spans="2:15" s="30" customFormat="1" ht="15" hidden="1" customHeight="1" x14ac:dyDescent="0.25">
      <c r="B210" s="30" t="s">
        <v>168</v>
      </c>
      <c r="C210" s="30" t="s">
        <v>6</v>
      </c>
      <c r="D210" s="30" t="s">
        <v>10</v>
      </c>
      <c r="E210" s="30" t="s">
        <v>14</v>
      </c>
      <c r="F210" s="11"/>
      <c r="G210" s="30">
        <v>2</v>
      </c>
      <c r="H210" s="30" t="s">
        <v>23</v>
      </c>
      <c r="I210" s="21" t="s">
        <v>41</v>
      </c>
      <c r="J210" s="21" t="s">
        <v>615</v>
      </c>
      <c r="K210" s="30" t="s">
        <v>90</v>
      </c>
      <c r="L210" s="35">
        <v>17</v>
      </c>
      <c r="M210" s="22">
        <v>42.18</v>
      </c>
      <c r="N210" s="42">
        <v>44706</v>
      </c>
      <c r="O210" s="30" t="s">
        <v>115</v>
      </c>
    </row>
    <row r="211" spans="2:15" s="30" customFormat="1" ht="15" hidden="1" customHeight="1" x14ac:dyDescent="0.25">
      <c r="B211" s="30" t="s">
        <v>168</v>
      </c>
      <c r="C211" s="30" t="s">
        <v>6</v>
      </c>
      <c r="D211" s="30" t="s">
        <v>10</v>
      </c>
      <c r="E211" s="30" t="s">
        <v>14</v>
      </c>
      <c r="F211" s="11"/>
      <c r="G211" s="30">
        <v>2</v>
      </c>
      <c r="H211" s="30" t="s">
        <v>23</v>
      </c>
      <c r="I211" s="21" t="s">
        <v>40</v>
      </c>
      <c r="J211" s="21" t="s">
        <v>539</v>
      </c>
      <c r="K211" s="30" t="s">
        <v>90</v>
      </c>
      <c r="L211" s="35">
        <v>3</v>
      </c>
      <c r="M211" s="22">
        <v>9.68</v>
      </c>
      <c r="N211" s="42">
        <v>44706</v>
      </c>
      <c r="O211" s="30" t="s">
        <v>115</v>
      </c>
    </row>
    <row r="212" spans="2:15" s="30" customFormat="1" ht="15" hidden="1" customHeight="1" x14ac:dyDescent="0.25">
      <c r="B212" s="30" t="s">
        <v>168</v>
      </c>
      <c r="C212" s="30" t="s">
        <v>6</v>
      </c>
      <c r="D212" s="30" t="s">
        <v>10</v>
      </c>
      <c r="E212" s="30" t="s">
        <v>14</v>
      </c>
      <c r="F212" s="11"/>
      <c r="G212" s="30">
        <v>2</v>
      </c>
      <c r="H212" s="30" t="s">
        <v>23</v>
      </c>
      <c r="I212" s="21" t="s">
        <v>45</v>
      </c>
      <c r="J212" s="21" t="s">
        <v>538</v>
      </c>
      <c r="K212" s="30" t="s">
        <v>90</v>
      </c>
      <c r="L212" s="35">
        <v>38</v>
      </c>
      <c r="M212" s="22">
        <v>74.27</v>
      </c>
      <c r="N212" s="42">
        <v>44706</v>
      </c>
      <c r="O212" s="30" t="s">
        <v>115</v>
      </c>
    </row>
    <row r="213" spans="2:15" s="30" customFormat="1" ht="15" hidden="1" customHeight="1" x14ac:dyDescent="0.25">
      <c r="B213" s="30" t="s">
        <v>168</v>
      </c>
      <c r="C213" s="30" t="s">
        <v>6</v>
      </c>
      <c r="D213" s="30" t="s">
        <v>10</v>
      </c>
      <c r="E213" s="30" t="s">
        <v>14</v>
      </c>
      <c r="F213" s="11"/>
      <c r="G213" s="30">
        <v>2</v>
      </c>
      <c r="H213" s="30" t="s">
        <v>398</v>
      </c>
      <c r="I213" s="21" t="s">
        <v>68</v>
      </c>
      <c r="J213" s="21" t="s">
        <v>329</v>
      </c>
      <c r="K213" s="30" t="s">
        <v>94</v>
      </c>
      <c r="L213" s="35">
        <v>1</v>
      </c>
      <c r="M213" s="22">
        <v>3.63</v>
      </c>
      <c r="N213" s="42">
        <v>44706</v>
      </c>
      <c r="O213" s="30" t="s">
        <v>115</v>
      </c>
    </row>
    <row r="214" spans="2:15" s="30" customFormat="1" ht="15" hidden="1" customHeight="1" x14ac:dyDescent="0.25">
      <c r="B214" s="30" t="s">
        <v>169</v>
      </c>
      <c r="C214" s="30" t="s">
        <v>6</v>
      </c>
      <c r="D214" s="30" t="s">
        <v>10</v>
      </c>
      <c r="E214" s="30" t="s">
        <v>14</v>
      </c>
      <c r="F214" s="11"/>
      <c r="G214" s="30">
        <v>2</v>
      </c>
      <c r="H214" s="30" t="s">
        <v>398</v>
      </c>
      <c r="I214" s="21" t="s">
        <v>68</v>
      </c>
      <c r="J214" s="21" t="s">
        <v>330</v>
      </c>
      <c r="K214" s="30" t="s">
        <v>94</v>
      </c>
      <c r="L214" s="35">
        <v>1</v>
      </c>
      <c r="M214" s="22">
        <v>3.63</v>
      </c>
      <c r="N214" s="42">
        <v>44706</v>
      </c>
      <c r="O214" s="30" t="s">
        <v>115</v>
      </c>
    </row>
    <row r="215" spans="2:15" s="30" customFormat="1" ht="15" hidden="1" customHeight="1" x14ac:dyDescent="0.25">
      <c r="B215" s="30" t="s">
        <v>168</v>
      </c>
      <c r="C215" s="30" t="s">
        <v>6</v>
      </c>
      <c r="D215" s="30" t="s">
        <v>10</v>
      </c>
      <c r="E215" s="30" t="s">
        <v>14</v>
      </c>
      <c r="F215" s="11"/>
      <c r="G215" s="30">
        <v>2</v>
      </c>
      <c r="H215" s="30" t="s">
        <v>398</v>
      </c>
      <c r="I215" s="21" t="s">
        <v>68</v>
      </c>
      <c r="J215" s="21" t="s">
        <v>332</v>
      </c>
      <c r="K215" s="30" t="s">
        <v>94</v>
      </c>
      <c r="L215" s="35">
        <v>1</v>
      </c>
      <c r="M215" s="22">
        <v>1.6</v>
      </c>
      <c r="N215" s="42">
        <v>44706</v>
      </c>
      <c r="O215" s="30" t="s">
        <v>115</v>
      </c>
    </row>
    <row r="216" spans="2:15" s="30" customFormat="1" ht="15" hidden="1" customHeight="1" x14ac:dyDescent="0.25">
      <c r="B216" s="30" t="s">
        <v>168</v>
      </c>
      <c r="C216" s="30" t="s">
        <v>6</v>
      </c>
      <c r="D216" s="30" t="s">
        <v>10</v>
      </c>
      <c r="E216" s="30" t="s">
        <v>14</v>
      </c>
      <c r="F216" s="11"/>
      <c r="G216" s="30">
        <v>2</v>
      </c>
      <c r="H216" s="30" t="s">
        <v>398</v>
      </c>
      <c r="I216" s="21" t="s">
        <v>68</v>
      </c>
      <c r="J216" s="21" t="s">
        <v>333</v>
      </c>
      <c r="K216" s="30" t="s">
        <v>94</v>
      </c>
      <c r="L216" s="35">
        <v>1</v>
      </c>
      <c r="M216" s="22">
        <v>1.6</v>
      </c>
      <c r="N216" s="42">
        <v>44706</v>
      </c>
      <c r="O216" s="30" t="s">
        <v>115</v>
      </c>
    </row>
    <row r="217" spans="2:15" s="30" customFormat="1" ht="15" customHeight="1" x14ac:dyDescent="0.25">
      <c r="B217" s="30" t="s">
        <v>169</v>
      </c>
      <c r="C217" s="30" t="s">
        <v>6</v>
      </c>
      <c r="D217" s="30" t="s">
        <v>10</v>
      </c>
      <c r="E217" s="30" t="s">
        <v>14</v>
      </c>
      <c r="F217" s="11"/>
      <c r="G217" s="30">
        <v>2</v>
      </c>
      <c r="H217" s="30" t="s">
        <v>399</v>
      </c>
      <c r="I217" s="21" t="s">
        <v>68</v>
      </c>
      <c r="J217" s="21" t="s">
        <v>374</v>
      </c>
      <c r="K217" s="30" t="s">
        <v>94</v>
      </c>
      <c r="L217" s="35">
        <v>1</v>
      </c>
      <c r="M217" s="22">
        <v>8.26</v>
      </c>
      <c r="N217" s="42">
        <v>44706</v>
      </c>
      <c r="O217" s="30" t="s">
        <v>114</v>
      </c>
    </row>
    <row r="218" spans="2:15" s="30" customFormat="1" ht="15" customHeight="1" x14ac:dyDescent="0.25">
      <c r="B218" s="30" t="s">
        <v>170</v>
      </c>
      <c r="C218" s="30" t="s">
        <v>6</v>
      </c>
      <c r="D218" s="30" t="s">
        <v>10</v>
      </c>
      <c r="E218" s="30" t="s">
        <v>14</v>
      </c>
      <c r="F218" s="11"/>
      <c r="G218" s="30">
        <v>2</v>
      </c>
      <c r="H218" s="30" t="s">
        <v>394</v>
      </c>
      <c r="I218" s="21" t="s">
        <v>35</v>
      </c>
      <c r="J218" s="21" t="s">
        <v>561</v>
      </c>
      <c r="K218" s="30" t="s">
        <v>107</v>
      </c>
      <c r="L218" s="35">
        <v>0</v>
      </c>
      <c r="M218" s="22">
        <v>16.190000000000001</v>
      </c>
      <c r="N218" s="42">
        <v>44706</v>
      </c>
      <c r="O218" s="30" t="s">
        <v>114</v>
      </c>
    </row>
    <row r="219" spans="2:15" s="30" customFormat="1" ht="15" customHeight="1" x14ac:dyDescent="0.25">
      <c r="B219" s="30" t="s">
        <v>170</v>
      </c>
      <c r="C219" s="30" t="s">
        <v>6</v>
      </c>
      <c r="D219" s="30" t="s">
        <v>10</v>
      </c>
      <c r="E219" s="30" t="s">
        <v>14</v>
      </c>
      <c r="F219" s="11"/>
      <c r="G219" s="30">
        <v>2</v>
      </c>
      <c r="H219" s="30" t="s">
        <v>394</v>
      </c>
      <c r="I219" s="21" t="s">
        <v>68</v>
      </c>
      <c r="J219" s="21" t="s">
        <v>266</v>
      </c>
      <c r="K219" s="30" t="s">
        <v>94</v>
      </c>
      <c r="L219" s="35">
        <v>0</v>
      </c>
      <c r="M219" s="22">
        <v>277.39999999999998</v>
      </c>
      <c r="N219" s="42">
        <v>44706</v>
      </c>
      <c r="O219" s="30" t="s">
        <v>114</v>
      </c>
    </row>
    <row r="220" spans="2:15" s="30" customFormat="1" ht="15" hidden="1" customHeight="1" x14ac:dyDescent="0.25">
      <c r="B220" s="30" t="s">
        <v>169</v>
      </c>
      <c r="C220" s="30" t="s">
        <v>6</v>
      </c>
      <c r="D220" s="30" t="s">
        <v>10</v>
      </c>
      <c r="E220" s="30" t="s">
        <v>14</v>
      </c>
      <c r="F220" s="11"/>
      <c r="G220" s="30">
        <v>2</v>
      </c>
      <c r="H220" s="30" t="s">
        <v>391</v>
      </c>
      <c r="I220" s="21" t="s">
        <v>68</v>
      </c>
      <c r="J220" s="21" t="s">
        <v>226</v>
      </c>
      <c r="K220" s="30" t="s">
        <v>107</v>
      </c>
      <c r="L220" s="35">
        <v>0</v>
      </c>
      <c r="M220" s="22">
        <v>28.09</v>
      </c>
      <c r="N220" s="42">
        <v>44706</v>
      </c>
      <c r="O220" s="30" t="s">
        <v>115</v>
      </c>
    </row>
    <row r="221" spans="2:15" s="30" customFormat="1" ht="15" hidden="1" customHeight="1" x14ac:dyDescent="0.25">
      <c r="B221" s="30" t="s">
        <v>168</v>
      </c>
      <c r="C221" s="30" t="s">
        <v>6</v>
      </c>
      <c r="D221" s="30" t="s">
        <v>10</v>
      </c>
      <c r="E221" s="30" t="s">
        <v>297</v>
      </c>
      <c r="F221" s="11"/>
      <c r="G221" s="30">
        <v>2</v>
      </c>
      <c r="H221" s="30" t="s">
        <v>389</v>
      </c>
      <c r="I221" s="21" t="s">
        <v>48</v>
      </c>
      <c r="J221" s="21" t="s">
        <v>364</v>
      </c>
      <c r="K221" s="30" t="s">
        <v>94</v>
      </c>
      <c r="L221" s="35">
        <v>0</v>
      </c>
      <c r="M221" s="22">
        <v>6.7</v>
      </c>
      <c r="N221" s="42">
        <v>44706</v>
      </c>
      <c r="O221" s="30" t="s">
        <v>115</v>
      </c>
    </row>
    <row r="222" spans="2:15" s="30" customFormat="1" ht="15" hidden="1" customHeight="1" x14ac:dyDescent="0.25">
      <c r="B222" s="30" t="s">
        <v>168</v>
      </c>
      <c r="C222" s="30" t="s">
        <v>6</v>
      </c>
      <c r="D222" s="30" t="s">
        <v>10</v>
      </c>
      <c r="E222" s="30" t="s">
        <v>297</v>
      </c>
      <c r="F222" s="11"/>
      <c r="G222" s="30">
        <v>2</v>
      </c>
      <c r="H222" s="30" t="s">
        <v>389</v>
      </c>
      <c r="I222" s="21" t="s">
        <v>68</v>
      </c>
      <c r="J222" s="21" t="s">
        <v>104</v>
      </c>
      <c r="K222" s="30" t="s">
        <v>94</v>
      </c>
      <c r="L222" s="35">
        <v>0</v>
      </c>
      <c r="M222" s="22">
        <v>3.03</v>
      </c>
      <c r="N222" s="42">
        <v>44706</v>
      </c>
      <c r="O222" s="30" t="s">
        <v>115</v>
      </c>
    </row>
    <row r="223" spans="2:15" s="30" customFormat="1" ht="15" hidden="1" customHeight="1" x14ac:dyDescent="0.25">
      <c r="B223" s="30" t="s">
        <v>168</v>
      </c>
      <c r="C223" s="30" t="s">
        <v>6</v>
      </c>
      <c r="D223" s="30" t="s">
        <v>10</v>
      </c>
      <c r="E223" s="30" t="s">
        <v>297</v>
      </c>
      <c r="F223" s="11"/>
      <c r="G223" s="30">
        <v>2</v>
      </c>
      <c r="H223" s="30" t="s">
        <v>390</v>
      </c>
      <c r="I223" s="21" t="s">
        <v>38</v>
      </c>
      <c r="J223" s="21" t="s">
        <v>328</v>
      </c>
      <c r="K223" s="30" t="s">
        <v>94</v>
      </c>
      <c r="L223" s="36">
        <v>0</v>
      </c>
      <c r="M223" s="18">
        <v>7.41</v>
      </c>
      <c r="N223" s="42">
        <v>44706</v>
      </c>
      <c r="O223" s="30" t="s">
        <v>115</v>
      </c>
    </row>
    <row r="224" spans="2:15" s="30" customFormat="1" ht="15" hidden="1" customHeight="1" x14ac:dyDescent="0.25">
      <c r="B224" s="30" t="s">
        <v>165</v>
      </c>
      <c r="C224" s="30" t="s">
        <v>6</v>
      </c>
      <c r="D224" s="30" t="s">
        <v>10</v>
      </c>
      <c r="E224" s="30" t="s">
        <v>297</v>
      </c>
      <c r="F224" s="11"/>
      <c r="G224" s="30">
        <v>2</v>
      </c>
      <c r="H224" s="30" t="s">
        <v>30</v>
      </c>
      <c r="I224" s="21" t="s">
        <v>30</v>
      </c>
      <c r="J224" s="21" t="s">
        <v>327</v>
      </c>
      <c r="K224" s="30" t="s">
        <v>116</v>
      </c>
      <c r="L224" s="36">
        <v>25</v>
      </c>
      <c r="M224" s="37">
        <v>29.44</v>
      </c>
      <c r="N224" s="42">
        <v>44706</v>
      </c>
      <c r="O224" s="30" t="s">
        <v>115</v>
      </c>
    </row>
    <row r="225" spans="2:15" s="30" customFormat="1" ht="15" hidden="1" customHeight="1" x14ac:dyDescent="0.25">
      <c r="B225" s="30" t="s">
        <v>165</v>
      </c>
      <c r="C225" s="30" t="s">
        <v>6</v>
      </c>
      <c r="D225" s="30" t="s">
        <v>10</v>
      </c>
      <c r="E225" s="30" t="s">
        <v>297</v>
      </c>
      <c r="F225" s="11"/>
      <c r="G225" s="30">
        <v>2</v>
      </c>
      <c r="H225" s="30" t="s">
        <v>30</v>
      </c>
      <c r="I225" s="21" t="s">
        <v>30</v>
      </c>
      <c r="J225" s="21" t="s">
        <v>229</v>
      </c>
      <c r="K225" s="30" t="s">
        <v>116</v>
      </c>
      <c r="L225" s="36">
        <v>35</v>
      </c>
      <c r="M225" s="37">
        <v>64.39</v>
      </c>
      <c r="N225" s="42">
        <v>44706</v>
      </c>
      <c r="O225" s="30" t="s">
        <v>115</v>
      </c>
    </row>
    <row r="226" spans="2:15" s="30" customFormat="1" ht="15" hidden="1" customHeight="1" x14ac:dyDescent="0.25">
      <c r="B226" s="30" t="s">
        <v>165</v>
      </c>
      <c r="C226" s="30" t="s">
        <v>6</v>
      </c>
      <c r="D226" s="30" t="s">
        <v>10</v>
      </c>
      <c r="E226" s="30" t="s">
        <v>297</v>
      </c>
      <c r="F226" s="11"/>
      <c r="G226" s="30">
        <v>2</v>
      </c>
      <c r="H226" s="30" t="s">
        <v>30</v>
      </c>
      <c r="I226" s="21" t="s">
        <v>30</v>
      </c>
      <c r="J226" s="21" t="s">
        <v>334</v>
      </c>
      <c r="K226" s="30" t="s">
        <v>116</v>
      </c>
      <c r="L226" s="36">
        <v>20</v>
      </c>
      <c r="M226" s="37">
        <v>40.06</v>
      </c>
      <c r="N226" s="42">
        <v>44706</v>
      </c>
      <c r="O226" s="30" t="s">
        <v>115</v>
      </c>
    </row>
    <row r="227" spans="2:15" s="30" customFormat="1" ht="30" hidden="1" customHeight="1" x14ac:dyDescent="0.25">
      <c r="B227" s="30" t="s">
        <v>165</v>
      </c>
      <c r="C227" s="30" t="s">
        <v>6</v>
      </c>
      <c r="D227" s="30" t="s">
        <v>10</v>
      </c>
      <c r="E227" s="30" t="s">
        <v>297</v>
      </c>
      <c r="F227" s="11"/>
      <c r="G227" s="30">
        <v>2</v>
      </c>
      <c r="H227" s="30" t="s">
        <v>196</v>
      </c>
      <c r="I227" s="21" t="s">
        <v>30</v>
      </c>
      <c r="J227" s="21" t="s">
        <v>230</v>
      </c>
      <c r="K227" s="30" t="s">
        <v>116</v>
      </c>
      <c r="L227" s="36">
        <v>16</v>
      </c>
      <c r="M227" s="37">
        <v>59.41</v>
      </c>
      <c r="N227" s="42">
        <v>44706</v>
      </c>
      <c r="O227" s="30" t="s">
        <v>115</v>
      </c>
    </row>
    <row r="228" spans="2:15" s="30" customFormat="1" ht="30" hidden="1" customHeight="1" x14ac:dyDescent="0.25">
      <c r="B228" s="30" t="s">
        <v>165</v>
      </c>
      <c r="C228" s="30" t="s">
        <v>6</v>
      </c>
      <c r="D228" s="30" t="s">
        <v>10</v>
      </c>
      <c r="E228" s="30" t="s">
        <v>297</v>
      </c>
      <c r="F228" s="11"/>
      <c r="G228" s="30">
        <v>2</v>
      </c>
      <c r="H228" s="30" t="s">
        <v>30</v>
      </c>
      <c r="I228" s="21" t="s">
        <v>30</v>
      </c>
      <c r="J228" s="21" t="s">
        <v>421</v>
      </c>
      <c r="K228" s="30" t="s">
        <v>107</v>
      </c>
      <c r="L228" s="36">
        <v>1</v>
      </c>
      <c r="M228" s="18">
        <v>3.5</v>
      </c>
      <c r="N228" s="42">
        <v>44706</v>
      </c>
      <c r="O228" s="30" t="s">
        <v>115</v>
      </c>
    </row>
    <row r="229" spans="2:15" s="30" customFormat="1" ht="15" customHeight="1" x14ac:dyDescent="0.25">
      <c r="B229" s="30" t="s">
        <v>170</v>
      </c>
      <c r="C229" s="30" t="s">
        <v>6</v>
      </c>
      <c r="D229" s="30" t="s">
        <v>10</v>
      </c>
      <c r="E229" s="30" t="s">
        <v>297</v>
      </c>
      <c r="F229" s="11"/>
      <c r="G229" s="30">
        <v>2</v>
      </c>
      <c r="H229" s="30" t="s">
        <v>190</v>
      </c>
      <c r="I229" s="21" t="s">
        <v>30</v>
      </c>
      <c r="J229" s="21" t="s">
        <v>560</v>
      </c>
      <c r="K229" s="21" t="s">
        <v>107</v>
      </c>
      <c r="L229" s="35">
        <v>0</v>
      </c>
      <c r="M229" s="34">
        <v>12.38</v>
      </c>
      <c r="N229" s="42">
        <v>44706</v>
      </c>
      <c r="O229" s="30" t="s">
        <v>114</v>
      </c>
    </row>
    <row r="230" spans="2:15" s="30" customFormat="1" ht="15" hidden="1" customHeight="1" x14ac:dyDescent="0.25">
      <c r="B230" s="30" t="s">
        <v>168</v>
      </c>
      <c r="C230" s="30" t="s">
        <v>6</v>
      </c>
      <c r="D230" s="30" t="s">
        <v>10</v>
      </c>
      <c r="E230" s="30" t="s">
        <v>14</v>
      </c>
      <c r="F230" s="11" t="s">
        <v>205</v>
      </c>
      <c r="G230" s="30">
        <v>3</v>
      </c>
      <c r="H230" s="30" t="s">
        <v>23</v>
      </c>
      <c r="I230" s="21" t="s">
        <v>68</v>
      </c>
      <c r="J230" s="21" t="s">
        <v>784</v>
      </c>
      <c r="K230" s="30" t="s">
        <v>90</v>
      </c>
      <c r="L230" s="35">
        <v>7</v>
      </c>
      <c r="M230" s="22">
        <v>19.09</v>
      </c>
      <c r="N230" s="42">
        <v>44711</v>
      </c>
      <c r="O230" s="30" t="s">
        <v>115</v>
      </c>
    </row>
    <row r="231" spans="2:15" s="30" customFormat="1" ht="15" hidden="1" customHeight="1" x14ac:dyDescent="0.25">
      <c r="B231" s="30" t="s">
        <v>168</v>
      </c>
      <c r="C231" s="30" t="s">
        <v>6</v>
      </c>
      <c r="D231" s="30" t="s">
        <v>10</v>
      </c>
      <c r="E231" s="30" t="s">
        <v>14</v>
      </c>
      <c r="F231" s="11" t="s">
        <v>206</v>
      </c>
      <c r="G231" s="30">
        <v>3</v>
      </c>
      <c r="H231" s="30" t="s">
        <v>23</v>
      </c>
      <c r="I231" s="21" t="s">
        <v>42</v>
      </c>
      <c r="J231" s="21" t="s">
        <v>472</v>
      </c>
      <c r="K231" s="30" t="s">
        <v>90</v>
      </c>
      <c r="L231" s="35">
        <v>1</v>
      </c>
      <c r="M231" s="22">
        <v>10.56</v>
      </c>
      <c r="N231" s="42">
        <v>44711</v>
      </c>
      <c r="O231" s="30" t="s">
        <v>115</v>
      </c>
    </row>
    <row r="232" spans="2:15" s="30" customFormat="1" ht="15" hidden="1" customHeight="1" x14ac:dyDescent="0.25">
      <c r="B232" s="30" t="s">
        <v>168</v>
      </c>
      <c r="C232" s="30" t="s">
        <v>6</v>
      </c>
      <c r="D232" s="30" t="s">
        <v>10</v>
      </c>
      <c r="E232" s="30" t="s">
        <v>14</v>
      </c>
      <c r="F232" s="11" t="s">
        <v>207</v>
      </c>
      <c r="G232" s="30">
        <v>3</v>
      </c>
      <c r="H232" s="30" t="s">
        <v>23</v>
      </c>
      <c r="I232" s="21" t="s">
        <v>42</v>
      </c>
      <c r="J232" s="21" t="s">
        <v>473</v>
      </c>
      <c r="K232" s="30" t="s">
        <v>90</v>
      </c>
      <c r="L232" s="35">
        <v>1</v>
      </c>
      <c r="M232" s="22">
        <v>12.9</v>
      </c>
      <c r="N232" s="42">
        <v>44711</v>
      </c>
      <c r="O232" s="30" t="s">
        <v>115</v>
      </c>
    </row>
    <row r="233" spans="2:15" s="30" customFormat="1" ht="15" hidden="1" customHeight="1" x14ac:dyDescent="0.25">
      <c r="B233" s="30" t="s">
        <v>165</v>
      </c>
      <c r="C233" s="30" t="s">
        <v>6</v>
      </c>
      <c r="D233" s="30" t="s">
        <v>10</v>
      </c>
      <c r="E233" s="30" t="s">
        <v>14</v>
      </c>
      <c r="F233" s="11" t="s">
        <v>335</v>
      </c>
      <c r="G233" s="30">
        <v>3</v>
      </c>
      <c r="H233" s="30" t="s">
        <v>21</v>
      </c>
      <c r="I233" s="21" t="s">
        <v>42</v>
      </c>
      <c r="J233" s="21" t="s">
        <v>336</v>
      </c>
      <c r="K233" s="30" t="s">
        <v>90</v>
      </c>
      <c r="L233" s="35">
        <v>6</v>
      </c>
      <c r="M233" s="22">
        <v>27.63</v>
      </c>
      <c r="N233" s="42">
        <v>44711</v>
      </c>
      <c r="O233" s="30" t="s">
        <v>115</v>
      </c>
    </row>
    <row r="234" spans="2:15" s="30" customFormat="1" ht="30" hidden="1" customHeight="1" x14ac:dyDescent="0.25">
      <c r="B234" s="30" t="s">
        <v>165</v>
      </c>
      <c r="C234" s="30" t="s">
        <v>6</v>
      </c>
      <c r="D234" s="30" t="s">
        <v>10</v>
      </c>
      <c r="E234" s="30" t="s">
        <v>14</v>
      </c>
      <c r="F234" s="11"/>
      <c r="G234" s="30">
        <v>3</v>
      </c>
      <c r="H234" s="30" t="s">
        <v>398</v>
      </c>
      <c r="I234" s="21" t="s">
        <v>42</v>
      </c>
      <c r="J234" s="21" t="s">
        <v>568</v>
      </c>
      <c r="K234" s="30" t="s">
        <v>90</v>
      </c>
      <c r="L234" s="35">
        <v>1</v>
      </c>
      <c r="M234" s="22">
        <v>2.21</v>
      </c>
      <c r="N234" s="42">
        <v>44711</v>
      </c>
      <c r="O234" s="30" t="s">
        <v>115</v>
      </c>
    </row>
    <row r="235" spans="2:15" s="30" customFormat="1" ht="30" hidden="1" customHeight="1" x14ac:dyDescent="0.25">
      <c r="B235" s="30" t="s">
        <v>165</v>
      </c>
      <c r="C235" s="30" t="s">
        <v>6</v>
      </c>
      <c r="D235" s="30" t="s">
        <v>10</v>
      </c>
      <c r="E235" s="30" t="s">
        <v>14</v>
      </c>
      <c r="F235" s="11"/>
      <c r="G235" s="30">
        <v>3</v>
      </c>
      <c r="H235" s="30" t="s">
        <v>398</v>
      </c>
      <c r="I235" s="21" t="s">
        <v>42</v>
      </c>
      <c r="J235" s="21" t="s">
        <v>569</v>
      </c>
      <c r="K235" s="30" t="s">
        <v>90</v>
      </c>
      <c r="L235" s="35">
        <v>1</v>
      </c>
      <c r="M235" s="22">
        <v>4.1100000000000003</v>
      </c>
      <c r="N235" s="42">
        <v>44711</v>
      </c>
      <c r="O235" s="30" t="s">
        <v>115</v>
      </c>
    </row>
    <row r="236" spans="2:15" s="30" customFormat="1" ht="30" hidden="1" customHeight="1" x14ac:dyDescent="0.25">
      <c r="B236" s="30" t="s">
        <v>165</v>
      </c>
      <c r="C236" s="30" t="s">
        <v>6</v>
      </c>
      <c r="D236" s="30" t="s">
        <v>10</v>
      </c>
      <c r="E236" s="30" t="s">
        <v>14</v>
      </c>
      <c r="F236" s="11" t="s">
        <v>209</v>
      </c>
      <c r="G236" s="30">
        <v>3</v>
      </c>
      <c r="H236" s="30" t="s">
        <v>26</v>
      </c>
      <c r="I236" s="21" t="s">
        <v>32</v>
      </c>
      <c r="J236" s="21" t="s">
        <v>803</v>
      </c>
      <c r="K236" s="30" t="s">
        <v>90</v>
      </c>
      <c r="L236" s="35">
        <v>32</v>
      </c>
      <c r="M236" s="22">
        <v>77.489999999999995</v>
      </c>
      <c r="N236" s="42">
        <v>44711</v>
      </c>
      <c r="O236" s="30" t="s">
        <v>115</v>
      </c>
    </row>
    <row r="237" spans="2:15" s="30" customFormat="1" ht="45.75" hidden="1" customHeight="1" x14ac:dyDescent="0.25">
      <c r="B237" s="30" t="s">
        <v>165</v>
      </c>
      <c r="C237" s="30" t="s">
        <v>6</v>
      </c>
      <c r="D237" s="30" t="s">
        <v>10</v>
      </c>
      <c r="E237" s="30" t="s">
        <v>14</v>
      </c>
      <c r="F237" s="11" t="s">
        <v>210</v>
      </c>
      <c r="G237" s="30">
        <v>3</v>
      </c>
      <c r="H237" s="30" t="s">
        <v>26</v>
      </c>
      <c r="I237" s="21" t="s">
        <v>32</v>
      </c>
      <c r="J237" s="21" t="s">
        <v>803</v>
      </c>
      <c r="K237" s="30" t="s">
        <v>90</v>
      </c>
      <c r="L237" s="35">
        <v>32</v>
      </c>
      <c r="M237" s="22">
        <v>74.83</v>
      </c>
      <c r="N237" s="42">
        <v>44711</v>
      </c>
      <c r="O237" s="30" t="s">
        <v>115</v>
      </c>
    </row>
    <row r="238" spans="2:15" s="30" customFormat="1" ht="30" hidden="1" customHeight="1" x14ac:dyDescent="0.25">
      <c r="B238" s="30" t="s">
        <v>165</v>
      </c>
      <c r="C238" s="30" t="s">
        <v>6</v>
      </c>
      <c r="D238" s="30" t="s">
        <v>10</v>
      </c>
      <c r="E238" s="30" t="s">
        <v>14</v>
      </c>
      <c r="F238" s="11" t="s">
        <v>562</v>
      </c>
      <c r="G238" s="30">
        <v>3</v>
      </c>
      <c r="H238" s="30" t="s">
        <v>26</v>
      </c>
      <c r="I238" s="21" t="s">
        <v>32</v>
      </c>
      <c r="J238" s="21" t="s">
        <v>138</v>
      </c>
      <c r="K238" s="30" t="s">
        <v>90</v>
      </c>
      <c r="L238" s="35">
        <v>64</v>
      </c>
      <c r="M238" s="22">
        <v>74.98</v>
      </c>
      <c r="N238" s="42">
        <v>44711</v>
      </c>
      <c r="O238" s="30" t="s">
        <v>115</v>
      </c>
    </row>
    <row r="239" spans="2:15" s="30" customFormat="1" ht="30" hidden="1" customHeight="1" x14ac:dyDescent="0.25">
      <c r="B239" s="30" t="s">
        <v>168</v>
      </c>
      <c r="C239" s="30" t="s">
        <v>6</v>
      </c>
      <c r="D239" s="30" t="s">
        <v>10</v>
      </c>
      <c r="E239" s="30" t="s">
        <v>14</v>
      </c>
      <c r="F239" s="11"/>
      <c r="G239" s="30">
        <v>3</v>
      </c>
      <c r="H239" s="30" t="s">
        <v>258</v>
      </c>
      <c r="I239" s="21" t="s">
        <v>61</v>
      </c>
      <c r="J239" s="21" t="s">
        <v>365</v>
      </c>
      <c r="K239" s="30" t="s">
        <v>94</v>
      </c>
      <c r="L239" s="35">
        <v>0</v>
      </c>
      <c r="M239" s="22">
        <v>5.89</v>
      </c>
      <c r="N239" s="42">
        <v>44711</v>
      </c>
      <c r="O239" s="30" t="s">
        <v>115</v>
      </c>
    </row>
    <row r="240" spans="2:15" s="30" customFormat="1" ht="30" hidden="1" customHeight="1" x14ac:dyDescent="0.25">
      <c r="B240" s="30" t="s">
        <v>168</v>
      </c>
      <c r="C240" s="30" t="s">
        <v>6</v>
      </c>
      <c r="D240" s="30" t="s">
        <v>10</v>
      </c>
      <c r="E240" s="30" t="s">
        <v>14</v>
      </c>
      <c r="F240" s="11"/>
      <c r="G240" s="30">
        <v>3</v>
      </c>
      <c r="H240" s="30" t="s">
        <v>390</v>
      </c>
      <c r="I240" s="21" t="s">
        <v>38</v>
      </c>
      <c r="J240" s="21" t="s">
        <v>326</v>
      </c>
      <c r="K240" s="30" t="s">
        <v>94</v>
      </c>
      <c r="L240" s="35">
        <v>0</v>
      </c>
      <c r="M240" s="22">
        <v>5.74</v>
      </c>
      <c r="N240" s="42">
        <v>44711</v>
      </c>
      <c r="O240" s="30" t="s">
        <v>115</v>
      </c>
    </row>
    <row r="241" spans="2:15" s="30" customFormat="1" ht="15" hidden="1" customHeight="1" x14ac:dyDescent="0.25">
      <c r="B241" s="30" t="s">
        <v>168</v>
      </c>
      <c r="C241" s="30" t="s">
        <v>6</v>
      </c>
      <c r="D241" s="30" t="s">
        <v>10</v>
      </c>
      <c r="E241" s="30" t="s">
        <v>297</v>
      </c>
      <c r="F241" s="11"/>
      <c r="G241" s="30">
        <v>3</v>
      </c>
      <c r="H241" s="30" t="s">
        <v>389</v>
      </c>
      <c r="I241" s="21" t="s">
        <v>68</v>
      </c>
      <c r="J241" s="21" t="s">
        <v>337</v>
      </c>
      <c r="K241" s="30" t="s">
        <v>94</v>
      </c>
      <c r="L241" s="36">
        <v>0</v>
      </c>
      <c r="M241" s="18">
        <v>3.37</v>
      </c>
      <c r="N241" s="42">
        <v>44711</v>
      </c>
      <c r="O241" s="30" t="s">
        <v>115</v>
      </c>
    </row>
    <row r="242" spans="2:15" s="30" customFormat="1" ht="15" hidden="1" customHeight="1" x14ac:dyDescent="0.25">
      <c r="B242" s="30" t="s">
        <v>168</v>
      </c>
      <c r="C242" s="30" t="s">
        <v>6</v>
      </c>
      <c r="D242" s="30" t="s">
        <v>10</v>
      </c>
      <c r="E242" s="30" t="s">
        <v>297</v>
      </c>
      <c r="F242" s="11"/>
      <c r="G242" s="30">
        <v>3</v>
      </c>
      <c r="H242" s="30" t="s">
        <v>389</v>
      </c>
      <c r="I242" s="21" t="s">
        <v>48</v>
      </c>
      <c r="J242" s="21" t="s">
        <v>375</v>
      </c>
      <c r="K242" s="30" t="s">
        <v>94</v>
      </c>
      <c r="L242" s="36">
        <v>0</v>
      </c>
      <c r="M242" s="18">
        <v>6.86</v>
      </c>
      <c r="N242" s="42">
        <v>44711</v>
      </c>
      <c r="O242" s="30" t="s">
        <v>115</v>
      </c>
    </row>
    <row r="243" spans="2:15" s="30" customFormat="1" ht="15" hidden="1" customHeight="1" x14ac:dyDescent="0.25">
      <c r="B243" s="30" t="s">
        <v>167</v>
      </c>
      <c r="C243" s="30" t="s">
        <v>6</v>
      </c>
      <c r="D243" s="30" t="s">
        <v>10</v>
      </c>
      <c r="E243" s="30" t="s">
        <v>14</v>
      </c>
      <c r="F243" s="11"/>
      <c r="G243" s="30">
        <v>3</v>
      </c>
      <c r="H243" s="30" t="s">
        <v>389</v>
      </c>
      <c r="I243" s="21" t="s">
        <v>35</v>
      </c>
      <c r="J243" s="21" t="s">
        <v>464</v>
      </c>
      <c r="K243" s="30" t="s">
        <v>107</v>
      </c>
      <c r="L243" s="36">
        <v>0</v>
      </c>
      <c r="M243" s="18">
        <v>6.6</v>
      </c>
      <c r="N243" s="42">
        <v>44711</v>
      </c>
      <c r="O243" s="30" t="s">
        <v>115</v>
      </c>
    </row>
    <row r="244" spans="2:15" s="30" customFormat="1" ht="15" customHeight="1" x14ac:dyDescent="0.25">
      <c r="B244" s="30" t="s">
        <v>168</v>
      </c>
      <c r="C244" s="30" t="s">
        <v>6</v>
      </c>
      <c r="D244" s="30" t="s">
        <v>10</v>
      </c>
      <c r="E244" s="30" t="s">
        <v>14</v>
      </c>
      <c r="F244" s="11"/>
      <c r="G244" s="30">
        <v>3</v>
      </c>
      <c r="H244" s="30" t="s">
        <v>399</v>
      </c>
      <c r="I244" s="21" t="s">
        <v>68</v>
      </c>
      <c r="J244" s="21" t="s">
        <v>564</v>
      </c>
      <c r="K244" s="30" t="s">
        <v>94</v>
      </c>
      <c r="L244" s="36">
        <v>2</v>
      </c>
      <c r="M244" s="18">
        <v>8.6300000000000008</v>
      </c>
      <c r="N244" s="42">
        <v>44711</v>
      </c>
      <c r="O244" s="30" t="s">
        <v>114</v>
      </c>
    </row>
    <row r="245" spans="2:15" s="30" customFormat="1" ht="26.25" customHeight="1" x14ac:dyDescent="0.25">
      <c r="B245" s="30" t="s">
        <v>168</v>
      </c>
      <c r="C245" s="30" t="s">
        <v>6</v>
      </c>
      <c r="D245" s="30" t="s">
        <v>10</v>
      </c>
      <c r="E245" s="30" t="s">
        <v>14</v>
      </c>
      <c r="F245" s="11"/>
      <c r="G245" s="30">
        <v>3</v>
      </c>
      <c r="H245" s="30" t="s">
        <v>399</v>
      </c>
      <c r="I245" s="21" t="s">
        <v>68</v>
      </c>
      <c r="J245" s="21" t="s">
        <v>565</v>
      </c>
      <c r="K245" s="30" t="s">
        <v>94</v>
      </c>
      <c r="L245" s="36">
        <v>2</v>
      </c>
      <c r="M245" s="18">
        <v>7.71</v>
      </c>
      <c r="N245" s="42">
        <v>44711</v>
      </c>
      <c r="O245" s="30" t="s">
        <v>114</v>
      </c>
    </row>
    <row r="246" spans="2:15" s="30" customFormat="1" ht="30" customHeight="1" x14ac:dyDescent="0.25">
      <c r="B246" s="30" t="s">
        <v>170</v>
      </c>
      <c r="C246" s="30" t="s">
        <v>6</v>
      </c>
      <c r="D246" s="30" t="s">
        <v>10</v>
      </c>
      <c r="E246" s="30" t="s">
        <v>14</v>
      </c>
      <c r="F246" s="11"/>
      <c r="G246" s="30">
        <v>3</v>
      </c>
      <c r="H246" s="30" t="s">
        <v>394</v>
      </c>
      <c r="I246" s="21" t="s">
        <v>35</v>
      </c>
      <c r="J246" s="21" t="s">
        <v>812</v>
      </c>
      <c r="K246" s="30" t="s">
        <v>107</v>
      </c>
      <c r="L246" s="36">
        <v>0</v>
      </c>
      <c r="M246" s="18">
        <v>16.89</v>
      </c>
      <c r="N246" s="42">
        <v>44711</v>
      </c>
      <c r="O246" s="30" t="s">
        <v>114</v>
      </c>
    </row>
    <row r="247" spans="2:15" s="30" customFormat="1" ht="30" customHeight="1" x14ac:dyDescent="0.25">
      <c r="B247" s="30" t="s">
        <v>170</v>
      </c>
      <c r="C247" s="30" t="s">
        <v>6</v>
      </c>
      <c r="D247" s="30" t="s">
        <v>10</v>
      </c>
      <c r="E247" s="30" t="s">
        <v>14</v>
      </c>
      <c r="F247" s="11"/>
      <c r="G247" s="30">
        <v>3</v>
      </c>
      <c r="H247" s="30" t="s">
        <v>391</v>
      </c>
      <c r="I247" s="21" t="s">
        <v>35</v>
      </c>
      <c r="J247" s="21" t="s">
        <v>567</v>
      </c>
      <c r="K247" s="30" t="s">
        <v>107</v>
      </c>
      <c r="L247" s="36">
        <v>8</v>
      </c>
      <c r="M247" s="18">
        <v>7.57</v>
      </c>
      <c r="N247" s="42">
        <v>44711</v>
      </c>
      <c r="O247" s="30" t="s">
        <v>114</v>
      </c>
    </row>
    <row r="248" spans="2:15" s="30" customFormat="1" ht="30" hidden="1" customHeight="1" x14ac:dyDescent="0.25">
      <c r="B248" s="30" t="s">
        <v>168</v>
      </c>
      <c r="C248" s="30" t="s">
        <v>6</v>
      </c>
      <c r="D248" s="30" t="s">
        <v>10</v>
      </c>
      <c r="E248" s="30" t="s">
        <v>297</v>
      </c>
      <c r="F248" s="11" t="s">
        <v>551</v>
      </c>
      <c r="G248" s="30">
        <v>3</v>
      </c>
      <c r="H248" s="30" t="s">
        <v>23</v>
      </c>
      <c r="I248" s="21" t="s">
        <v>70</v>
      </c>
      <c r="J248" s="21" t="s">
        <v>616</v>
      </c>
      <c r="K248" s="30" t="s">
        <v>91</v>
      </c>
      <c r="L248" s="35">
        <v>3</v>
      </c>
      <c r="M248" s="22">
        <v>21.78</v>
      </c>
      <c r="N248" s="42">
        <v>44711</v>
      </c>
      <c r="O248" s="30" t="s">
        <v>115</v>
      </c>
    </row>
    <row r="249" spans="2:15" s="30" customFormat="1" ht="30" hidden="1" customHeight="1" x14ac:dyDescent="0.25">
      <c r="B249" s="30" t="s">
        <v>165</v>
      </c>
      <c r="C249" s="30" t="s">
        <v>6</v>
      </c>
      <c r="D249" s="30" t="s">
        <v>10</v>
      </c>
      <c r="E249" s="30" t="s">
        <v>297</v>
      </c>
      <c r="F249" s="11" t="s">
        <v>552</v>
      </c>
      <c r="G249" s="30">
        <v>3</v>
      </c>
      <c r="H249" s="30" t="s">
        <v>26</v>
      </c>
      <c r="I249" s="21" t="s">
        <v>32</v>
      </c>
      <c r="J249" s="21" t="s">
        <v>138</v>
      </c>
      <c r="K249" s="30" t="s">
        <v>90</v>
      </c>
      <c r="L249" s="35">
        <v>28</v>
      </c>
      <c r="M249" s="22">
        <v>40.33</v>
      </c>
      <c r="N249" s="42">
        <v>44711</v>
      </c>
      <c r="O249" s="30" t="s">
        <v>115</v>
      </c>
    </row>
    <row r="250" spans="2:15" s="30" customFormat="1" ht="30" hidden="1" customHeight="1" x14ac:dyDescent="0.25">
      <c r="B250" s="30" t="s">
        <v>165</v>
      </c>
      <c r="C250" s="30" t="s">
        <v>6</v>
      </c>
      <c r="D250" s="30" t="s">
        <v>10</v>
      </c>
      <c r="E250" s="30" t="s">
        <v>297</v>
      </c>
      <c r="F250" s="11" t="s">
        <v>553</v>
      </c>
      <c r="G250" s="30">
        <v>3</v>
      </c>
      <c r="H250" s="30" t="s">
        <v>26</v>
      </c>
      <c r="I250" s="21" t="s">
        <v>32</v>
      </c>
      <c r="J250" s="21" t="s">
        <v>138</v>
      </c>
      <c r="K250" s="30" t="s">
        <v>90</v>
      </c>
      <c r="L250" s="35">
        <v>42</v>
      </c>
      <c r="M250" s="22">
        <v>63.57</v>
      </c>
      <c r="N250" s="42">
        <v>44711</v>
      </c>
      <c r="O250" s="30" t="s">
        <v>115</v>
      </c>
    </row>
    <row r="251" spans="2:15" s="30" customFormat="1" ht="15" hidden="1" customHeight="1" x14ac:dyDescent="0.25">
      <c r="B251" s="30" t="s">
        <v>165</v>
      </c>
      <c r="C251" s="30" t="s">
        <v>6</v>
      </c>
      <c r="D251" s="30" t="s">
        <v>10</v>
      </c>
      <c r="E251" s="30" t="s">
        <v>297</v>
      </c>
      <c r="F251" s="11" t="s">
        <v>554</v>
      </c>
      <c r="G251" s="30">
        <v>3</v>
      </c>
      <c r="H251" s="30" t="s">
        <v>26</v>
      </c>
      <c r="I251" s="21" t="s">
        <v>32</v>
      </c>
      <c r="J251" s="21" t="s">
        <v>138</v>
      </c>
      <c r="K251" s="30" t="s">
        <v>90</v>
      </c>
      <c r="L251" s="35">
        <v>30</v>
      </c>
      <c r="M251" s="22">
        <v>38.020000000000003</v>
      </c>
      <c r="N251" s="42">
        <v>44711</v>
      </c>
      <c r="O251" s="30" t="s">
        <v>115</v>
      </c>
    </row>
    <row r="252" spans="2:15" s="30" customFormat="1" ht="29.25" hidden="1" customHeight="1" x14ac:dyDescent="0.25">
      <c r="B252" s="30" t="s">
        <v>165</v>
      </c>
      <c r="C252" s="30" t="s">
        <v>6</v>
      </c>
      <c r="D252" s="30" t="s">
        <v>10</v>
      </c>
      <c r="E252" s="30" t="s">
        <v>297</v>
      </c>
      <c r="F252" s="11" t="s">
        <v>555</v>
      </c>
      <c r="G252" s="30">
        <v>3</v>
      </c>
      <c r="H252" s="30" t="s">
        <v>26</v>
      </c>
      <c r="I252" s="21" t="s">
        <v>32</v>
      </c>
      <c r="J252" s="21" t="s">
        <v>138</v>
      </c>
      <c r="K252" s="30" t="s">
        <v>90</v>
      </c>
      <c r="L252" s="35">
        <v>36</v>
      </c>
      <c r="M252" s="22">
        <v>34.590000000000003</v>
      </c>
      <c r="N252" s="42">
        <v>44711</v>
      </c>
      <c r="O252" s="30" t="s">
        <v>115</v>
      </c>
    </row>
    <row r="253" spans="2:15" s="30" customFormat="1" ht="15" hidden="1" customHeight="1" x14ac:dyDescent="0.25">
      <c r="B253" s="30" t="s">
        <v>165</v>
      </c>
      <c r="C253" s="30" t="s">
        <v>6</v>
      </c>
      <c r="D253" s="30" t="s">
        <v>10</v>
      </c>
      <c r="E253" s="30" t="s">
        <v>297</v>
      </c>
      <c r="F253" s="11" t="s">
        <v>556</v>
      </c>
      <c r="G253" s="30">
        <v>3</v>
      </c>
      <c r="H253" s="30" t="s">
        <v>26</v>
      </c>
      <c r="I253" s="21" t="s">
        <v>32</v>
      </c>
      <c r="J253" s="21" t="s">
        <v>138</v>
      </c>
      <c r="K253" s="30" t="s">
        <v>90</v>
      </c>
      <c r="L253" s="35">
        <v>48</v>
      </c>
      <c r="M253" s="22">
        <v>55.03</v>
      </c>
      <c r="N253" s="42">
        <v>44711</v>
      </c>
      <c r="O253" s="30" t="s">
        <v>115</v>
      </c>
    </row>
    <row r="254" spans="2:15" s="30" customFormat="1" ht="15" hidden="1" customHeight="1" x14ac:dyDescent="0.25">
      <c r="B254" s="30" t="s">
        <v>165</v>
      </c>
      <c r="C254" s="30" t="s">
        <v>6</v>
      </c>
      <c r="D254" s="30" t="s">
        <v>10</v>
      </c>
      <c r="E254" s="30" t="s">
        <v>297</v>
      </c>
      <c r="F254" s="11" t="s">
        <v>557</v>
      </c>
      <c r="G254" s="30">
        <v>3</v>
      </c>
      <c r="H254" s="30" t="s">
        <v>26</v>
      </c>
      <c r="I254" s="21" t="s">
        <v>32</v>
      </c>
      <c r="J254" s="21" t="s">
        <v>138</v>
      </c>
      <c r="K254" s="30" t="s">
        <v>90</v>
      </c>
      <c r="L254" s="35">
        <v>48</v>
      </c>
      <c r="M254" s="22">
        <v>49.99</v>
      </c>
      <c r="N254" s="42">
        <v>44711</v>
      </c>
      <c r="O254" s="30" t="s">
        <v>115</v>
      </c>
    </row>
    <row r="255" spans="2:15" s="30" customFormat="1" ht="15" hidden="1" customHeight="1" x14ac:dyDescent="0.25">
      <c r="B255" s="30" t="s">
        <v>165</v>
      </c>
      <c r="C255" s="30" t="s">
        <v>6</v>
      </c>
      <c r="D255" s="30" t="s">
        <v>10</v>
      </c>
      <c r="E255" s="30" t="s">
        <v>297</v>
      </c>
      <c r="F255" s="11" t="s">
        <v>558</v>
      </c>
      <c r="G255" s="30">
        <v>3</v>
      </c>
      <c r="H255" s="30" t="s">
        <v>26</v>
      </c>
      <c r="I255" s="21" t="s">
        <v>32</v>
      </c>
      <c r="J255" s="21" t="s">
        <v>138</v>
      </c>
      <c r="K255" s="30" t="s">
        <v>90</v>
      </c>
      <c r="L255" s="35">
        <v>48</v>
      </c>
      <c r="M255" s="22">
        <v>49.5</v>
      </c>
      <c r="N255" s="42">
        <v>44711</v>
      </c>
      <c r="O255" s="30" t="s">
        <v>115</v>
      </c>
    </row>
    <row r="256" spans="2:15" s="30" customFormat="1" ht="15" hidden="1" customHeight="1" x14ac:dyDescent="0.25">
      <c r="B256" s="30" t="s">
        <v>165</v>
      </c>
      <c r="C256" s="30" t="s">
        <v>6</v>
      </c>
      <c r="D256" s="30" t="s">
        <v>10</v>
      </c>
      <c r="E256" s="30" t="s">
        <v>297</v>
      </c>
      <c r="F256" s="11" t="s">
        <v>559</v>
      </c>
      <c r="G256" s="30">
        <v>3</v>
      </c>
      <c r="H256" s="30" t="s">
        <v>26</v>
      </c>
      <c r="I256" s="21" t="s">
        <v>32</v>
      </c>
      <c r="J256" s="21" t="s">
        <v>138</v>
      </c>
      <c r="K256" s="30" t="s">
        <v>90</v>
      </c>
      <c r="L256" s="35">
        <v>45</v>
      </c>
      <c r="M256" s="22">
        <v>50.13</v>
      </c>
      <c r="N256" s="42">
        <v>44711</v>
      </c>
      <c r="O256" s="30" t="s">
        <v>115</v>
      </c>
    </row>
    <row r="257" spans="2:15" s="30" customFormat="1" ht="29.25" hidden="1" customHeight="1" x14ac:dyDescent="0.25">
      <c r="B257" s="30" t="s">
        <v>168</v>
      </c>
      <c r="C257" s="30" t="s">
        <v>6</v>
      </c>
      <c r="D257" s="30" t="s">
        <v>10</v>
      </c>
      <c r="E257" s="30" t="s">
        <v>297</v>
      </c>
      <c r="F257" s="11" t="s">
        <v>211</v>
      </c>
      <c r="G257" s="30">
        <v>3</v>
      </c>
      <c r="H257" s="30" t="s">
        <v>23</v>
      </c>
      <c r="I257" s="21" t="s">
        <v>53</v>
      </c>
      <c r="J257" s="21" t="s">
        <v>446</v>
      </c>
      <c r="K257" s="30" t="s">
        <v>90</v>
      </c>
      <c r="L257" s="35">
        <v>1</v>
      </c>
      <c r="M257" s="22">
        <v>16.18</v>
      </c>
      <c r="N257" s="42">
        <v>44711</v>
      </c>
      <c r="O257" s="30" t="s">
        <v>115</v>
      </c>
    </row>
    <row r="258" spans="2:15" s="30" customFormat="1" ht="29.25" hidden="1" customHeight="1" x14ac:dyDescent="0.25">
      <c r="B258" s="30" t="s">
        <v>165</v>
      </c>
      <c r="C258" s="30" t="s">
        <v>6</v>
      </c>
      <c r="D258" s="30" t="s">
        <v>10</v>
      </c>
      <c r="E258" s="30" t="s">
        <v>297</v>
      </c>
      <c r="F258" s="11" t="s">
        <v>212</v>
      </c>
      <c r="G258" s="30">
        <v>3</v>
      </c>
      <c r="H258" s="30" t="s">
        <v>21</v>
      </c>
      <c r="I258" s="21" t="s">
        <v>53</v>
      </c>
      <c r="J258" s="21" t="s">
        <v>340</v>
      </c>
      <c r="K258" s="30" t="s">
        <v>90</v>
      </c>
      <c r="L258" s="35">
        <v>12</v>
      </c>
      <c r="M258" s="22">
        <v>39.51</v>
      </c>
      <c r="N258" s="42">
        <v>44711</v>
      </c>
      <c r="O258" s="30" t="s">
        <v>115</v>
      </c>
    </row>
    <row r="259" spans="2:15" s="30" customFormat="1" ht="28.5" hidden="1" customHeight="1" x14ac:dyDescent="0.25">
      <c r="B259" s="30" t="s">
        <v>168</v>
      </c>
      <c r="C259" s="30" t="s">
        <v>6</v>
      </c>
      <c r="D259" s="30" t="s">
        <v>10</v>
      </c>
      <c r="E259" s="30" t="s">
        <v>297</v>
      </c>
      <c r="F259" s="11" t="s">
        <v>213</v>
      </c>
      <c r="G259" s="30">
        <v>3</v>
      </c>
      <c r="H259" s="30" t="s">
        <v>23</v>
      </c>
      <c r="I259" s="21" t="s">
        <v>53</v>
      </c>
      <c r="J259" s="21" t="s">
        <v>447</v>
      </c>
      <c r="K259" s="30" t="s">
        <v>107</v>
      </c>
      <c r="L259" s="35">
        <v>1</v>
      </c>
      <c r="M259" s="22">
        <v>10.29</v>
      </c>
      <c r="N259" s="42">
        <v>44711</v>
      </c>
      <c r="O259" s="30" t="s">
        <v>115</v>
      </c>
    </row>
    <row r="260" spans="2:15" s="30" customFormat="1" ht="15" hidden="1" customHeight="1" x14ac:dyDescent="0.25">
      <c r="B260" s="30" t="s">
        <v>168</v>
      </c>
      <c r="C260" s="30" t="s">
        <v>6</v>
      </c>
      <c r="D260" s="30" t="s">
        <v>10</v>
      </c>
      <c r="E260" s="30" t="s">
        <v>297</v>
      </c>
      <c r="F260" s="11" t="s">
        <v>214</v>
      </c>
      <c r="G260" s="30">
        <v>3</v>
      </c>
      <c r="H260" s="30" t="s">
        <v>23</v>
      </c>
      <c r="I260" s="21" t="s">
        <v>53</v>
      </c>
      <c r="J260" s="21" t="s">
        <v>572</v>
      </c>
      <c r="K260" s="30" t="s">
        <v>90</v>
      </c>
      <c r="L260" s="35">
        <v>1</v>
      </c>
      <c r="M260" s="22">
        <v>10.27</v>
      </c>
      <c r="N260" s="42">
        <v>44711</v>
      </c>
      <c r="O260" s="30" t="s">
        <v>115</v>
      </c>
    </row>
    <row r="261" spans="2:15" s="30" customFormat="1" ht="15" hidden="1" customHeight="1" x14ac:dyDescent="0.25">
      <c r="B261" s="30" t="s">
        <v>168</v>
      </c>
      <c r="C261" s="30" t="s">
        <v>6</v>
      </c>
      <c r="D261" s="30" t="s">
        <v>10</v>
      </c>
      <c r="E261" s="30" t="s">
        <v>297</v>
      </c>
      <c r="F261" s="11" t="s">
        <v>215</v>
      </c>
      <c r="G261" s="30">
        <v>3</v>
      </c>
      <c r="H261" s="30" t="s">
        <v>23</v>
      </c>
      <c r="I261" s="21" t="s">
        <v>53</v>
      </c>
      <c r="J261" s="21" t="s">
        <v>571</v>
      </c>
      <c r="K261" s="30" t="s">
        <v>90</v>
      </c>
      <c r="L261" s="35">
        <v>1</v>
      </c>
      <c r="M261" s="22">
        <v>15.92</v>
      </c>
      <c r="N261" s="42">
        <v>44711</v>
      </c>
      <c r="O261" s="30" t="s">
        <v>115</v>
      </c>
    </row>
    <row r="262" spans="2:15" s="30" customFormat="1" ht="15" hidden="1" customHeight="1" x14ac:dyDescent="0.25">
      <c r="B262" s="30" t="s">
        <v>168</v>
      </c>
      <c r="C262" s="30" t="s">
        <v>6</v>
      </c>
      <c r="D262" s="30" t="s">
        <v>10</v>
      </c>
      <c r="E262" s="30" t="s">
        <v>297</v>
      </c>
      <c r="F262" s="11" t="s">
        <v>215</v>
      </c>
      <c r="G262" s="30">
        <v>3</v>
      </c>
      <c r="H262" s="30" t="s">
        <v>394</v>
      </c>
      <c r="I262" s="21" t="s">
        <v>53</v>
      </c>
      <c r="J262" s="21" t="s">
        <v>366</v>
      </c>
      <c r="K262" s="30" t="s">
        <v>107</v>
      </c>
      <c r="L262" s="35">
        <v>6</v>
      </c>
      <c r="M262" s="22">
        <v>9.94</v>
      </c>
      <c r="N262" s="42">
        <v>44711</v>
      </c>
      <c r="O262" s="30" t="s">
        <v>115</v>
      </c>
    </row>
    <row r="263" spans="2:15" s="30" customFormat="1" ht="30" hidden="1" customHeight="1" x14ac:dyDescent="0.25">
      <c r="B263" s="30" t="s">
        <v>168</v>
      </c>
      <c r="C263" s="30" t="s">
        <v>6</v>
      </c>
      <c r="D263" s="30" t="s">
        <v>10</v>
      </c>
      <c r="E263" s="30" t="s">
        <v>297</v>
      </c>
      <c r="F263" s="11"/>
      <c r="G263" s="30">
        <v>3</v>
      </c>
      <c r="H263" s="30" t="s">
        <v>398</v>
      </c>
      <c r="I263" s="21" t="s">
        <v>68</v>
      </c>
      <c r="J263" s="21" t="s">
        <v>338</v>
      </c>
      <c r="K263" s="30" t="s">
        <v>94</v>
      </c>
      <c r="L263" s="35">
        <v>1</v>
      </c>
      <c r="M263" s="22">
        <v>1.44</v>
      </c>
      <c r="N263" s="42">
        <v>44711</v>
      </c>
      <c r="O263" s="30" t="s">
        <v>115</v>
      </c>
    </row>
    <row r="264" spans="2:15" s="30" customFormat="1" ht="45" hidden="1" customHeight="1" x14ac:dyDescent="0.25">
      <c r="B264" s="30" t="s">
        <v>168</v>
      </c>
      <c r="C264" s="30" t="s">
        <v>6</v>
      </c>
      <c r="D264" s="30" t="s">
        <v>10</v>
      </c>
      <c r="E264" s="30" t="s">
        <v>297</v>
      </c>
      <c r="F264" s="11"/>
      <c r="G264" s="30">
        <v>3</v>
      </c>
      <c r="H264" s="30" t="s">
        <v>398</v>
      </c>
      <c r="I264" s="21" t="s">
        <v>68</v>
      </c>
      <c r="J264" s="21" t="s">
        <v>339</v>
      </c>
      <c r="K264" s="30" t="s">
        <v>94</v>
      </c>
      <c r="L264" s="35">
        <v>1</v>
      </c>
      <c r="M264" s="22">
        <v>1.44</v>
      </c>
      <c r="N264" s="42">
        <v>44711</v>
      </c>
      <c r="O264" s="30" t="s">
        <v>115</v>
      </c>
    </row>
    <row r="265" spans="2:15" s="30" customFormat="1" ht="15" hidden="1" customHeight="1" x14ac:dyDescent="0.25">
      <c r="B265" s="30" t="s">
        <v>170</v>
      </c>
      <c r="C265" s="30" t="s">
        <v>6</v>
      </c>
      <c r="D265" s="30" t="s">
        <v>10</v>
      </c>
      <c r="E265" s="30" t="s">
        <v>297</v>
      </c>
      <c r="F265" s="11"/>
      <c r="G265" s="30">
        <v>3</v>
      </c>
      <c r="H265" s="30" t="s">
        <v>394</v>
      </c>
      <c r="I265" s="21" t="s">
        <v>68</v>
      </c>
      <c r="J265" s="21" t="s">
        <v>570</v>
      </c>
      <c r="K265" s="30" t="s">
        <v>94</v>
      </c>
      <c r="L265" s="35">
        <v>95</v>
      </c>
      <c r="M265" s="22">
        <v>191.23</v>
      </c>
      <c r="N265" s="42">
        <v>44711</v>
      </c>
      <c r="O265" s="30" t="s">
        <v>115</v>
      </c>
    </row>
    <row r="266" spans="2:15" s="30" customFormat="1" ht="30" hidden="1" customHeight="1" x14ac:dyDescent="0.25">
      <c r="B266" s="30" t="s">
        <v>165</v>
      </c>
      <c r="C266" s="30" t="s">
        <v>6</v>
      </c>
      <c r="D266" s="30" t="s">
        <v>10</v>
      </c>
      <c r="E266" s="30" t="s">
        <v>14</v>
      </c>
      <c r="F266" s="11" t="s">
        <v>573</v>
      </c>
      <c r="G266" s="30">
        <v>4</v>
      </c>
      <c r="H266" s="30" t="s">
        <v>26</v>
      </c>
      <c r="I266" s="21" t="s">
        <v>32</v>
      </c>
      <c r="J266" s="21" t="s">
        <v>138</v>
      </c>
      <c r="K266" s="30" t="s">
        <v>90</v>
      </c>
      <c r="L266" s="35">
        <v>30</v>
      </c>
      <c r="M266" s="22">
        <v>36.450000000000003</v>
      </c>
      <c r="N266" s="44">
        <v>44714</v>
      </c>
      <c r="O266" s="30" t="s">
        <v>115</v>
      </c>
    </row>
    <row r="267" spans="2:15" s="30" customFormat="1" ht="29.25" hidden="1" customHeight="1" x14ac:dyDescent="0.25">
      <c r="B267" s="30" t="s">
        <v>165</v>
      </c>
      <c r="C267" s="30" t="s">
        <v>6</v>
      </c>
      <c r="D267" s="30" t="s">
        <v>10</v>
      </c>
      <c r="E267" s="30" t="s">
        <v>14</v>
      </c>
      <c r="F267" s="11" t="s">
        <v>574</v>
      </c>
      <c r="G267" s="30">
        <v>4</v>
      </c>
      <c r="H267" s="30" t="s">
        <v>26</v>
      </c>
      <c r="I267" s="21" t="s">
        <v>32</v>
      </c>
      <c r="J267" s="21" t="s">
        <v>227</v>
      </c>
      <c r="K267" s="30" t="s">
        <v>90</v>
      </c>
      <c r="L267" s="35">
        <v>24</v>
      </c>
      <c r="M267" s="22">
        <v>55.06</v>
      </c>
      <c r="N267" s="44">
        <v>44714</v>
      </c>
      <c r="O267" s="30" t="s">
        <v>115</v>
      </c>
    </row>
    <row r="268" spans="2:15" s="30" customFormat="1" ht="29.25" hidden="1" customHeight="1" x14ac:dyDescent="0.25">
      <c r="B268" s="30" t="s">
        <v>165</v>
      </c>
      <c r="C268" s="30" t="s">
        <v>6</v>
      </c>
      <c r="D268" s="30" t="s">
        <v>10</v>
      </c>
      <c r="E268" s="30" t="s">
        <v>14</v>
      </c>
      <c r="F268" s="11" t="s">
        <v>575</v>
      </c>
      <c r="G268" s="30">
        <v>4</v>
      </c>
      <c r="H268" s="30" t="s">
        <v>26</v>
      </c>
      <c r="I268" s="21" t="s">
        <v>32</v>
      </c>
      <c r="J268" s="21" t="s">
        <v>227</v>
      </c>
      <c r="K268" s="30" t="s">
        <v>90</v>
      </c>
      <c r="L268" s="35">
        <v>30</v>
      </c>
      <c r="M268" s="22">
        <v>79.86</v>
      </c>
      <c r="N268" s="44">
        <v>44714</v>
      </c>
      <c r="O268" s="30" t="s">
        <v>115</v>
      </c>
    </row>
    <row r="269" spans="2:15" s="30" customFormat="1" ht="30" hidden="1" customHeight="1" x14ac:dyDescent="0.25">
      <c r="B269" s="30" t="s">
        <v>168</v>
      </c>
      <c r="C269" s="30" t="s">
        <v>6</v>
      </c>
      <c r="D269" s="30" t="s">
        <v>10</v>
      </c>
      <c r="E269" s="30" t="s">
        <v>14</v>
      </c>
      <c r="F269" s="11" t="s">
        <v>576</v>
      </c>
      <c r="G269" s="30">
        <v>4</v>
      </c>
      <c r="H269" s="30" t="s">
        <v>258</v>
      </c>
      <c r="I269" s="21" t="s">
        <v>48</v>
      </c>
      <c r="J269" s="21" t="s">
        <v>367</v>
      </c>
      <c r="K269" s="30" t="s">
        <v>94</v>
      </c>
      <c r="L269" s="35">
        <v>0</v>
      </c>
      <c r="M269" s="22">
        <v>5.89</v>
      </c>
      <c r="N269" s="44">
        <v>44714</v>
      </c>
      <c r="O269" s="30" t="s">
        <v>115</v>
      </c>
    </row>
    <row r="270" spans="2:15" s="30" customFormat="1" ht="15" hidden="1" customHeight="1" x14ac:dyDescent="0.25">
      <c r="B270" s="30" t="s">
        <v>168</v>
      </c>
      <c r="C270" s="30" t="s">
        <v>6</v>
      </c>
      <c r="D270" s="30" t="s">
        <v>10</v>
      </c>
      <c r="E270" s="30" t="s">
        <v>14</v>
      </c>
      <c r="F270" s="11" t="s">
        <v>577</v>
      </c>
      <c r="G270" s="30">
        <v>4</v>
      </c>
      <c r="H270" s="30" t="s">
        <v>390</v>
      </c>
      <c r="I270" s="21" t="s">
        <v>38</v>
      </c>
      <c r="J270" s="21" t="s">
        <v>326</v>
      </c>
      <c r="K270" s="30" t="s">
        <v>94</v>
      </c>
      <c r="L270" s="35">
        <v>0</v>
      </c>
      <c r="M270" s="22">
        <v>5.74</v>
      </c>
      <c r="N270" s="44">
        <v>44714</v>
      </c>
      <c r="O270" s="30" t="s">
        <v>115</v>
      </c>
    </row>
    <row r="271" spans="2:15" s="30" customFormat="1" ht="15" hidden="1" customHeight="1" x14ac:dyDescent="0.25">
      <c r="B271" s="30" t="s">
        <v>165</v>
      </c>
      <c r="C271" s="30" t="s">
        <v>6</v>
      </c>
      <c r="D271" s="30" t="s">
        <v>10</v>
      </c>
      <c r="E271" s="30" t="s">
        <v>14</v>
      </c>
      <c r="F271" s="11" t="s">
        <v>579</v>
      </c>
      <c r="G271" s="30">
        <v>4</v>
      </c>
      <c r="H271" s="30" t="s">
        <v>26</v>
      </c>
      <c r="I271" s="21" t="s">
        <v>32</v>
      </c>
      <c r="J271" s="21" t="s">
        <v>149</v>
      </c>
      <c r="K271" s="30" t="s">
        <v>90</v>
      </c>
      <c r="L271" s="35">
        <v>32</v>
      </c>
      <c r="M271" s="22">
        <v>72.81</v>
      </c>
      <c r="N271" s="44">
        <v>44714</v>
      </c>
      <c r="O271" s="30" t="s">
        <v>115</v>
      </c>
    </row>
    <row r="272" spans="2:15" s="30" customFormat="1" ht="15" hidden="1" customHeight="1" x14ac:dyDescent="0.25">
      <c r="B272" s="30" t="s">
        <v>165</v>
      </c>
      <c r="C272" s="30" t="s">
        <v>6</v>
      </c>
      <c r="D272" s="30" t="s">
        <v>10</v>
      </c>
      <c r="E272" s="30" t="s">
        <v>14</v>
      </c>
      <c r="F272" s="11" t="s">
        <v>580</v>
      </c>
      <c r="G272" s="30">
        <v>4</v>
      </c>
      <c r="H272" s="30" t="s">
        <v>26</v>
      </c>
      <c r="I272" s="21" t="s">
        <v>32</v>
      </c>
      <c r="J272" s="21" t="s">
        <v>149</v>
      </c>
      <c r="K272" s="30" t="s">
        <v>90</v>
      </c>
      <c r="L272" s="35">
        <v>40</v>
      </c>
      <c r="M272" s="22">
        <v>75.099999999999994</v>
      </c>
      <c r="N272" s="44">
        <v>44714</v>
      </c>
      <c r="O272" s="30" t="s">
        <v>115</v>
      </c>
    </row>
    <row r="273" spans="2:15" s="30" customFormat="1" ht="15" hidden="1" customHeight="1" x14ac:dyDescent="0.25">
      <c r="B273" s="30" t="s">
        <v>168</v>
      </c>
      <c r="C273" s="30" t="s">
        <v>6</v>
      </c>
      <c r="D273" s="30" t="s">
        <v>10</v>
      </c>
      <c r="E273" s="30" t="s">
        <v>14</v>
      </c>
      <c r="F273" s="11" t="s">
        <v>581</v>
      </c>
      <c r="G273" s="30">
        <v>4</v>
      </c>
      <c r="H273" s="30" t="s">
        <v>27</v>
      </c>
      <c r="I273" s="21" t="s">
        <v>32</v>
      </c>
      <c r="J273" s="21" t="s">
        <v>450</v>
      </c>
      <c r="K273" s="30" t="s">
        <v>90</v>
      </c>
      <c r="L273" s="35">
        <v>5</v>
      </c>
      <c r="M273" s="22">
        <v>21.78</v>
      </c>
      <c r="N273" s="44">
        <v>44714</v>
      </c>
      <c r="O273" s="30" t="s">
        <v>115</v>
      </c>
    </row>
    <row r="274" spans="2:15" s="30" customFormat="1" ht="30" hidden="1" customHeight="1" x14ac:dyDescent="0.25">
      <c r="B274" s="30" t="s">
        <v>165</v>
      </c>
      <c r="C274" s="30" t="s">
        <v>6</v>
      </c>
      <c r="D274" s="30" t="s">
        <v>10</v>
      </c>
      <c r="E274" s="30" t="s">
        <v>14</v>
      </c>
      <c r="F274" s="11" t="s">
        <v>582</v>
      </c>
      <c r="G274" s="30">
        <v>4</v>
      </c>
      <c r="H274" s="30" t="s">
        <v>26</v>
      </c>
      <c r="I274" s="21" t="s">
        <v>32</v>
      </c>
      <c r="J274" s="21" t="s">
        <v>138</v>
      </c>
      <c r="K274" s="30" t="s">
        <v>90</v>
      </c>
      <c r="L274" s="35">
        <v>38</v>
      </c>
      <c r="M274" s="22">
        <v>39.729999999999997</v>
      </c>
      <c r="N274" s="44">
        <v>44714</v>
      </c>
      <c r="O274" s="30" t="s">
        <v>115</v>
      </c>
    </row>
    <row r="275" spans="2:15" s="30" customFormat="1" ht="29.25" customHeight="1" x14ac:dyDescent="0.25">
      <c r="B275" s="30" t="s">
        <v>165</v>
      </c>
      <c r="C275" s="30" t="s">
        <v>6</v>
      </c>
      <c r="D275" s="30" t="s">
        <v>10</v>
      </c>
      <c r="E275" s="30" t="s">
        <v>14</v>
      </c>
      <c r="F275" s="11"/>
      <c r="G275" s="30">
        <v>4</v>
      </c>
      <c r="H275" s="30" t="s">
        <v>399</v>
      </c>
      <c r="I275" s="21" t="s">
        <v>68</v>
      </c>
      <c r="J275" s="21" t="s">
        <v>564</v>
      </c>
      <c r="K275" s="30" t="s">
        <v>94</v>
      </c>
      <c r="L275" s="36">
        <v>2</v>
      </c>
      <c r="M275" s="18">
        <v>8.6300000000000008</v>
      </c>
      <c r="N275" s="44">
        <v>44714</v>
      </c>
      <c r="O275" s="30" t="s">
        <v>114</v>
      </c>
    </row>
    <row r="276" spans="2:15" s="30" customFormat="1" ht="29.25" customHeight="1" x14ac:dyDescent="0.25">
      <c r="B276" s="30" t="s">
        <v>165</v>
      </c>
      <c r="C276" s="30" t="s">
        <v>6</v>
      </c>
      <c r="D276" s="30" t="s">
        <v>10</v>
      </c>
      <c r="E276" s="30" t="s">
        <v>14</v>
      </c>
      <c r="F276" s="11"/>
      <c r="G276" s="30">
        <v>4</v>
      </c>
      <c r="H276" s="30" t="s">
        <v>399</v>
      </c>
      <c r="I276" s="21" t="s">
        <v>68</v>
      </c>
      <c r="J276" s="21" t="s">
        <v>565</v>
      </c>
      <c r="K276" s="30" t="s">
        <v>94</v>
      </c>
      <c r="L276" s="36">
        <v>2</v>
      </c>
      <c r="M276" s="18">
        <v>7.71</v>
      </c>
      <c r="N276" s="44">
        <v>44714</v>
      </c>
      <c r="O276" s="30" t="s">
        <v>114</v>
      </c>
    </row>
    <row r="277" spans="2:15" s="30" customFormat="1" ht="29.25" customHeight="1" x14ac:dyDescent="0.25">
      <c r="B277" s="30" t="s">
        <v>170</v>
      </c>
      <c r="C277" s="30" t="s">
        <v>6</v>
      </c>
      <c r="D277" s="30" t="s">
        <v>10</v>
      </c>
      <c r="E277" s="30" t="s">
        <v>14</v>
      </c>
      <c r="F277" s="11"/>
      <c r="G277" s="30">
        <v>4</v>
      </c>
      <c r="H277" s="30" t="s">
        <v>183</v>
      </c>
      <c r="I277" s="21" t="s">
        <v>35</v>
      </c>
      <c r="J277" s="21" t="s">
        <v>183</v>
      </c>
      <c r="K277" s="30" t="s">
        <v>107</v>
      </c>
      <c r="L277" s="36">
        <v>0</v>
      </c>
      <c r="M277" s="18">
        <v>16.89</v>
      </c>
      <c r="N277" s="44">
        <v>44714</v>
      </c>
      <c r="O277" s="30" t="s">
        <v>114</v>
      </c>
    </row>
    <row r="278" spans="2:15" s="30" customFormat="1" ht="30" customHeight="1" x14ac:dyDescent="0.25">
      <c r="B278" s="30" t="s">
        <v>167</v>
      </c>
      <c r="C278" s="30" t="s">
        <v>6</v>
      </c>
      <c r="D278" s="30" t="s">
        <v>10</v>
      </c>
      <c r="E278" s="30" t="s">
        <v>14</v>
      </c>
      <c r="F278" s="11"/>
      <c r="G278" s="30">
        <v>4</v>
      </c>
      <c r="H278" s="30" t="s">
        <v>389</v>
      </c>
      <c r="I278" s="21" t="s">
        <v>68</v>
      </c>
      <c r="J278" s="21" t="s">
        <v>592</v>
      </c>
      <c r="K278" s="30" t="s">
        <v>107</v>
      </c>
      <c r="L278" s="36">
        <v>2</v>
      </c>
      <c r="M278" s="18">
        <v>15.15</v>
      </c>
      <c r="N278" s="44">
        <v>44714</v>
      </c>
      <c r="O278" s="30" t="s">
        <v>114</v>
      </c>
    </row>
    <row r="279" spans="2:15" s="30" customFormat="1" ht="30" customHeight="1" x14ac:dyDescent="0.25">
      <c r="B279" s="30" t="s">
        <v>170</v>
      </c>
      <c r="C279" s="30" t="s">
        <v>6</v>
      </c>
      <c r="D279" s="30" t="s">
        <v>10</v>
      </c>
      <c r="E279" s="30" t="s">
        <v>14</v>
      </c>
      <c r="F279" s="11"/>
      <c r="G279" s="30">
        <v>4</v>
      </c>
      <c r="H279" s="30" t="s">
        <v>391</v>
      </c>
      <c r="I279" s="21" t="s">
        <v>68</v>
      </c>
      <c r="J279" s="21" t="s">
        <v>813</v>
      </c>
      <c r="K279" s="30" t="s">
        <v>107</v>
      </c>
      <c r="L279" s="36">
        <v>8</v>
      </c>
      <c r="M279" s="18">
        <v>7.62</v>
      </c>
      <c r="N279" s="44">
        <v>44714</v>
      </c>
      <c r="O279" s="30" t="s">
        <v>114</v>
      </c>
    </row>
    <row r="280" spans="2:15" s="30" customFormat="1" ht="15" hidden="1" customHeight="1" x14ac:dyDescent="0.25">
      <c r="B280" s="30" t="s">
        <v>165</v>
      </c>
      <c r="C280" s="30" t="s">
        <v>6</v>
      </c>
      <c r="D280" s="30" t="s">
        <v>10</v>
      </c>
      <c r="E280" s="30" t="s">
        <v>297</v>
      </c>
      <c r="F280" s="11" t="s">
        <v>583</v>
      </c>
      <c r="G280" s="30">
        <v>4</v>
      </c>
      <c r="H280" s="30" t="s">
        <v>26</v>
      </c>
      <c r="I280" s="21" t="s">
        <v>32</v>
      </c>
      <c r="J280" s="21" t="s">
        <v>149</v>
      </c>
      <c r="K280" s="30" t="s">
        <v>90</v>
      </c>
      <c r="L280" s="35">
        <v>45</v>
      </c>
      <c r="M280" s="22">
        <v>63.47</v>
      </c>
      <c r="N280" s="44">
        <v>44714</v>
      </c>
      <c r="O280" s="30" t="s">
        <v>115</v>
      </c>
    </row>
    <row r="281" spans="2:15" s="30" customFormat="1" ht="15" hidden="1" customHeight="1" x14ac:dyDescent="0.25">
      <c r="B281" s="30" t="s">
        <v>165</v>
      </c>
      <c r="C281" s="30" t="s">
        <v>6</v>
      </c>
      <c r="D281" s="30" t="s">
        <v>10</v>
      </c>
      <c r="E281" s="30" t="s">
        <v>297</v>
      </c>
      <c r="F281" s="11" t="s">
        <v>578</v>
      </c>
      <c r="G281" s="30">
        <v>4</v>
      </c>
      <c r="H281" s="30" t="s">
        <v>26</v>
      </c>
      <c r="I281" s="21" t="s">
        <v>32</v>
      </c>
      <c r="J281" s="21" t="s">
        <v>138</v>
      </c>
      <c r="K281" s="30" t="s">
        <v>90</v>
      </c>
      <c r="L281" s="35">
        <v>28</v>
      </c>
      <c r="M281" s="22">
        <v>38.020000000000003</v>
      </c>
      <c r="N281" s="44">
        <v>44714</v>
      </c>
      <c r="O281" s="30" t="s">
        <v>115</v>
      </c>
    </row>
    <row r="282" spans="2:15" s="30" customFormat="1" ht="15" hidden="1" customHeight="1" x14ac:dyDescent="0.25">
      <c r="B282" s="30" t="s">
        <v>165</v>
      </c>
      <c r="C282" s="30" t="s">
        <v>6</v>
      </c>
      <c r="D282" s="30" t="s">
        <v>10</v>
      </c>
      <c r="E282" s="30" t="s">
        <v>297</v>
      </c>
      <c r="F282" s="11" t="s">
        <v>584</v>
      </c>
      <c r="G282" s="30">
        <v>4</v>
      </c>
      <c r="H282" s="30" t="s">
        <v>26</v>
      </c>
      <c r="I282" s="21" t="s">
        <v>32</v>
      </c>
      <c r="J282" s="21" t="s">
        <v>138</v>
      </c>
      <c r="K282" s="30" t="s">
        <v>90</v>
      </c>
      <c r="L282" s="35">
        <v>30</v>
      </c>
      <c r="M282" s="22">
        <v>41.63</v>
      </c>
      <c r="N282" s="44">
        <v>44714</v>
      </c>
      <c r="O282" s="30" t="s">
        <v>115</v>
      </c>
    </row>
    <row r="283" spans="2:15" s="30" customFormat="1" ht="15" hidden="1" customHeight="1" x14ac:dyDescent="0.25">
      <c r="B283" s="30" t="s">
        <v>165</v>
      </c>
      <c r="C283" s="30" t="s">
        <v>6</v>
      </c>
      <c r="D283" s="30" t="s">
        <v>10</v>
      </c>
      <c r="E283" s="30" t="s">
        <v>297</v>
      </c>
      <c r="F283" s="11" t="s">
        <v>585</v>
      </c>
      <c r="G283" s="30">
        <v>4</v>
      </c>
      <c r="H283" s="30" t="s">
        <v>26</v>
      </c>
      <c r="I283" s="21" t="s">
        <v>32</v>
      </c>
      <c r="J283" s="21" t="s">
        <v>138</v>
      </c>
      <c r="K283" s="30" t="s">
        <v>90</v>
      </c>
      <c r="L283" s="35">
        <v>48</v>
      </c>
      <c r="M283" s="22">
        <v>55.03</v>
      </c>
      <c r="N283" s="44">
        <v>44714</v>
      </c>
      <c r="O283" s="30" t="s">
        <v>115</v>
      </c>
    </row>
    <row r="284" spans="2:15" s="30" customFormat="1" ht="29.25" hidden="1" customHeight="1" x14ac:dyDescent="0.25">
      <c r="B284" s="30" t="s">
        <v>165</v>
      </c>
      <c r="C284" s="30" t="s">
        <v>6</v>
      </c>
      <c r="D284" s="30" t="s">
        <v>10</v>
      </c>
      <c r="E284" s="30" t="s">
        <v>297</v>
      </c>
      <c r="F284" s="11" t="s">
        <v>587</v>
      </c>
      <c r="G284" s="30">
        <v>4</v>
      </c>
      <c r="H284" s="30" t="s">
        <v>26</v>
      </c>
      <c r="I284" s="21" t="s">
        <v>32</v>
      </c>
      <c r="J284" s="21" t="s">
        <v>138</v>
      </c>
      <c r="K284" s="30" t="s">
        <v>90</v>
      </c>
      <c r="L284" s="35">
        <v>48</v>
      </c>
      <c r="M284" s="22">
        <v>49.99</v>
      </c>
      <c r="N284" s="44">
        <v>44714</v>
      </c>
      <c r="O284" s="30" t="s">
        <v>115</v>
      </c>
    </row>
    <row r="285" spans="2:15" s="30" customFormat="1" ht="30" hidden="1" customHeight="1" x14ac:dyDescent="0.25">
      <c r="B285" s="30" t="s">
        <v>165</v>
      </c>
      <c r="C285" s="30" t="s">
        <v>6</v>
      </c>
      <c r="D285" s="30" t="s">
        <v>10</v>
      </c>
      <c r="E285" s="30" t="s">
        <v>297</v>
      </c>
      <c r="F285" s="11" t="s">
        <v>588</v>
      </c>
      <c r="G285" s="30">
        <v>4</v>
      </c>
      <c r="H285" s="30" t="s">
        <v>26</v>
      </c>
      <c r="I285" s="21" t="s">
        <v>32</v>
      </c>
      <c r="J285" s="21" t="s">
        <v>138</v>
      </c>
      <c r="K285" s="30" t="s">
        <v>90</v>
      </c>
      <c r="L285" s="35">
        <v>48</v>
      </c>
      <c r="M285" s="22">
        <v>49.5</v>
      </c>
      <c r="N285" s="44">
        <v>44714</v>
      </c>
      <c r="O285" s="30" t="s">
        <v>115</v>
      </c>
    </row>
    <row r="286" spans="2:15" s="30" customFormat="1" ht="29.25" hidden="1" customHeight="1" x14ac:dyDescent="0.25">
      <c r="B286" s="30" t="s">
        <v>165</v>
      </c>
      <c r="C286" s="30" t="s">
        <v>6</v>
      </c>
      <c r="D286" s="30" t="s">
        <v>10</v>
      </c>
      <c r="E286" s="30" t="s">
        <v>297</v>
      </c>
      <c r="F286" s="11" t="s">
        <v>589</v>
      </c>
      <c r="G286" s="30">
        <v>4</v>
      </c>
      <c r="H286" s="30" t="s">
        <v>26</v>
      </c>
      <c r="I286" s="21" t="s">
        <v>32</v>
      </c>
      <c r="J286" s="21" t="s">
        <v>138</v>
      </c>
      <c r="K286" s="30" t="s">
        <v>90</v>
      </c>
      <c r="L286" s="35">
        <v>45</v>
      </c>
      <c r="M286" s="22">
        <v>50.13</v>
      </c>
      <c r="N286" s="44">
        <v>44714</v>
      </c>
      <c r="O286" s="30" t="s">
        <v>115</v>
      </c>
    </row>
    <row r="287" spans="2:15" s="30" customFormat="1" ht="15" hidden="1" customHeight="1" x14ac:dyDescent="0.25">
      <c r="B287" s="30" t="s">
        <v>168</v>
      </c>
      <c r="C287" s="30" t="s">
        <v>6</v>
      </c>
      <c r="D287" s="30" t="s">
        <v>10</v>
      </c>
      <c r="E287" s="30" t="s">
        <v>297</v>
      </c>
      <c r="F287" s="11" t="s">
        <v>590</v>
      </c>
      <c r="G287" s="30">
        <v>4</v>
      </c>
      <c r="H287" s="30" t="s">
        <v>23</v>
      </c>
      <c r="I287" s="21" t="s">
        <v>72</v>
      </c>
      <c r="J287" s="21" t="s">
        <v>816</v>
      </c>
      <c r="K287" s="30" t="s">
        <v>90</v>
      </c>
      <c r="L287" s="35">
        <v>3</v>
      </c>
      <c r="M287" s="22">
        <v>15.34</v>
      </c>
      <c r="N287" s="44">
        <v>44714</v>
      </c>
      <c r="O287" s="30" t="s">
        <v>115</v>
      </c>
    </row>
    <row r="288" spans="2:15" s="30" customFormat="1" ht="15" hidden="1" customHeight="1" x14ac:dyDescent="0.25">
      <c r="B288" s="30" t="s">
        <v>168</v>
      </c>
      <c r="C288" s="30" t="s">
        <v>6</v>
      </c>
      <c r="D288" s="30" t="s">
        <v>10</v>
      </c>
      <c r="E288" s="30" t="s">
        <v>297</v>
      </c>
      <c r="F288" s="11" t="s">
        <v>586</v>
      </c>
      <c r="G288" s="30">
        <v>4</v>
      </c>
      <c r="H288" s="30" t="s">
        <v>23</v>
      </c>
      <c r="I288" s="21" t="s">
        <v>72</v>
      </c>
      <c r="J288" s="21" t="s">
        <v>817</v>
      </c>
      <c r="K288" s="30" t="s">
        <v>90</v>
      </c>
      <c r="L288" s="35">
        <v>3</v>
      </c>
      <c r="M288" s="22">
        <v>16.66</v>
      </c>
      <c r="N288" s="44">
        <v>44714</v>
      </c>
      <c r="O288" s="30" t="s">
        <v>115</v>
      </c>
    </row>
    <row r="289" spans="1:15" s="30" customFormat="1" ht="30.75" hidden="1" customHeight="1" x14ac:dyDescent="0.25">
      <c r="B289" s="30" t="s">
        <v>165</v>
      </c>
      <c r="C289" s="30" t="s">
        <v>6</v>
      </c>
      <c r="D289" s="30" t="s">
        <v>10</v>
      </c>
      <c r="E289" s="30" t="s">
        <v>297</v>
      </c>
      <c r="F289" s="11" t="s">
        <v>591</v>
      </c>
      <c r="G289" s="30">
        <v>4</v>
      </c>
      <c r="H289" s="30" t="s">
        <v>117</v>
      </c>
      <c r="I289" s="21" t="s">
        <v>72</v>
      </c>
      <c r="J289" s="21" t="s">
        <v>815</v>
      </c>
      <c r="K289" s="30" t="s">
        <v>90</v>
      </c>
      <c r="L289" s="35">
        <v>3</v>
      </c>
      <c r="M289" s="22">
        <v>10.57</v>
      </c>
      <c r="N289" s="44">
        <v>44714</v>
      </c>
      <c r="O289" s="30" t="s">
        <v>115</v>
      </c>
    </row>
    <row r="290" spans="1:15" s="30" customFormat="1" ht="15" hidden="1" customHeight="1" x14ac:dyDescent="0.25">
      <c r="B290" s="30" t="s">
        <v>165</v>
      </c>
      <c r="C290" s="30" t="s">
        <v>6</v>
      </c>
      <c r="D290" s="30" t="s">
        <v>10</v>
      </c>
      <c r="E290" s="30" t="s">
        <v>297</v>
      </c>
      <c r="F290" s="11"/>
      <c r="G290" s="30">
        <v>4</v>
      </c>
      <c r="H290" s="30" t="s">
        <v>23</v>
      </c>
      <c r="I290" s="21" t="s">
        <v>85</v>
      </c>
      <c r="J290" s="21" t="s">
        <v>818</v>
      </c>
      <c r="K290" s="30" t="s">
        <v>90</v>
      </c>
      <c r="L290" s="35">
        <v>3</v>
      </c>
      <c r="M290" s="22">
        <v>7.59</v>
      </c>
      <c r="N290" s="44">
        <v>44714</v>
      </c>
      <c r="O290" s="30" t="s">
        <v>115</v>
      </c>
    </row>
    <row r="291" spans="1:15" s="30" customFormat="1" ht="15" hidden="1" customHeight="1" x14ac:dyDescent="0.25">
      <c r="B291" s="30" t="s">
        <v>165</v>
      </c>
      <c r="C291" s="30" t="s">
        <v>6</v>
      </c>
      <c r="D291" s="30" t="s">
        <v>10</v>
      </c>
      <c r="E291" s="30" t="s">
        <v>297</v>
      </c>
      <c r="F291" s="11"/>
      <c r="G291" s="30">
        <v>4</v>
      </c>
      <c r="H291" s="30" t="s">
        <v>21</v>
      </c>
      <c r="I291" s="21" t="s">
        <v>72</v>
      </c>
      <c r="J291" s="21" t="s">
        <v>861</v>
      </c>
      <c r="K291" s="30" t="s">
        <v>90</v>
      </c>
      <c r="L291" s="35">
        <v>18</v>
      </c>
      <c r="M291" s="22">
        <v>39.15</v>
      </c>
      <c r="N291" s="44">
        <v>44714</v>
      </c>
      <c r="O291" s="30" t="s">
        <v>115</v>
      </c>
    </row>
    <row r="292" spans="1:15" s="69" customFormat="1" ht="15" hidden="1" customHeight="1" x14ac:dyDescent="0.25">
      <c r="A292" s="30"/>
      <c r="B292" s="30" t="s">
        <v>165</v>
      </c>
      <c r="C292" s="30" t="s">
        <v>6</v>
      </c>
      <c r="D292" s="30" t="s">
        <v>10</v>
      </c>
      <c r="E292" s="30" t="s">
        <v>297</v>
      </c>
      <c r="F292" s="11"/>
      <c r="G292" s="30">
        <v>4</v>
      </c>
      <c r="H292" s="30" t="s">
        <v>394</v>
      </c>
      <c r="I292" s="21" t="s">
        <v>94</v>
      </c>
      <c r="J292" s="21" t="s">
        <v>777</v>
      </c>
      <c r="K292" s="30" t="s">
        <v>107</v>
      </c>
      <c r="L292" s="35">
        <v>5</v>
      </c>
      <c r="M292" s="22">
        <v>11.75</v>
      </c>
      <c r="N292" s="44">
        <v>44714</v>
      </c>
      <c r="O292" s="30" t="s">
        <v>115</v>
      </c>
    </row>
    <row r="293" spans="1:15" s="30" customFormat="1" ht="15" hidden="1" customHeight="1" x14ac:dyDescent="0.25">
      <c r="B293" s="30" t="s">
        <v>168</v>
      </c>
      <c r="C293" s="30" t="s">
        <v>6</v>
      </c>
      <c r="D293" s="30" t="s">
        <v>10</v>
      </c>
      <c r="E293" s="30" t="s">
        <v>297</v>
      </c>
      <c r="F293" s="11"/>
      <c r="G293" s="30">
        <v>4</v>
      </c>
      <c r="H293" s="30" t="s">
        <v>389</v>
      </c>
      <c r="I293" s="21" t="s">
        <v>48</v>
      </c>
      <c r="J293" s="20" t="s">
        <v>778</v>
      </c>
      <c r="K293" s="30" t="s">
        <v>94</v>
      </c>
      <c r="L293" s="36">
        <v>0</v>
      </c>
      <c r="M293" s="37">
        <v>5.09</v>
      </c>
      <c r="N293" s="44">
        <v>44714</v>
      </c>
      <c r="O293" s="30" t="s">
        <v>115</v>
      </c>
    </row>
    <row r="294" spans="1:15" s="30" customFormat="1" ht="15" hidden="1" customHeight="1" x14ac:dyDescent="0.25">
      <c r="B294" s="30" t="s">
        <v>168</v>
      </c>
      <c r="C294" s="30" t="s">
        <v>6</v>
      </c>
      <c r="D294" s="30" t="s">
        <v>10</v>
      </c>
      <c r="E294" s="30" t="s">
        <v>297</v>
      </c>
      <c r="F294" s="11"/>
      <c r="G294" s="30">
        <v>4</v>
      </c>
      <c r="H294" s="30" t="s">
        <v>389</v>
      </c>
      <c r="I294" s="21" t="s">
        <v>150</v>
      </c>
      <c r="J294" s="20" t="s">
        <v>779</v>
      </c>
      <c r="K294" s="30" t="s">
        <v>94</v>
      </c>
      <c r="L294" s="36">
        <v>0</v>
      </c>
      <c r="M294" s="37">
        <v>5.14</v>
      </c>
      <c r="N294" s="44">
        <v>44714</v>
      </c>
      <c r="O294" s="30" t="s">
        <v>115</v>
      </c>
    </row>
    <row r="295" spans="1:15" s="30" customFormat="1" ht="30" hidden="1" customHeight="1" x14ac:dyDescent="0.25">
      <c r="B295" s="30" t="s">
        <v>168</v>
      </c>
      <c r="C295" s="30" t="s">
        <v>6</v>
      </c>
      <c r="D295" s="30" t="s">
        <v>10</v>
      </c>
      <c r="E295" s="30" t="s">
        <v>297</v>
      </c>
      <c r="F295" s="11"/>
      <c r="G295" s="30">
        <v>4</v>
      </c>
      <c r="H295" s="30" t="s">
        <v>398</v>
      </c>
      <c r="I295" s="21" t="s">
        <v>72</v>
      </c>
      <c r="J295" s="21" t="s">
        <v>814</v>
      </c>
      <c r="K295" s="30" t="s">
        <v>94</v>
      </c>
      <c r="L295" s="35">
        <v>1</v>
      </c>
      <c r="M295" s="22">
        <v>1.44</v>
      </c>
      <c r="N295" s="44">
        <v>44714</v>
      </c>
      <c r="O295" s="30" t="s">
        <v>115</v>
      </c>
    </row>
    <row r="296" spans="1:15" s="30" customFormat="1" ht="15" hidden="1" customHeight="1" x14ac:dyDescent="0.25">
      <c r="B296" s="30" t="s">
        <v>168</v>
      </c>
      <c r="C296" s="30" t="s">
        <v>6</v>
      </c>
      <c r="D296" s="30" t="s">
        <v>10</v>
      </c>
      <c r="E296" s="30" t="s">
        <v>297</v>
      </c>
      <c r="F296" s="11"/>
      <c r="G296" s="30">
        <v>4</v>
      </c>
      <c r="H296" s="30" t="s">
        <v>398</v>
      </c>
      <c r="I296" s="21" t="s">
        <v>72</v>
      </c>
      <c r="J296" s="21" t="s">
        <v>814</v>
      </c>
      <c r="K296" s="30" t="s">
        <v>94</v>
      </c>
      <c r="L296" s="35">
        <v>1</v>
      </c>
      <c r="M296" s="22">
        <v>1.44</v>
      </c>
      <c r="N296" s="44">
        <v>44714</v>
      </c>
      <c r="O296" s="30" t="s">
        <v>115</v>
      </c>
    </row>
    <row r="297" spans="1:15" s="30" customFormat="1" ht="29.25" hidden="1" customHeight="1" x14ac:dyDescent="0.25">
      <c r="B297" s="30" t="s">
        <v>170</v>
      </c>
      <c r="C297" s="30" t="s">
        <v>6</v>
      </c>
      <c r="D297" s="30" t="s">
        <v>10</v>
      </c>
      <c r="E297" s="30" t="s">
        <v>297</v>
      </c>
      <c r="F297" s="11"/>
      <c r="G297" s="30">
        <v>4</v>
      </c>
      <c r="H297" s="30" t="s">
        <v>394</v>
      </c>
      <c r="I297" s="21" t="s">
        <v>68</v>
      </c>
      <c r="J297" s="21" t="s">
        <v>780</v>
      </c>
      <c r="K297" s="30" t="s">
        <v>107</v>
      </c>
      <c r="L297" s="35">
        <v>0</v>
      </c>
      <c r="M297" s="22">
        <v>10.92</v>
      </c>
      <c r="N297" s="44">
        <v>44714</v>
      </c>
      <c r="O297" s="30" t="s">
        <v>115</v>
      </c>
    </row>
    <row r="298" spans="1:15" s="30" customFormat="1" ht="15" hidden="1" customHeight="1" x14ac:dyDescent="0.25">
      <c r="B298" s="30" t="s">
        <v>170</v>
      </c>
      <c r="C298" s="30" t="s">
        <v>6</v>
      </c>
      <c r="D298" s="30" t="s">
        <v>10</v>
      </c>
      <c r="E298" s="30" t="s">
        <v>297</v>
      </c>
      <c r="F298" s="11"/>
      <c r="G298" s="30">
        <v>4</v>
      </c>
      <c r="H298" s="30" t="s">
        <v>394</v>
      </c>
      <c r="I298" s="21" t="s">
        <v>68</v>
      </c>
      <c r="J298" s="21" t="s">
        <v>268</v>
      </c>
      <c r="K298" s="30" t="s">
        <v>94</v>
      </c>
      <c r="L298" s="35">
        <v>0</v>
      </c>
      <c r="M298" s="22">
        <v>189.14</v>
      </c>
      <c r="N298" s="44">
        <v>44714</v>
      </c>
      <c r="O298" s="30" t="s">
        <v>115</v>
      </c>
    </row>
    <row r="299" spans="1:15" s="30" customFormat="1" ht="15" hidden="1" customHeight="1" x14ac:dyDescent="0.25">
      <c r="B299" s="30" t="s">
        <v>165</v>
      </c>
      <c r="C299" s="30" t="s">
        <v>6</v>
      </c>
      <c r="D299" s="30" t="s">
        <v>10</v>
      </c>
      <c r="E299" s="30" t="s">
        <v>14</v>
      </c>
      <c r="F299" s="11" t="s">
        <v>593</v>
      </c>
      <c r="G299" s="30">
        <v>5</v>
      </c>
      <c r="H299" s="30" t="s">
        <v>26</v>
      </c>
      <c r="I299" s="21" t="s">
        <v>32</v>
      </c>
      <c r="J299" s="21" t="s">
        <v>138</v>
      </c>
      <c r="K299" s="30" t="s">
        <v>90</v>
      </c>
      <c r="L299" s="35">
        <v>30</v>
      </c>
      <c r="M299" s="22">
        <v>36.450000000000003</v>
      </c>
      <c r="N299" s="38">
        <v>44718</v>
      </c>
      <c r="O299" s="30" t="s">
        <v>115</v>
      </c>
    </row>
    <row r="300" spans="1:15" s="30" customFormat="1" ht="15" hidden="1" customHeight="1" x14ac:dyDescent="0.25">
      <c r="B300" s="30" t="s">
        <v>165</v>
      </c>
      <c r="C300" s="30" t="s">
        <v>6</v>
      </c>
      <c r="D300" s="30" t="s">
        <v>10</v>
      </c>
      <c r="E300" s="30" t="s">
        <v>14</v>
      </c>
      <c r="F300" s="11" t="s">
        <v>594</v>
      </c>
      <c r="G300" s="30">
        <v>5</v>
      </c>
      <c r="H300" s="30" t="s">
        <v>26</v>
      </c>
      <c r="I300" s="21" t="s">
        <v>32</v>
      </c>
      <c r="J300" s="21" t="s">
        <v>149</v>
      </c>
      <c r="K300" s="30" t="s">
        <v>90</v>
      </c>
      <c r="L300" s="35">
        <v>24</v>
      </c>
      <c r="M300" s="22">
        <v>55.06</v>
      </c>
      <c r="N300" s="38">
        <v>44718</v>
      </c>
      <c r="O300" s="30" t="s">
        <v>115</v>
      </c>
    </row>
    <row r="301" spans="1:15" s="30" customFormat="1" ht="15" hidden="1" customHeight="1" x14ac:dyDescent="0.25">
      <c r="B301" s="30" t="s">
        <v>165</v>
      </c>
      <c r="C301" s="30" t="s">
        <v>6</v>
      </c>
      <c r="D301" s="30" t="s">
        <v>10</v>
      </c>
      <c r="E301" s="30" t="s">
        <v>14</v>
      </c>
      <c r="F301" s="11" t="s">
        <v>595</v>
      </c>
      <c r="G301" s="30">
        <v>5</v>
      </c>
      <c r="H301" s="30" t="s">
        <v>26</v>
      </c>
      <c r="I301" s="21" t="s">
        <v>32</v>
      </c>
      <c r="J301" s="21" t="s">
        <v>149</v>
      </c>
      <c r="K301" s="30" t="s">
        <v>90</v>
      </c>
      <c r="L301" s="35">
        <v>30</v>
      </c>
      <c r="M301" s="22">
        <v>79.86</v>
      </c>
      <c r="N301" s="38">
        <v>44718</v>
      </c>
      <c r="O301" s="30" t="s">
        <v>115</v>
      </c>
    </row>
    <row r="302" spans="1:15" s="30" customFormat="1" ht="28.5" hidden="1" customHeight="1" x14ac:dyDescent="0.25">
      <c r="B302" s="30" t="s">
        <v>165</v>
      </c>
      <c r="C302" s="30" t="s">
        <v>6</v>
      </c>
      <c r="D302" s="30" t="s">
        <v>10</v>
      </c>
      <c r="E302" s="30" t="s">
        <v>14</v>
      </c>
      <c r="F302" s="11" t="s">
        <v>596</v>
      </c>
      <c r="G302" s="30">
        <v>5</v>
      </c>
      <c r="H302" s="30" t="s">
        <v>26</v>
      </c>
      <c r="I302" s="21" t="s">
        <v>32</v>
      </c>
      <c r="J302" s="21" t="s">
        <v>149</v>
      </c>
      <c r="K302" s="30" t="s">
        <v>90</v>
      </c>
      <c r="L302" s="35">
        <v>32</v>
      </c>
      <c r="M302" s="22">
        <v>72.81</v>
      </c>
      <c r="N302" s="38">
        <v>44718</v>
      </c>
      <c r="O302" s="30" t="s">
        <v>115</v>
      </c>
    </row>
    <row r="303" spans="1:15" s="30" customFormat="1" ht="30" hidden="1" customHeight="1" x14ac:dyDescent="0.25">
      <c r="B303" s="30" t="s">
        <v>165</v>
      </c>
      <c r="C303" s="30" t="s">
        <v>6</v>
      </c>
      <c r="D303" s="30" t="s">
        <v>10</v>
      </c>
      <c r="E303" s="30" t="s">
        <v>14</v>
      </c>
      <c r="F303" s="11" t="s">
        <v>597</v>
      </c>
      <c r="G303" s="30">
        <v>5</v>
      </c>
      <c r="H303" s="30" t="s">
        <v>26</v>
      </c>
      <c r="I303" s="21" t="s">
        <v>32</v>
      </c>
      <c r="J303" s="21" t="s">
        <v>138</v>
      </c>
      <c r="K303" s="30" t="s">
        <v>90</v>
      </c>
      <c r="L303" s="35">
        <v>40</v>
      </c>
      <c r="M303" s="22">
        <v>75.099999999999994</v>
      </c>
      <c r="N303" s="38">
        <v>44718</v>
      </c>
      <c r="O303" s="30" t="s">
        <v>115</v>
      </c>
    </row>
    <row r="304" spans="1:15" s="30" customFormat="1" ht="30.75" hidden="1" customHeight="1" x14ac:dyDescent="0.25">
      <c r="B304" s="30" t="s">
        <v>168</v>
      </c>
      <c r="C304" s="30" t="s">
        <v>6</v>
      </c>
      <c r="D304" s="30" t="s">
        <v>10</v>
      </c>
      <c r="E304" s="30" t="s">
        <v>14</v>
      </c>
      <c r="F304" s="11" t="s">
        <v>598</v>
      </c>
      <c r="G304" s="30">
        <v>5</v>
      </c>
      <c r="H304" s="30" t="s">
        <v>23</v>
      </c>
      <c r="I304" s="21" t="s">
        <v>38</v>
      </c>
      <c r="J304" s="21" t="s">
        <v>491</v>
      </c>
      <c r="K304" s="30" t="s">
        <v>107</v>
      </c>
      <c r="L304" s="35">
        <v>3</v>
      </c>
      <c r="M304" s="22">
        <v>33.15</v>
      </c>
      <c r="N304" s="38">
        <v>44718</v>
      </c>
      <c r="O304" s="30" t="s">
        <v>115</v>
      </c>
    </row>
    <row r="305" spans="1:15" s="30" customFormat="1" ht="15" hidden="1" customHeight="1" x14ac:dyDescent="0.25">
      <c r="B305" s="30" t="s">
        <v>168</v>
      </c>
      <c r="C305" s="30" t="s">
        <v>6</v>
      </c>
      <c r="D305" s="30" t="s">
        <v>10</v>
      </c>
      <c r="E305" s="30" t="s">
        <v>14</v>
      </c>
      <c r="F305" s="11"/>
      <c r="G305" s="30">
        <v>5</v>
      </c>
      <c r="H305" s="30" t="s">
        <v>23</v>
      </c>
      <c r="I305" s="21" t="s">
        <v>47</v>
      </c>
      <c r="J305" s="21" t="s">
        <v>599</v>
      </c>
      <c r="K305" s="30" t="s">
        <v>90</v>
      </c>
      <c r="L305" s="35">
        <v>4</v>
      </c>
      <c r="M305" s="22">
        <v>20.73</v>
      </c>
      <c r="N305" s="38">
        <v>44718</v>
      </c>
      <c r="O305" s="30" t="s">
        <v>115</v>
      </c>
    </row>
    <row r="306" spans="1:15" s="30" customFormat="1" ht="15" hidden="1" customHeight="1" x14ac:dyDescent="0.25">
      <c r="B306" s="30" t="s">
        <v>168</v>
      </c>
      <c r="C306" s="30" t="s">
        <v>6</v>
      </c>
      <c r="D306" s="30" t="s">
        <v>10</v>
      </c>
      <c r="E306" s="30" t="s">
        <v>297</v>
      </c>
      <c r="F306" s="11"/>
      <c r="G306" s="30">
        <v>5</v>
      </c>
      <c r="H306" s="30" t="s">
        <v>393</v>
      </c>
      <c r="I306" s="21" t="s">
        <v>49</v>
      </c>
      <c r="J306" s="21" t="s">
        <v>600</v>
      </c>
      <c r="K306" s="30" t="s">
        <v>107</v>
      </c>
      <c r="L306" s="35">
        <v>10</v>
      </c>
      <c r="M306" s="22">
        <v>50.99</v>
      </c>
      <c r="N306" s="38">
        <v>44718</v>
      </c>
      <c r="O306" s="30" t="s">
        <v>115</v>
      </c>
    </row>
    <row r="307" spans="1:15" s="30" customFormat="1" ht="31.5" customHeight="1" x14ac:dyDescent="0.25">
      <c r="B307" s="30" t="s">
        <v>168</v>
      </c>
      <c r="C307" s="30" t="s">
        <v>6</v>
      </c>
      <c r="D307" s="30" t="s">
        <v>10</v>
      </c>
      <c r="E307" s="30" t="s">
        <v>14</v>
      </c>
      <c r="F307" s="11"/>
      <c r="G307" s="30">
        <v>5</v>
      </c>
      <c r="H307" s="30" t="s">
        <v>399</v>
      </c>
      <c r="I307" s="21" t="s">
        <v>68</v>
      </c>
      <c r="J307" s="21" t="s">
        <v>564</v>
      </c>
      <c r="K307" s="30" t="s">
        <v>94</v>
      </c>
      <c r="L307" s="36">
        <v>2</v>
      </c>
      <c r="M307" s="18">
        <v>8.6300000000000008</v>
      </c>
      <c r="N307" s="38">
        <v>44718</v>
      </c>
      <c r="O307" s="30" t="s">
        <v>114</v>
      </c>
    </row>
    <row r="308" spans="1:15" s="30" customFormat="1" ht="29.25" customHeight="1" x14ac:dyDescent="0.25">
      <c r="B308" s="30" t="s">
        <v>168</v>
      </c>
      <c r="C308" s="30" t="s">
        <v>6</v>
      </c>
      <c r="D308" s="30" t="s">
        <v>10</v>
      </c>
      <c r="E308" s="30" t="s">
        <v>14</v>
      </c>
      <c r="F308" s="11"/>
      <c r="G308" s="30">
        <v>5</v>
      </c>
      <c r="H308" s="30" t="s">
        <v>399</v>
      </c>
      <c r="I308" s="21" t="s">
        <v>68</v>
      </c>
      <c r="J308" s="21" t="s">
        <v>565</v>
      </c>
      <c r="K308" s="30" t="s">
        <v>94</v>
      </c>
      <c r="L308" s="36">
        <v>2</v>
      </c>
      <c r="M308" s="18">
        <v>7.71</v>
      </c>
      <c r="N308" s="38">
        <v>44718</v>
      </c>
      <c r="O308" s="30" t="s">
        <v>114</v>
      </c>
    </row>
    <row r="309" spans="1:15" s="30" customFormat="1" ht="29.25" customHeight="1" x14ac:dyDescent="0.25">
      <c r="B309" s="30" t="s">
        <v>170</v>
      </c>
      <c r="C309" s="30" t="s">
        <v>6</v>
      </c>
      <c r="D309" s="30" t="s">
        <v>10</v>
      </c>
      <c r="E309" s="30" t="s">
        <v>14</v>
      </c>
      <c r="F309" s="11"/>
      <c r="G309" s="30">
        <v>5</v>
      </c>
      <c r="H309" s="30" t="s">
        <v>394</v>
      </c>
      <c r="I309" s="21" t="s">
        <v>35</v>
      </c>
      <c r="J309" s="21" t="s">
        <v>566</v>
      </c>
      <c r="K309" s="30" t="s">
        <v>107</v>
      </c>
      <c r="L309" s="36">
        <v>0</v>
      </c>
      <c r="M309" s="18">
        <v>16.89</v>
      </c>
      <c r="N309" s="38">
        <v>44718</v>
      </c>
      <c r="O309" s="30" t="s">
        <v>114</v>
      </c>
    </row>
    <row r="310" spans="1:15" s="30" customFormat="1" ht="29.25" hidden="1" customHeight="1" x14ac:dyDescent="0.25">
      <c r="B310" s="30" t="s">
        <v>165</v>
      </c>
      <c r="C310" s="30" t="s">
        <v>6</v>
      </c>
      <c r="D310" s="30" t="s">
        <v>10</v>
      </c>
      <c r="E310" s="30" t="s">
        <v>297</v>
      </c>
      <c r="F310" s="11">
        <v>509</v>
      </c>
      <c r="G310" s="30">
        <v>5</v>
      </c>
      <c r="H310" s="30" t="s">
        <v>393</v>
      </c>
      <c r="I310" s="21" t="s">
        <v>80</v>
      </c>
      <c r="J310" s="21" t="s">
        <v>820</v>
      </c>
      <c r="K310" s="30" t="s">
        <v>90</v>
      </c>
      <c r="L310" s="35">
        <v>10</v>
      </c>
      <c r="M310" s="22">
        <v>55.56</v>
      </c>
      <c r="N310" s="38">
        <v>44718</v>
      </c>
      <c r="O310" s="30" t="s">
        <v>115</v>
      </c>
    </row>
    <row r="311" spans="1:15" s="30" customFormat="1" ht="30.75" hidden="1" customHeight="1" x14ac:dyDescent="0.25">
      <c r="B311" s="30" t="s">
        <v>165</v>
      </c>
      <c r="C311" s="30" t="s">
        <v>6</v>
      </c>
      <c r="D311" s="30" t="s">
        <v>10</v>
      </c>
      <c r="E311" s="30" t="s">
        <v>297</v>
      </c>
      <c r="F311" s="11">
        <v>510</v>
      </c>
      <c r="G311" s="30">
        <v>5</v>
      </c>
      <c r="H311" s="30" t="s">
        <v>23</v>
      </c>
      <c r="I311" s="21" t="s">
        <v>32</v>
      </c>
      <c r="J311" s="21" t="s">
        <v>819</v>
      </c>
      <c r="K311" s="30" t="s">
        <v>90</v>
      </c>
      <c r="L311" s="35">
        <v>46</v>
      </c>
      <c r="M311" s="22">
        <v>44.46</v>
      </c>
      <c r="N311" s="38">
        <v>44718</v>
      </c>
      <c r="O311" s="30" t="s">
        <v>115</v>
      </c>
    </row>
    <row r="312" spans="1:15" s="30" customFormat="1" ht="15" hidden="1" customHeight="1" x14ac:dyDescent="0.25">
      <c r="A312" s="69"/>
      <c r="B312" s="69" t="s">
        <v>165</v>
      </c>
      <c r="C312" s="69" t="s">
        <v>6</v>
      </c>
      <c r="D312" s="69" t="s">
        <v>10</v>
      </c>
      <c r="E312" s="69" t="s">
        <v>297</v>
      </c>
      <c r="F312" s="70">
        <v>511</v>
      </c>
      <c r="G312" s="69">
        <v>5</v>
      </c>
      <c r="H312" s="69" t="s">
        <v>393</v>
      </c>
      <c r="I312" s="71" t="s">
        <v>80</v>
      </c>
      <c r="J312" s="71" t="s">
        <v>601</v>
      </c>
      <c r="K312" s="69" t="s">
        <v>90</v>
      </c>
      <c r="L312" s="74">
        <v>20</v>
      </c>
      <c r="M312" s="73">
        <v>9.0299999999999994</v>
      </c>
      <c r="N312" s="233">
        <v>44718</v>
      </c>
      <c r="O312" s="69" t="s">
        <v>115</v>
      </c>
    </row>
    <row r="313" spans="1:15" s="30" customFormat="1" ht="15" hidden="1" customHeight="1" x14ac:dyDescent="0.25">
      <c r="B313" s="30" t="s">
        <v>165</v>
      </c>
      <c r="C313" s="30" t="s">
        <v>6</v>
      </c>
      <c r="D313" s="30" t="s">
        <v>10</v>
      </c>
      <c r="E313" s="30" t="s">
        <v>14</v>
      </c>
      <c r="F313" s="11"/>
      <c r="G313" s="30">
        <v>5</v>
      </c>
      <c r="H313" s="30" t="s">
        <v>130</v>
      </c>
      <c r="I313" s="21" t="s">
        <v>80</v>
      </c>
      <c r="J313" s="21" t="s">
        <v>228</v>
      </c>
      <c r="K313" s="30" t="s">
        <v>107</v>
      </c>
      <c r="L313" s="35">
        <v>3</v>
      </c>
      <c r="M313" s="22">
        <v>9.18</v>
      </c>
      <c r="N313" s="38">
        <v>44718</v>
      </c>
      <c r="O313" s="30" t="s">
        <v>115</v>
      </c>
    </row>
    <row r="314" spans="1:15" s="69" customFormat="1" ht="15" hidden="1" customHeight="1" x14ac:dyDescent="0.25">
      <c r="A314" s="30"/>
      <c r="B314" s="30" t="s">
        <v>165</v>
      </c>
      <c r="C314" s="30" t="s">
        <v>6</v>
      </c>
      <c r="D314" s="30" t="s">
        <v>10</v>
      </c>
      <c r="E314" s="30" t="s">
        <v>297</v>
      </c>
      <c r="F314" s="11">
        <v>512</v>
      </c>
      <c r="G314" s="30">
        <v>5</v>
      </c>
      <c r="H314" s="30" t="s">
        <v>27</v>
      </c>
      <c r="I314" s="21" t="s">
        <v>80</v>
      </c>
      <c r="J314" s="21" t="s">
        <v>228</v>
      </c>
      <c r="K314" s="30" t="s">
        <v>90</v>
      </c>
      <c r="L314" s="35">
        <v>50</v>
      </c>
      <c r="M314" s="22">
        <v>84.17</v>
      </c>
      <c r="N314" s="38">
        <v>44718</v>
      </c>
      <c r="O314" s="30" t="s">
        <v>115</v>
      </c>
    </row>
    <row r="315" spans="1:15" s="69" customFormat="1" ht="15" hidden="1" customHeight="1" x14ac:dyDescent="0.25">
      <c r="A315" s="30"/>
      <c r="B315" s="30" t="s">
        <v>168</v>
      </c>
      <c r="C315" s="30" t="s">
        <v>6</v>
      </c>
      <c r="D315" s="30" t="s">
        <v>10</v>
      </c>
      <c r="E315" s="30" t="s">
        <v>297</v>
      </c>
      <c r="F315" s="11">
        <v>514</v>
      </c>
      <c r="G315" s="30">
        <v>5</v>
      </c>
      <c r="H315" s="30" t="s">
        <v>23</v>
      </c>
      <c r="I315" s="21" t="s">
        <v>81</v>
      </c>
      <c r="J315" s="21" t="s">
        <v>407</v>
      </c>
      <c r="K315" s="30" t="s">
        <v>90</v>
      </c>
      <c r="L315" s="35">
        <v>2</v>
      </c>
      <c r="M315" s="22">
        <v>17.62</v>
      </c>
      <c r="N315" s="38">
        <v>44718</v>
      </c>
      <c r="O315" s="30" t="s">
        <v>115</v>
      </c>
    </row>
    <row r="316" spans="1:15" s="30" customFormat="1" ht="15" hidden="1" customHeight="1" x14ac:dyDescent="0.25">
      <c r="B316" s="30" t="s">
        <v>165</v>
      </c>
      <c r="C316" s="30" t="s">
        <v>6</v>
      </c>
      <c r="D316" s="30" t="s">
        <v>10</v>
      </c>
      <c r="E316" s="30" t="s">
        <v>297</v>
      </c>
      <c r="F316" s="11">
        <v>515</v>
      </c>
      <c r="G316" s="30">
        <v>5</v>
      </c>
      <c r="H316" s="30" t="s">
        <v>21</v>
      </c>
      <c r="I316" s="21" t="s">
        <v>81</v>
      </c>
      <c r="J316" s="21" t="s">
        <v>341</v>
      </c>
      <c r="K316" s="30" t="s">
        <v>90</v>
      </c>
      <c r="L316" s="35">
        <v>27</v>
      </c>
      <c r="M316" s="22">
        <v>54.11</v>
      </c>
      <c r="N316" s="38">
        <v>44718</v>
      </c>
      <c r="O316" s="30" t="s">
        <v>115</v>
      </c>
    </row>
    <row r="317" spans="1:15" s="30" customFormat="1" ht="15" hidden="1" customHeight="1" x14ac:dyDescent="0.25">
      <c r="B317" s="30" t="s">
        <v>165</v>
      </c>
      <c r="C317" s="30" t="s">
        <v>6</v>
      </c>
      <c r="D317" s="30" t="s">
        <v>10</v>
      </c>
      <c r="E317" s="30" t="s">
        <v>297</v>
      </c>
      <c r="F317" s="11">
        <v>516</v>
      </c>
      <c r="G317" s="30">
        <v>5</v>
      </c>
      <c r="H317" s="30" t="s">
        <v>21</v>
      </c>
      <c r="I317" s="21" t="s">
        <v>80</v>
      </c>
      <c r="J317" s="21" t="s">
        <v>454</v>
      </c>
      <c r="K317" s="30" t="s">
        <v>90</v>
      </c>
      <c r="L317" s="35">
        <v>29</v>
      </c>
      <c r="M317" s="22">
        <v>54.89</v>
      </c>
      <c r="N317" s="38">
        <v>44718</v>
      </c>
      <c r="O317" s="30" t="s">
        <v>115</v>
      </c>
    </row>
    <row r="318" spans="1:15" s="30" customFormat="1" ht="15" hidden="1" customHeight="1" x14ac:dyDescent="0.25">
      <c r="B318" s="30" t="s">
        <v>168</v>
      </c>
      <c r="C318" s="30" t="s">
        <v>6</v>
      </c>
      <c r="D318" s="30" t="s">
        <v>10</v>
      </c>
      <c r="E318" s="30" t="s">
        <v>297</v>
      </c>
      <c r="F318" s="11">
        <v>517</v>
      </c>
      <c r="G318" s="30">
        <v>5</v>
      </c>
      <c r="H318" s="30" t="s">
        <v>23</v>
      </c>
      <c r="I318" s="21" t="s">
        <v>80</v>
      </c>
      <c r="J318" s="21" t="s">
        <v>453</v>
      </c>
      <c r="K318" s="30" t="s">
        <v>90</v>
      </c>
      <c r="L318" s="35">
        <v>5</v>
      </c>
      <c r="M318" s="22">
        <v>12.1</v>
      </c>
      <c r="N318" s="38">
        <v>44718</v>
      </c>
      <c r="O318" s="30" t="s">
        <v>115</v>
      </c>
    </row>
    <row r="319" spans="1:15" s="30" customFormat="1" ht="15" hidden="1" customHeight="1" x14ac:dyDescent="0.25">
      <c r="B319" s="30" t="s">
        <v>168</v>
      </c>
      <c r="C319" s="30" t="s">
        <v>6</v>
      </c>
      <c r="D319" s="30" t="s">
        <v>10</v>
      </c>
      <c r="E319" s="30" t="s">
        <v>297</v>
      </c>
      <c r="F319" s="11">
        <v>517</v>
      </c>
      <c r="G319" s="30">
        <v>5</v>
      </c>
      <c r="H319" s="30" t="s">
        <v>23</v>
      </c>
      <c r="I319" s="21" t="s">
        <v>80</v>
      </c>
      <c r="J319" s="21" t="s">
        <v>376</v>
      </c>
      <c r="K319" s="30" t="s">
        <v>90</v>
      </c>
      <c r="L319" s="35">
        <v>5</v>
      </c>
      <c r="M319" s="22">
        <v>13.55</v>
      </c>
      <c r="N319" s="38">
        <v>44718</v>
      </c>
      <c r="O319" s="30" t="s">
        <v>115</v>
      </c>
    </row>
    <row r="320" spans="1:15" s="30" customFormat="1" ht="29.25" hidden="1" customHeight="1" x14ac:dyDescent="0.25">
      <c r="B320" s="30" t="s">
        <v>168</v>
      </c>
      <c r="C320" s="30" t="s">
        <v>6</v>
      </c>
      <c r="D320" s="30" t="s">
        <v>10</v>
      </c>
      <c r="E320" s="30" t="s">
        <v>297</v>
      </c>
      <c r="F320" s="11">
        <v>517</v>
      </c>
      <c r="G320" s="30">
        <v>5</v>
      </c>
      <c r="H320" s="30" t="s">
        <v>23</v>
      </c>
      <c r="I320" s="21" t="s">
        <v>80</v>
      </c>
      <c r="J320" s="21" t="s">
        <v>377</v>
      </c>
      <c r="K320" s="30" t="s">
        <v>90</v>
      </c>
      <c r="L320" s="35">
        <v>5</v>
      </c>
      <c r="M320" s="22">
        <v>4.13</v>
      </c>
      <c r="N320" s="38">
        <v>44718</v>
      </c>
      <c r="O320" s="30" t="s">
        <v>115</v>
      </c>
    </row>
    <row r="321" spans="1:15" s="30" customFormat="1" ht="15" hidden="1" customHeight="1" x14ac:dyDescent="0.25">
      <c r="B321" s="30" t="s">
        <v>168</v>
      </c>
      <c r="C321" s="30" t="s">
        <v>6</v>
      </c>
      <c r="D321" s="30" t="s">
        <v>10</v>
      </c>
      <c r="E321" s="30" t="s">
        <v>297</v>
      </c>
      <c r="F321" s="11">
        <v>517</v>
      </c>
      <c r="G321" s="30">
        <v>5</v>
      </c>
      <c r="H321" s="30" t="s">
        <v>23</v>
      </c>
      <c r="I321" s="21" t="s">
        <v>80</v>
      </c>
      <c r="J321" s="21" t="s">
        <v>455</v>
      </c>
      <c r="K321" s="30" t="s">
        <v>90</v>
      </c>
      <c r="L321" s="35">
        <v>5</v>
      </c>
      <c r="M321" s="22">
        <v>17.62</v>
      </c>
      <c r="N321" s="38">
        <v>44718</v>
      </c>
      <c r="O321" s="30" t="s">
        <v>115</v>
      </c>
    </row>
    <row r="322" spans="1:15" s="30" customFormat="1" ht="15" hidden="1" customHeight="1" x14ac:dyDescent="0.25">
      <c r="B322" s="30" t="s">
        <v>168</v>
      </c>
      <c r="C322" s="30" t="s">
        <v>6</v>
      </c>
      <c r="D322" s="30" t="s">
        <v>10</v>
      </c>
      <c r="E322" s="30" t="s">
        <v>297</v>
      </c>
      <c r="F322" s="11">
        <v>518</v>
      </c>
      <c r="G322" s="30">
        <v>5</v>
      </c>
      <c r="H322" s="30" t="s">
        <v>23</v>
      </c>
      <c r="I322" s="21" t="s">
        <v>81</v>
      </c>
      <c r="J322" s="21" t="s">
        <v>456</v>
      </c>
      <c r="K322" s="30" t="s">
        <v>90</v>
      </c>
      <c r="L322" s="35">
        <v>2</v>
      </c>
      <c r="M322" s="22">
        <v>16.96</v>
      </c>
      <c r="N322" s="38">
        <v>44718</v>
      </c>
      <c r="O322" s="30" t="s">
        <v>115</v>
      </c>
    </row>
    <row r="323" spans="1:15" s="30" customFormat="1" ht="15" hidden="1" customHeight="1" x14ac:dyDescent="0.25">
      <c r="B323" s="30" t="s">
        <v>168</v>
      </c>
      <c r="C323" s="30" t="s">
        <v>6</v>
      </c>
      <c r="D323" s="30" t="s">
        <v>10</v>
      </c>
      <c r="E323" s="30" t="s">
        <v>297</v>
      </c>
      <c r="F323" s="11">
        <v>519</v>
      </c>
      <c r="G323" s="30">
        <v>5</v>
      </c>
      <c r="H323" s="30" t="s">
        <v>23</v>
      </c>
      <c r="I323" s="21" t="s">
        <v>74</v>
      </c>
      <c r="J323" s="21" t="s">
        <v>457</v>
      </c>
      <c r="K323" s="30" t="s">
        <v>90</v>
      </c>
      <c r="L323" s="35">
        <v>1</v>
      </c>
      <c r="M323" s="22">
        <v>19.95</v>
      </c>
      <c r="N323" s="38">
        <v>44718</v>
      </c>
      <c r="O323" s="30" t="s">
        <v>115</v>
      </c>
    </row>
    <row r="324" spans="1:15" s="30" customFormat="1" ht="15" hidden="1" customHeight="1" x14ac:dyDescent="0.25">
      <c r="B324" s="30" t="s">
        <v>168</v>
      </c>
      <c r="C324" s="30" t="s">
        <v>6</v>
      </c>
      <c r="D324" s="30" t="s">
        <v>10</v>
      </c>
      <c r="E324" s="30" t="s">
        <v>297</v>
      </c>
      <c r="F324" s="11"/>
      <c r="G324" s="30">
        <v>5</v>
      </c>
      <c r="H324" s="30" t="s">
        <v>23</v>
      </c>
      <c r="I324" s="21" t="s">
        <v>74</v>
      </c>
      <c r="J324" s="21" t="s">
        <v>458</v>
      </c>
      <c r="K324" s="30" t="s">
        <v>90</v>
      </c>
      <c r="L324" s="35">
        <v>1</v>
      </c>
      <c r="M324" s="22">
        <v>8.01</v>
      </c>
      <c r="N324" s="38">
        <v>44718</v>
      </c>
      <c r="O324" s="30" t="s">
        <v>115</v>
      </c>
    </row>
    <row r="325" spans="1:15" s="30" customFormat="1" ht="15" hidden="1" customHeight="1" x14ac:dyDescent="0.25">
      <c r="B325" s="30" t="s">
        <v>168</v>
      </c>
      <c r="C325" s="30" t="s">
        <v>6</v>
      </c>
      <c r="D325" s="30" t="s">
        <v>10</v>
      </c>
      <c r="E325" s="30" t="s">
        <v>297</v>
      </c>
      <c r="F325" s="11">
        <v>520</v>
      </c>
      <c r="G325" s="30">
        <v>5</v>
      </c>
      <c r="H325" s="30" t="s">
        <v>23</v>
      </c>
      <c r="I325" s="21" t="s">
        <v>81</v>
      </c>
      <c r="J325" s="21" t="s">
        <v>445</v>
      </c>
      <c r="K325" s="30" t="s">
        <v>90</v>
      </c>
      <c r="L325" s="35">
        <v>1</v>
      </c>
      <c r="M325" s="22">
        <v>18.27</v>
      </c>
      <c r="N325" s="38">
        <v>44718</v>
      </c>
      <c r="O325" s="30" t="s">
        <v>115</v>
      </c>
    </row>
    <row r="326" spans="1:15" s="30" customFormat="1" ht="15" hidden="1" customHeight="1" x14ac:dyDescent="0.25">
      <c r="B326" s="30" t="s">
        <v>168</v>
      </c>
      <c r="C326" s="30" t="s">
        <v>6</v>
      </c>
      <c r="D326" s="30" t="s">
        <v>10</v>
      </c>
      <c r="E326" s="30" t="s">
        <v>297</v>
      </c>
      <c r="F326" s="11" t="s">
        <v>216</v>
      </c>
      <c r="G326" s="30">
        <v>5</v>
      </c>
      <c r="H326" s="30" t="s">
        <v>389</v>
      </c>
      <c r="I326" s="21" t="s">
        <v>68</v>
      </c>
      <c r="J326" s="21" t="s">
        <v>224</v>
      </c>
      <c r="K326" s="30" t="s">
        <v>94</v>
      </c>
      <c r="L326" s="35">
        <v>0</v>
      </c>
      <c r="M326" s="22">
        <v>5.63</v>
      </c>
      <c r="N326" s="38">
        <v>44718</v>
      </c>
      <c r="O326" s="30" t="s">
        <v>115</v>
      </c>
    </row>
    <row r="327" spans="1:15" s="30" customFormat="1" ht="15" hidden="1" customHeight="1" x14ac:dyDescent="0.25">
      <c r="B327" s="30" t="s">
        <v>168</v>
      </c>
      <c r="C327" s="30" t="s">
        <v>6</v>
      </c>
      <c r="D327" s="30" t="s">
        <v>10</v>
      </c>
      <c r="E327" s="30" t="s">
        <v>14</v>
      </c>
      <c r="F327" s="11" t="s">
        <v>217</v>
      </c>
      <c r="G327" s="30">
        <v>5</v>
      </c>
      <c r="H327" s="30" t="s">
        <v>390</v>
      </c>
      <c r="I327" s="21" t="s">
        <v>38</v>
      </c>
      <c r="J327" s="21" t="s">
        <v>328</v>
      </c>
      <c r="K327" s="30" t="s">
        <v>94</v>
      </c>
      <c r="L327" s="35">
        <v>0</v>
      </c>
      <c r="M327" s="22">
        <v>6.8</v>
      </c>
      <c r="N327" s="38">
        <v>44718</v>
      </c>
      <c r="O327" s="30" t="s">
        <v>115</v>
      </c>
    </row>
    <row r="328" spans="1:15" s="30" customFormat="1" ht="30" hidden="1" x14ac:dyDescent="0.25">
      <c r="B328" s="30" t="s">
        <v>168</v>
      </c>
      <c r="C328" s="30" t="s">
        <v>6</v>
      </c>
      <c r="D328" s="30" t="s">
        <v>10</v>
      </c>
      <c r="E328" s="30" t="s">
        <v>14</v>
      </c>
      <c r="F328" s="11" t="s">
        <v>216</v>
      </c>
      <c r="G328" s="30">
        <v>5</v>
      </c>
      <c r="H328" s="30" t="s">
        <v>390</v>
      </c>
      <c r="I328" s="21" t="s">
        <v>38</v>
      </c>
      <c r="J328" s="21" t="s">
        <v>328</v>
      </c>
      <c r="K328" s="30" t="s">
        <v>94</v>
      </c>
      <c r="L328" s="35">
        <v>0</v>
      </c>
      <c r="M328" s="22">
        <v>6.85</v>
      </c>
      <c r="N328" s="38">
        <v>44718</v>
      </c>
      <c r="O328" s="30" t="s">
        <v>115</v>
      </c>
    </row>
    <row r="329" spans="1:15" s="30" customFormat="1" ht="15" hidden="1" customHeight="1" x14ac:dyDescent="0.25">
      <c r="B329" s="30" t="s">
        <v>168</v>
      </c>
      <c r="C329" s="30" t="s">
        <v>6</v>
      </c>
      <c r="D329" s="30" t="s">
        <v>10</v>
      </c>
      <c r="E329" s="30" t="s">
        <v>297</v>
      </c>
      <c r="F329" s="11" t="s">
        <v>218</v>
      </c>
      <c r="G329" s="30">
        <v>5</v>
      </c>
      <c r="H329" s="30" t="s">
        <v>389</v>
      </c>
      <c r="I329" s="21" t="s">
        <v>68</v>
      </c>
      <c r="J329" s="21" t="s">
        <v>231</v>
      </c>
      <c r="K329" s="30" t="s">
        <v>94</v>
      </c>
      <c r="L329" s="35">
        <v>0</v>
      </c>
      <c r="M329" s="22">
        <v>4.17</v>
      </c>
      <c r="N329" s="38">
        <v>44718</v>
      </c>
      <c r="O329" s="30" t="s">
        <v>115</v>
      </c>
    </row>
    <row r="330" spans="1:15" s="30" customFormat="1" ht="30" hidden="1" customHeight="1" x14ac:dyDescent="0.25">
      <c r="B330" s="30" t="s">
        <v>168</v>
      </c>
      <c r="C330" s="30" t="s">
        <v>6</v>
      </c>
      <c r="D330" s="30" t="s">
        <v>10</v>
      </c>
      <c r="E330" s="30" t="s">
        <v>297</v>
      </c>
      <c r="F330" s="11" t="s">
        <v>219</v>
      </c>
      <c r="G330" s="30">
        <v>5</v>
      </c>
      <c r="H330" s="30" t="s">
        <v>23</v>
      </c>
      <c r="I330" s="21" t="s">
        <v>81</v>
      </c>
      <c r="J330" s="21" t="s">
        <v>451</v>
      </c>
      <c r="K330" s="30" t="s">
        <v>90</v>
      </c>
      <c r="L330" s="35">
        <v>3</v>
      </c>
      <c r="M330" s="22">
        <v>19.41</v>
      </c>
      <c r="N330" s="38">
        <v>44718</v>
      </c>
      <c r="O330" s="30" t="s">
        <v>115</v>
      </c>
    </row>
    <row r="331" spans="1:15" s="30" customFormat="1" ht="27" hidden="1" customHeight="1" x14ac:dyDescent="0.25">
      <c r="B331" s="30" t="s">
        <v>170</v>
      </c>
      <c r="C331" s="30" t="s">
        <v>6</v>
      </c>
      <c r="D331" s="30" t="s">
        <v>10</v>
      </c>
      <c r="E331" s="30" t="s">
        <v>297</v>
      </c>
      <c r="F331" s="11"/>
      <c r="G331" s="30">
        <v>5</v>
      </c>
      <c r="H331" s="30" t="s">
        <v>394</v>
      </c>
      <c r="I331" s="21" t="s">
        <v>68</v>
      </c>
      <c r="J331" s="21" t="s">
        <v>267</v>
      </c>
      <c r="K331" s="30" t="s">
        <v>94</v>
      </c>
      <c r="L331" s="35">
        <v>40</v>
      </c>
      <c r="M331" s="22">
        <v>121.68</v>
      </c>
      <c r="N331" s="38">
        <v>44718</v>
      </c>
      <c r="O331" s="30" t="s">
        <v>115</v>
      </c>
    </row>
    <row r="332" spans="1:15" s="30" customFormat="1" ht="26.25" hidden="1" customHeight="1" x14ac:dyDescent="0.25">
      <c r="B332" s="30" t="s">
        <v>168</v>
      </c>
      <c r="C332" s="30" t="s">
        <v>6</v>
      </c>
      <c r="D332" s="30" t="s">
        <v>10</v>
      </c>
      <c r="E332" s="30" t="s">
        <v>14</v>
      </c>
      <c r="F332" s="11">
        <v>600</v>
      </c>
      <c r="G332" s="30">
        <v>6</v>
      </c>
      <c r="H332" s="30" t="s">
        <v>23</v>
      </c>
      <c r="I332" s="21" t="s">
        <v>32</v>
      </c>
      <c r="J332" s="21" t="s">
        <v>459</v>
      </c>
      <c r="K332" s="30" t="s">
        <v>107</v>
      </c>
      <c r="L332" s="35">
        <v>2</v>
      </c>
      <c r="M332" s="22">
        <v>10.79</v>
      </c>
      <c r="N332" s="38">
        <v>44718</v>
      </c>
      <c r="O332" s="30" t="s">
        <v>115</v>
      </c>
    </row>
    <row r="333" spans="1:15" s="30" customFormat="1" ht="30" hidden="1" customHeight="1" x14ac:dyDescent="0.25">
      <c r="B333" s="30" t="s">
        <v>168</v>
      </c>
      <c r="C333" s="30" t="s">
        <v>6</v>
      </c>
      <c r="D333" s="30" t="s">
        <v>10</v>
      </c>
      <c r="E333" s="30" t="s">
        <v>14</v>
      </c>
      <c r="F333" s="11" t="s">
        <v>220</v>
      </c>
      <c r="G333" s="30">
        <v>6</v>
      </c>
      <c r="H333" s="30" t="s">
        <v>389</v>
      </c>
      <c r="I333" s="21" t="s">
        <v>32</v>
      </c>
      <c r="J333" s="21" t="s">
        <v>224</v>
      </c>
      <c r="K333" s="30" t="s">
        <v>94</v>
      </c>
      <c r="L333" s="35">
        <v>0</v>
      </c>
      <c r="M333" s="22">
        <v>5.58</v>
      </c>
      <c r="N333" s="38">
        <v>44718</v>
      </c>
      <c r="O333" s="30" t="s">
        <v>115</v>
      </c>
    </row>
    <row r="334" spans="1:15" s="30" customFormat="1" ht="30" hidden="1" customHeight="1" x14ac:dyDescent="0.25">
      <c r="A334" s="69"/>
      <c r="B334" s="69" t="s">
        <v>165</v>
      </c>
      <c r="C334" s="69" t="s">
        <v>6</v>
      </c>
      <c r="D334" s="69" t="s">
        <v>10</v>
      </c>
      <c r="E334" s="69" t="s">
        <v>14</v>
      </c>
      <c r="F334" s="70"/>
      <c r="G334" s="69">
        <v>6</v>
      </c>
      <c r="H334" s="69" t="s">
        <v>393</v>
      </c>
      <c r="I334" s="71" t="s">
        <v>32</v>
      </c>
      <c r="J334" s="71" t="s">
        <v>487</v>
      </c>
      <c r="K334" s="69" t="s">
        <v>90</v>
      </c>
      <c r="L334" s="74">
        <v>30</v>
      </c>
      <c r="M334" s="73">
        <v>97.36</v>
      </c>
      <c r="N334" s="233">
        <v>44718</v>
      </c>
      <c r="O334" s="69" t="s">
        <v>115</v>
      </c>
    </row>
    <row r="335" spans="1:15" s="30" customFormat="1" ht="30" hidden="1" customHeight="1" x14ac:dyDescent="0.25">
      <c r="A335" s="69"/>
      <c r="B335" s="69" t="s">
        <v>165</v>
      </c>
      <c r="C335" s="69" t="s">
        <v>6</v>
      </c>
      <c r="D335" s="69" t="s">
        <v>10</v>
      </c>
      <c r="E335" s="69" t="s">
        <v>14</v>
      </c>
      <c r="F335" s="70"/>
      <c r="G335" s="69">
        <v>6</v>
      </c>
      <c r="H335" s="69" t="s">
        <v>393</v>
      </c>
      <c r="I335" s="71" t="s">
        <v>32</v>
      </c>
      <c r="J335" s="71" t="s">
        <v>862</v>
      </c>
      <c r="K335" s="69" t="s">
        <v>90</v>
      </c>
      <c r="L335" s="74">
        <v>37</v>
      </c>
      <c r="M335" s="73">
        <v>94.38</v>
      </c>
      <c r="N335" s="233">
        <v>44718</v>
      </c>
      <c r="O335" s="69" t="s">
        <v>115</v>
      </c>
    </row>
    <row r="336" spans="1:15" s="30" customFormat="1" ht="30" hidden="1" customHeight="1" x14ac:dyDescent="0.25">
      <c r="B336" s="30" t="s">
        <v>168</v>
      </c>
      <c r="C336" s="30" t="s">
        <v>6</v>
      </c>
      <c r="D336" s="30" t="s">
        <v>10</v>
      </c>
      <c r="E336" s="30" t="s">
        <v>14</v>
      </c>
      <c r="F336" s="11"/>
      <c r="G336" s="30">
        <v>6</v>
      </c>
      <c r="H336" s="30" t="s">
        <v>23</v>
      </c>
      <c r="I336" s="21" t="s">
        <v>85</v>
      </c>
      <c r="J336" s="21" t="s">
        <v>617</v>
      </c>
      <c r="K336" s="30" t="s">
        <v>90</v>
      </c>
      <c r="L336" s="35">
        <v>1</v>
      </c>
      <c r="M336" s="22">
        <v>10.79</v>
      </c>
      <c r="N336" s="38">
        <v>44718</v>
      </c>
      <c r="O336" s="30" t="s">
        <v>115</v>
      </c>
    </row>
    <row r="337" spans="2:15" s="30" customFormat="1" ht="29.25" hidden="1" customHeight="1" x14ac:dyDescent="0.25">
      <c r="B337" s="30" t="s">
        <v>6</v>
      </c>
      <c r="C337" s="30" t="s">
        <v>6</v>
      </c>
      <c r="D337" s="30" t="s">
        <v>10</v>
      </c>
      <c r="E337" s="30" t="s">
        <v>14</v>
      </c>
      <c r="F337" s="11"/>
      <c r="G337" s="19">
        <v>6</v>
      </c>
      <c r="H337" s="30" t="s">
        <v>23</v>
      </c>
      <c r="I337" s="21" t="s">
        <v>85</v>
      </c>
      <c r="J337" s="21" t="s">
        <v>602</v>
      </c>
      <c r="K337" s="21" t="s">
        <v>107</v>
      </c>
      <c r="L337" s="35">
        <v>1</v>
      </c>
      <c r="M337" s="34">
        <v>7.87</v>
      </c>
      <c r="N337" s="38">
        <v>44718</v>
      </c>
      <c r="O337" s="30" t="s">
        <v>115</v>
      </c>
    </row>
    <row r="338" spans="2:15" s="30" customFormat="1" ht="30" hidden="1" customHeight="1" x14ac:dyDescent="0.25">
      <c r="B338" s="30" t="s">
        <v>168</v>
      </c>
      <c r="C338" s="30" t="s">
        <v>6</v>
      </c>
      <c r="D338" s="30" t="s">
        <v>10</v>
      </c>
      <c r="E338" s="30" t="s">
        <v>14</v>
      </c>
      <c r="F338" s="11"/>
      <c r="G338" s="30">
        <v>6</v>
      </c>
      <c r="H338" s="30" t="s">
        <v>390</v>
      </c>
      <c r="I338" s="21" t="s">
        <v>38</v>
      </c>
      <c r="J338" s="21" t="s">
        <v>328</v>
      </c>
      <c r="K338" s="30" t="s">
        <v>94</v>
      </c>
      <c r="L338" s="35">
        <v>0</v>
      </c>
      <c r="M338" s="22">
        <v>7.91</v>
      </c>
      <c r="N338" s="38">
        <v>44718</v>
      </c>
      <c r="O338" s="30" t="s">
        <v>115</v>
      </c>
    </row>
    <row r="339" spans="2:15" s="30" customFormat="1" ht="15" hidden="1" customHeight="1" x14ac:dyDescent="0.25">
      <c r="B339" s="30" t="s">
        <v>168</v>
      </c>
      <c r="C339" s="30" t="s">
        <v>6</v>
      </c>
      <c r="D339" s="30" t="s">
        <v>10</v>
      </c>
      <c r="E339" s="30" t="s">
        <v>14</v>
      </c>
      <c r="F339" s="11">
        <v>602</v>
      </c>
      <c r="G339" s="30">
        <v>6</v>
      </c>
      <c r="H339" s="30" t="s">
        <v>389</v>
      </c>
      <c r="I339" s="21" t="s">
        <v>68</v>
      </c>
      <c r="J339" s="21" t="s">
        <v>105</v>
      </c>
      <c r="K339" s="30" t="s">
        <v>94</v>
      </c>
      <c r="L339" s="35">
        <v>0</v>
      </c>
      <c r="M339" s="22">
        <v>7.74</v>
      </c>
      <c r="N339" s="38">
        <v>44718</v>
      </c>
      <c r="O339" s="30" t="s">
        <v>115</v>
      </c>
    </row>
    <row r="340" spans="2:15" s="30" customFormat="1" ht="15" hidden="1" customHeight="1" x14ac:dyDescent="0.25">
      <c r="B340" s="30" t="s">
        <v>168</v>
      </c>
      <c r="C340" s="30" t="s">
        <v>6</v>
      </c>
      <c r="D340" s="30" t="s">
        <v>10</v>
      </c>
      <c r="E340" s="30" t="s">
        <v>14</v>
      </c>
      <c r="F340" s="11">
        <v>603</v>
      </c>
      <c r="G340" s="30">
        <v>6</v>
      </c>
      <c r="H340" s="30" t="s">
        <v>390</v>
      </c>
      <c r="I340" s="21" t="s">
        <v>35</v>
      </c>
      <c r="J340" s="21" t="s">
        <v>342</v>
      </c>
      <c r="K340" s="30" t="s">
        <v>94</v>
      </c>
      <c r="L340" s="35">
        <v>0</v>
      </c>
      <c r="M340" s="22">
        <v>7.17</v>
      </c>
      <c r="N340" s="38">
        <v>44718</v>
      </c>
      <c r="O340" s="30" t="s">
        <v>115</v>
      </c>
    </row>
    <row r="341" spans="2:15" s="30" customFormat="1" ht="15" customHeight="1" x14ac:dyDescent="0.25">
      <c r="B341" s="30" t="s">
        <v>170</v>
      </c>
      <c r="C341" s="30" t="s">
        <v>6</v>
      </c>
      <c r="D341" s="30" t="s">
        <v>10</v>
      </c>
      <c r="E341" s="30" t="s">
        <v>14</v>
      </c>
      <c r="F341" s="11"/>
      <c r="G341" s="30">
        <v>6</v>
      </c>
      <c r="H341" s="30" t="s">
        <v>394</v>
      </c>
      <c r="I341" s="21" t="s">
        <v>68</v>
      </c>
      <c r="J341" s="21" t="s">
        <v>272</v>
      </c>
      <c r="K341" s="30" t="s">
        <v>94</v>
      </c>
      <c r="L341" s="35">
        <v>0</v>
      </c>
      <c r="M341" s="22">
        <v>46.46</v>
      </c>
      <c r="N341" s="38">
        <v>44718</v>
      </c>
      <c r="O341" s="30" t="s">
        <v>114</v>
      </c>
    </row>
    <row r="342" spans="2:15" s="30" customFormat="1" ht="30" hidden="1" customHeight="1" x14ac:dyDescent="0.25">
      <c r="B342" s="30" t="s">
        <v>168</v>
      </c>
      <c r="C342" s="30" t="s">
        <v>6</v>
      </c>
      <c r="D342" s="30" t="s">
        <v>10</v>
      </c>
      <c r="E342" s="30" t="s">
        <v>297</v>
      </c>
      <c r="F342" s="11"/>
      <c r="G342" s="30">
        <v>6</v>
      </c>
      <c r="H342" s="30" t="s">
        <v>391</v>
      </c>
      <c r="I342" s="21" t="s">
        <v>68</v>
      </c>
      <c r="J342" s="21" t="s">
        <v>802</v>
      </c>
      <c r="K342" s="30" t="s">
        <v>107</v>
      </c>
      <c r="L342" s="35">
        <v>2</v>
      </c>
      <c r="M342" s="22">
        <v>15.82</v>
      </c>
      <c r="N342" s="38">
        <v>44718</v>
      </c>
      <c r="O342" s="30" t="s">
        <v>115</v>
      </c>
    </row>
    <row r="343" spans="2:15" s="30" customFormat="1" ht="30" hidden="1" customHeight="1" x14ac:dyDescent="0.25">
      <c r="B343" s="30" t="s">
        <v>168</v>
      </c>
      <c r="C343" s="30" t="s">
        <v>6</v>
      </c>
      <c r="D343" s="30" t="s">
        <v>10</v>
      </c>
      <c r="E343" s="30" t="s">
        <v>297</v>
      </c>
      <c r="F343" s="11"/>
      <c r="G343" s="30">
        <v>6</v>
      </c>
      <c r="H343" s="30" t="s">
        <v>391</v>
      </c>
      <c r="I343" s="21" t="s">
        <v>68</v>
      </c>
      <c r="J343" s="21" t="s">
        <v>802</v>
      </c>
      <c r="K343" s="30" t="s">
        <v>107</v>
      </c>
      <c r="L343" s="35">
        <v>1</v>
      </c>
      <c r="M343" s="22">
        <v>4.68</v>
      </c>
      <c r="N343" s="38">
        <v>44718</v>
      </c>
      <c r="O343" s="30" t="s">
        <v>115</v>
      </c>
    </row>
    <row r="344" spans="2:15" s="30" customFormat="1" ht="30.75" customHeight="1" x14ac:dyDescent="0.25">
      <c r="B344" s="30" t="s">
        <v>169</v>
      </c>
      <c r="C344" s="30" t="s">
        <v>6</v>
      </c>
      <c r="D344" s="30" t="s">
        <v>10</v>
      </c>
      <c r="E344" s="30" t="s">
        <v>297</v>
      </c>
      <c r="F344" s="11"/>
      <c r="G344" s="30">
        <v>6</v>
      </c>
      <c r="H344" s="30" t="s">
        <v>391</v>
      </c>
      <c r="I344" s="21" t="s">
        <v>68</v>
      </c>
      <c r="J344" s="21" t="s">
        <v>493</v>
      </c>
      <c r="K344" s="30" t="s">
        <v>107</v>
      </c>
      <c r="L344" s="35">
        <v>60</v>
      </c>
      <c r="M344" s="22">
        <v>240.74</v>
      </c>
      <c r="N344" s="38">
        <v>44718</v>
      </c>
      <c r="O344" s="30" t="s">
        <v>114</v>
      </c>
    </row>
    <row r="345" spans="2:15" s="30" customFormat="1" ht="15" hidden="1" customHeight="1" x14ac:dyDescent="0.25">
      <c r="B345" s="30" t="s">
        <v>170</v>
      </c>
      <c r="C345" s="30" t="s">
        <v>6</v>
      </c>
      <c r="D345" s="30" t="s">
        <v>10</v>
      </c>
      <c r="E345" s="30" t="s">
        <v>18</v>
      </c>
      <c r="F345" s="11"/>
      <c r="G345" s="19" t="s">
        <v>345</v>
      </c>
      <c r="H345" s="30" t="s">
        <v>394</v>
      </c>
      <c r="I345" s="21" t="s">
        <v>68</v>
      </c>
      <c r="J345" s="21" t="s">
        <v>273</v>
      </c>
      <c r="K345" s="30" t="s">
        <v>94</v>
      </c>
      <c r="L345" s="35">
        <v>0</v>
      </c>
      <c r="M345" s="22">
        <v>398.16</v>
      </c>
      <c r="N345" s="44"/>
      <c r="O345" s="30" t="s">
        <v>115</v>
      </c>
    </row>
    <row r="346" spans="2:15" s="30" customFormat="1" ht="30" hidden="1" customHeight="1" x14ac:dyDescent="0.25">
      <c r="C346" s="30" t="s">
        <v>6</v>
      </c>
      <c r="D346" s="30" t="s">
        <v>10</v>
      </c>
      <c r="E346" s="30" t="s">
        <v>18</v>
      </c>
      <c r="F346" s="11"/>
      <c r="G346" s="19" t="s">
        <v>345</v>
      </c>
      <c r="H346" s="30" t="s">
        <v>193</v>
      </c>
      <c r="I346" s="21" t="s">
        <v>68</v>
      </c>
      <c r="J346" s="21" t="s">
        <v>793</v>
      </c>
      <c r="K346" s="30" t="s">
        <v>94</v>
      </c>
      <c r="L346" s="35">
        <v>38</v>
      </c>
      <c r="M346" s="22">
        <v>477</v>
      </c>
      <c r="N346" s="44"/>
    </row>
    <row r="347" spans="2:15" s="30" customFormat="1" ht="30.75" hidden="1" customHeight="1" x14ac:dyDescent="0.25">
      <c r="C347" s="30" t="s">
        <v>6</v>
      </c>
      <c r="D347" s="30" t="s">
        <v>10</v>
      </c>
      <c r="E347" s="30" t="s">
        <v>18</v>
      </c>
      <c r="F347" s="11"/>
      <c r="G347" s="19" t="s">
        <v>345</v>
      </c>
      <c r="H347" s="30" t="s">
        <v>193</v>
      </c>
      <c r="I347" s="21" t="s">
        <v>68</v>
      </c>
      <c r="J347" s="21" t="s">
        <v>794</v>
      </c>
      <c r="K347" s="30" t="s">
        <v>94</v>
      </c>
      <c r="L347" s="35">
        <v>0</v>
      </c>
      <c r="M347" s="22">
        <v>395.39</v>
      </c>
      <c r="N347" s="44">
        <v>44590</v>
      </c>
    </row>
    <row r="348" spans="2:15" s="30" customFormat="1" ht="15" hidden="1" customHeight="1" x14ac:dyDescent="0.25">
      <c r="B348" s="30" t="s">
        <v>170</v>
      </c>
      <c r="C348" s="30" t="s">
        <v>6</v>
      </c>
      <c r="D348" s="30" t="s">
        <v>10</v>
      </c>
      <c r="E348" s="30" t="s">
        <v>16</v>
      </c>
      <c r="F348" s="11"/>
      <c r="G348" s="19" t="s">
        <v>345</v>
      </c>
      <c r="H348" s="30" t="s">
        <v>23</v>
      </c>
      <c r="I348" s="21" t="s">
        <v>57</v>
      </c>
      <c r="J348" s="21" t="s">
        <v>821</v>
      </c>
      <c r="K348" s="30" t="s">
        <v>94</v>
      </c>
      <c r="L348" s="35"/>
      <c r="M348" s="22"/>
      <c r="N348" s="44">
        <v>44719</v>
      </c>
      <c r="O348" s="30" t="s">
        <v>115</v>
      </c>
    </row>
    <row r="349" spans="2:15" s="30" customFormat="1" ht="15" hidden="1" customHeight="1" x14ac:dyDescent="0.25">
      <c r="B349" s="30" t="s">
        <v>170</v>
      </c>
      <c r="C349" s="30" t="s">
        <v>6</v>
      </c>
      <c r="D349" s="30" t="s">
        <v>10</v>
      </c>
      <c r="E349" s="30" t="s">
        <v>14</v>
      </c>
      <c r="F349" s="11"/>
      <c r="G349" s="19" t="s">
        <v>345</v>
      </c>
      <c r="H349" s="30" t="s">
        <v>23</v>
      </c>
      <c r="I349" s="21" t="s">
        <v>67</v>
      </c>
      <c r="J349" s="21" t="s">
        <v>821</v>
      </c>
      <c r="K349" s="30" t="s">
        <v>94</v>
      </c>
      <c r="L349" s="35"/>
      <c r="M349" s="22"/>
      <c r="N349" s="44">
        <v>44719</v>
      </c>
      <c r="O349" s="30" t="s">
        <v>115</v>
      </c>
    </row>
    <row r="350" spans="2:15" s="30" customFormat="1" ht="30" hidden="1" customHeight="1" x14ac:dyDescent="0.25">
      <c r="B350" s="30" t="s">
        <v>168</v>
      </c>
      <c r="C350" s="30" t="s">
        <v>6</v>
      </c>
      <c r="D350" s="30" t="s">
        <v>10</v>
      </c>
      <c r="E350" s="30" t="s">
        <v>18</v>
      </c>
      <c r="F350" s="11"/>
      <c r="G350" s="19" t="s">
        <v>345</v>
      </c>
      <c r="H350" s="30" t="s">
        <v>389</v>
      </c>
      <c r="I350" s="21" t="s">
        <v>35</v>
      </c>
      <c r="J350" s="21" t="s">
        <v>489</v>
      </c>
      <c r="K350" s="30" t="s">
        <v>107</v>
      </c>
      <c r="L350" s="35">
        <v>1</v>
      </c>
      <c r="M350" s="22">
        <v>62.43</v>
      </c>
      <c r="N350" s="44">
        <v>44393</v>
      </c>
      <c r="O350" s="30" t="s">
        <v>115</v>
      </c>
    </row>
    <row r="351" spans="2:15" s="30" customFormat="1" ht="45" hidden="1" customHeight="1" x14ac:dyDescent="0.25">
      <c r="B351" s="30" t="s">
        <v>168</v>
      </c>
      <c r="C351" s="30" t="s">
        <v>6</v>
      </c>
      <c r="D351" s="30" t="s">
        <v>10</v>
      </c>
      <c r="E351" s="30" t="s">
        <v>18</v>
      </c>
      <c r="F351" s="11"/>
      <c r="G351" s="19" t="s">
        <v>345</v>
      </c>
      <c r="H351" s="30" t="s">
        <v>389</v>
      </c>
      <c r="I351" s="21" t="s">
        <v>35</v>
      </c>
      <c r="J351" s="21" t="s">
        <v>823</v>
      </c>
      <c r="K351" s="30" t="s">
        <v>107</v>
      </c>
      <c r="L351" s="35">
        <v>1</v>
      </c>
      <c r="M351" s="22">
        <v>10.85</v>
      </c>
      <c r="N351" s="44">
        <v>44393</v>
      </c>
      <c r="O351" s="30" t="s">
        <v>115</v>
      </c>
    </row>
    <row r="352" spans="2:15" s="30" customFormat="1" ht="45" hidden="1" customHeight="1" x14ac:dyDescent="0.25">
      <c r="B352" s="30" t="s">
        <v>168</v>
      </c>
      <c r="C352" s="30" t="s">
        <v>6</v>
      </c>
      <c r="D352" s="30" t="s">
        <v>10</v>
      </c>
      <c r="E352" s="30" t="s">
        <v>18</v>
      </c>
      <c r="F352" s="11"/>
      <c r="G352" s="19" t="s">
        <v>345</v>
      </c>
      <c r="H352" s="30" t="s">
        <v>389</v>
      </c>
      <c r="I352" s="21" t="s">
        <v>35</v>
      </c>
      <c r="J352" s="21" t="s">
        <v>822</v>
      </c>
      <c r="K352" s="30" t="s">
        <v>107</v>
      </c>
      <c r="L352" s="35">
        <v>1</v>
      </c>
      <c r="M352" s="22">
        <v>10.85</v>
      </c>
      <c r="N352" s="44">
        <v>44393</v>
      </c>
      <c r="O352" s="30" t="s">
        <v>115</v>
      </c>
    </row>
    <row r="353" spans="2:15" s="30" customFormat="1" ht="45" hidden="1" customHeight="1" x14ac:dyDescent="0.25">
      <c r="B353" s="30" t="s">
        <v>168</v>
      </c>
      <c r="C353" s="30" t="s">
        <v>6</v>
      </c>
      <c r="D353" s="30" t="s">
        <v>10</v>
      </c>
      <c r="E353" s="30" t="s">
        <v>18</v>
      </c>
      <c r="F353" s="11"/>
      <c r="G353" s="19" t="s">
        <v>273</v>
      </c>
      <c r="H353" s="30" t="s">
        <v>389</v>
      </c>
      <c r="I353" s="21" t="s">
        <v>35</v>
      </c>
      <c r="J353" s="21" t="s">
        <v>516</v>
      </c>
      <c r="K353" s="21" t="s">
        <v>107</v>
      </c>
      <c r="L353" s="35">
        <v>1</v>
      </c>
      <c r="M353" s="34">
        <v>13.18</v>
      </c>
      <c r="N353" s="44">
        <v>44393</v>
      </c>
      <c r="O353" s="30" t="s">
        <v>115</v>
      </c>
    </row>
    <row r="354" spans="2:15" s="30" customFormat="1" ht="45" hidden="1" customHeight="1" x14ac:dyDescent="0.25">
      <c r="B354" s="30" t="s">
        <v>168</v>
      </c>
      <c r="C354" s="30" t="s">
        <v>6</v>
      </c>
      <c r="D354" s="30" t="s">
        <v>10</v>
      </c>
      <c r="E354" s="30" t="s">
        <v>18</v>
      </c>
      <c r="F354" s="11"/>
      <c r="G354" s="19" t="s">
        <v>273</v>
      </c>
      <c r="H354" s="30" t="s">
        <v>390</v>
      </c>
      <c r="I354" s="21" t="s">
        <v>35</v>
      </c>
      <c r="J354" s="21" t="s">
        <v>517</v>
      </c>
      <c r="K354" s="21" t="s">
        <v>107</v>
      </c>
      <c r="L354" s="35">
        <v>1</v>
      </c>
      <c r="M354" s="34">
        <v>23.71</v>
      </c>
      <c r="N354" s="44">
        <v>44393</v>
      </c>
      <c r="O354" s="30" t="s">
        <v>115</v>
      </c>
    </row>
    <row r="355" spans="2:15" s="30" customFormat="1" ht="30" hidden="1" customHeight="1" x14ac:dyDescent="0.25">
      <c r="B355" s="30" t="s">
        <v>168</v>
      </c>
      <c r="C355" s="30" t="s">
        <v>6</v>
      </c>
      <c r="D355" s="30" t="s">
        <v>10</v>
      </c>
      <c r="E355" s="30" t="s">
        <v>18</v>
      </c>
      <c r="F355" s="11"/>
      <c r="G355" s="19" t="s">
        <v>345</v>
      </c>
      <c r="H355" s="30" t="s">
        <v>390</v>
      </c>
      <c r="I355" s="21" t="s">
        <v>35</v>
      </c>
      <c r="J355" s="21" t="s">
        <v>515</v>
      </c>
      <c r="K355" s="30" t="s">
        <v>94</v>
      </c>
      <c r="L355" s="35">
        <v>0</v>
      </c>
      <c r="M355" s="22">
        <v>13.12</v>
      </c>
      <c r="N355" s="44">
        <v>44393</v>
      </c>
      <c r="O355" s="30" t="s">
        <v>115</v>
      </c>
    </row>
    <row r="356" spans="2:15" s="30" customFormat="1" ht="30" hidden="1" customHeight="1" x14ac:dyDescent="0.25">
      <c r="B356" s="30" t="s">
        <v>168</v>
      </c>
      <c r="C356" s="30" t="s">
        <v>6</v>
      </c>
      <c r="D356" s="30" t="s">
        <v>10</v>
      </c>
      <c r="E356" s="30" t="s">
        <v>18</v>
      </c>
      <c r="F356" s="11"/>
      <c r="G356" s="19" t="s">
        <v>273</v>
      </c>
      <c r="H356" s="30" t="s">
        <v>390</v>
      </c>
      <c r="I356" s="21" t="s">
        <v>35</v>
      </c>
      <c r="J356" s="21" t="s">
        <v>518</v>
      </c>
      <c r="K356" s="21" t="s">
        <v>94</v>
      </c>
      <c r="L356" s="35">
        <v>0</v>
      </c>
      <c r="M356" s="34">
        <v>24.71</v>
      </c>
      <c r="N356" s="44">
        <v>44393</v>
      </c>
      <c r="O356" s="30" t="s">
        <v>115</v>
      </c>
    </row>
    <row r="357" spans="2:15" s="30" customFormat="1" ht="30" hidden="1" customHeight="1" x14ac:dyDescent="0.25">
      <c r="B357" s="30" t="s">
        <v>168</v>
      </c>
      <c r="C357" s="30" t="s">
        <v>6</v>
      </c>
      <c r="D357" s="30" t="s">
        <v>10</v>
      </c>
      <c r="E357" s="30" t="s">
        <v>18</v>
      </c>
      <c r="F357" s="11"/>
      <c r="G357" s="19" t="s">
        <v>345</v>
      </c>
      <c r="H357" s="30" t="s">
        <v>390</v>
      </c>
      <c r="I357" s="21" t="s">
        <v>35</v>
      </c>
      <c r="J357" s="21" t="s">
        <v>241</v>
      </c>
      <c r="K357" s="30" t="s">
        <v>94</v>
      </c>
      <c r="L357" s="35">
        <v>0</v>
      </c>
      <c r="M357" s="22">
        <v>24.65</v>
      </c>
      <c r="N357" s="44">
        <v>44393</v>
      </c>
      <c r="O357" s="30" t="s">
        <v>115</v>
      </c>
    </row>
    <row r="358" spans="2:15" s="30" customFormat="1" ht="30" hidden="1" customHeight="1" x14ac:dyDescent="0.25">
      <c r="B358" s="30" t="s">
        <v>168</v>
      </c>
      <c r="C358" s="30" t="s">
        <v>6</v>
      </c>
      <c r="D358" s="30" t="s">
        <v>10</v>
      </c>
      <c r="E358" s="30" t="s">
        <v>18</v>
      </c>
      <c r="F358" s="11"/>
      <c r="G358" s="19" t="s">
        <v>345</v>
      </c>
      <c r="H358" s="30" t="s">
        <v>177</v>
      </c>
      <c r="I358" s="21" t="s">
        <v>68</v>
      </c>
      <c r="J358" s="21" t="s">
        <v>521</v>
      </c>
      <c r="K358" s="30" t="s">
        <v>107</v>
      </c>
      <c r="L358" s="35">
        <v>1</v>
      </c>
      <c r="M358" s="22">
        <v>4.51</v>
      </c>
      <c r="N358" s="44">
        <v>44393</v>
      </c>
      <c r="O358" s="30" t="s">
        <v>115</v>
      </c>
    </row>
    <row r="359" spans="2:15" s="30" customFormat="1" ht="30" hidden="1" customHeight="1" x14ac:dyDescent="0.25">
      <c r="B359" s="30" t="s">
        <v>168</v>
      </c>
      <c r="C359" s="30" t="s">
        <v>6</v>
      </c>
      <c r="D359" s="30" t="s">
        <v>10</v>
      </c>
      <c r="E359" s="30" t="s">
        <v>18</v>
      </c>
      <c r="F359" s="11"/>
      <c r="G359" s="19" t="s">
        <v>345</v>
      </c>
      <c r="H359" s="30" t="s">
        <v>389</v>
      </c>
      <c r="I359" s="21" t="s">
        <v>68</v>
      </c>
      <c r="J359" s="21" t="s">
        <v>349</v>
      </c>
      <c r="K359" s="30" t="s">
        <v>94</v>
      </c>
      <c r="L359" s="35">
        <v>0</v>
      </c>
      <c r="M359" s="22">
        <v>52.25</v>
      </c>
      <c r="N359" s="44">
        <v>44393</v>
      </c>
      <c r="O359" s="30" t="s">
        <v>115</v>
      </c>
    </row>
    <row r="360" spans="2:15" s="30" customFormat="1" ht="30" hidden="1" customHeight="1" x14ac:dyDescent="0.25">
      <c r="B360" s="30" t="s">
        <v>168</v>
      </c>
      <c r="C360" s="30" t="s">
        <v>6</v>
      </c>
      <c r="D360" s="30" t="s">
        <v>10</v>
      </c>
      <c r="E360" s="30" t="s">
        <v>18</v>
      </c>
      <c r="F360" s="11"/>
      <c r="G360" s="19" t="s">
        <v>345</v>
      </c>
      <c r="H360" s="30" t="s">
        <v>389</v>
      </c>
      <c r="I360" s="21" t="s">
        <v>68</v>
      </c>
      <c r="J360" s="21" t="s">
        <v>350</v>
      </c>
      <c r="K360" s="30" t="s">
        <v>94</v>
      </c>
      <c r="L360" s="35">
        <v>0</v>
      </c>
      <c r="M360" s="22">
        <v>11.31</v>
      </c>
      <c r="N360" s="44">
        <v>44393</v>
      </c>
      <c r="O360" s="30" t="s">
        <v>115</v>
      </c>
    </row>
    <row r="361" spans="2:15" s="30" customFormat="1" ht="30" hidden="1" customHeight="1" x14ac:dyDescent="0.25">
      <c r="B361" s="30" t="s">
        <v>168</v>
      </c>
      <c r="C361" s="30" t="s">
        <v>6</v>
      </c>
      <c r="D361" s="30" t="s">
        <v>10</v>
      </c>
      <c r="E361" s="30" t="s">
        <v>18</v>
      </c>
      <c r="F361" s="11"/>
      <c r="G361" s="19" t="s">
        <v>345</v>
      </c>
      <c r="H361" s="30" t="s">
        <v>389</v>
      </c>
      <c r="I361" s="21" t="s">
        <v>68</v>
      </c>
      <c r="J361" s="21" t="s">
        <v>351</v>
      </c>
      <c r="K361" s="30" t="s">
        <v>94</v>
      </c>
      <c r="L361" s="35">
        <v>0</v>
      </c>
      <c r="M361" s="22">
        <v>15.51</v>
      </c>
      <c r="N361" s="44">
        <v>44393</v>
      </c>
      <c r="O361" s="30" t="s">
        <v>115</v>
      </c>
    </row>
    <row r="362" spans="2:15" s="30" customFormat="1" ht="30" hidden="1" customHeight="1" x14ac:dyDescent="0.25">
      <c r="B362" s="30" t="s">
        <v>168</v>
      </c>
      <c r="C362" s="30" t="s">
        <v>6</v>
      </c>
      <c r="D362" s="30" t="s">
        <v>10</v>
      </c>
      <c r="E362" s="30" t="s">
        <v>18</v>
      </c>
      <c r="F362" s="11"/>
      <c r="G362" s="19" t="s">
        <v>345</v>
      </c>
      <c r="H362" s="30" t="s">
        <v>389</v>
      </c>
      <c r="I362" s="21" t="s">
        <v>68</v>
      </c>
      <c r="J362" s="21" t="s">
        <v>352</v>
      </c>
      <c r="K362" s="30" t="s">
        <v>94</v>
      </c>
      <c r="L362" s="35">
        <v>0</v>
      </c>
      <c r="M362" s="22">
        <v>7.96</v>
      </c>
      <c r="N362" s="44">
        <v>44393</v>
      </c>
      <c r="O362" s="30" t="s">
        <v>115</v>
      </c>
    </row>
    <row r="363" spans="2:15" s="30" customFormat="1" ht="30" customHeight="1" x14ac:dyDescent="0.25">
      <c r="B363" s="30" t="s">
        <v>170</v>
      </c>
      <c r="C363" s="30" t="s">
        <v>6</v>
      </c>
      <c r="D363" s="30" t="s">
        <v>10</v>
      </c>
      <c r="E363" s="30" t="s">
        <v>18</v>
      </c>
      <c r="F363" s="11"/>
      <c r="G363" s="19" t="s">
        <v>273</v>
      </c>
      <c r="H363" s="30" t="s">
        <v>394</v>
      </c>
      <c r="I363" s="21" t="s">
        <v>35</v>
      </c>
      <c r="J363" s="21" t="s">
        <v>520</v>
      </c>
      <c r="K363" s="21" t="s">
        <v>94</v>
      </c>
      <c r="L363" s="35">
        <v>0</v>
      </c>
      <c r="M363" s="34">
        <v>8.32</v>
      </c>
      <c r="N363" s="44">
        <v>44393</v>
      </c>
      <c r="O363" s="30" t="s">
        <v>114</v>
      </c>
    </row>
    <row r="364" spans="2:15" s="30" customFormat="1" ht="30" customHeight="1" x14ac:dyDescent="0.25">
      <c r="B364" s="30" t="s">
        <v>170</v>
      </c>
      <c r="C364" s="30" t="s">
        <v>6</v>
      </c>
      <c r="D364" s="30" t="s">
        <v>10</v>
      </c>
      <c r="E364" s="30" t="s">
        <v>18</v>
      </c>
      <c r="F364" s="11"/>
      <c r="G364" s="19" t="s">
        <v>273</v>
      </c>
      <c r="H364" s="30" t="s">
        <v>394</v>
      </c>
      <c r="I364" s="21" t="s">
        <v>35</v>
      </c>
      <c r="J364" s="21" t="s">
        <v>519</v>
      </c>
      <c r="K364" s="21" t="s">
        <v>94</v>
      </c>
      <c r="L364" s="35">
        <v>0</v>
      </c>
      <c r="M364" s="34">
        <v>12.92</v>
      </c>
      <c r="N364" s="44">
        <v>44393</v>
      </c>
      <c r="O364" s="30" t="s">
        <v>114</v>
      </c>
    </row>
    <row r="365" spans="2:15" s="30" customFormat="1" ht="30" hidden="1" customHeight="1" x14ac:dyDescent="0.25">
      <c r="B365" s="30" t="s">
        <v>168</v>
      </c>
      <c r="C365" s="30" t="s">
        <v>6</v>
      </c>
      <c r="D365" s="30" t="s">
        <v>10</v>
      </c>
      <c r="E365" s="30" t="s">
        <v>18</v>
      </c>
      <c r="F365" s="11"/>
      <c r="G365" s="19" t="s">
        <v>345</v>
      </c>
      <c r="H365" s="30" t="s">
        <v>389</v>
      </c>
      <c r="I365" s="21" t="s">
        <v>68</v>
      </c>
      <c r="J365" s="21" t="s">
        <v>348</v>
      </c>
      <c r="K365" s="30" t="s">
        <v>94</v>
      </c>
      <c r="L365" s="35">
        <v>0</v>
      </c>
      <c r="M365" s="22">
        <v>10.28</v>
      </c>
      <c r="N365" s="44">
        <v>44393</v>
      </c>
      <c r="O365" s="30" t="s">
        <v>115</v>
      </c>
    </row>
    <row r="366" spans="2:15" s="30" customFormat="1" ht="27" hidden="1" customHeight="1" x14ac:dyDescent="0.25">
      <c r="B366" s="30" t="s">
        <v>165</v>
      </c>
      <c r="C366" s="30" t="s">
        <v>6</v>
      </c>
      <c r="D366" s="30" t="s">
        <v>10</v>
      </c>
      <c r="E366" s="30" t="s">
        <v>18</v>
      </c>
      <c r="F366" s="11">
        <v>100</v>
      </c>
      <c r="G366" s="19" t="s">
        <v>343</v>
      </c>
      <c r="H366" s="30" t="s">
        <v>390</v>
      </c>
      <c r="I366" s="21" t="s">
        <v>35</v>
      </c>
      <c r="J366" s="21" t="s">
        <v>500</v>
      </c>
      <c r="K366" s="30" t="s">
        <v>107</v>
      </c>
      <c r="L366" s="35">
        <v>3</v>
      </c>
      <c r="M366" s="22">
        <v>40</v>
      </c>
      <c r="N366" s="44">
        <v>44391</v>
      </c>
      <c r="O366" s="30" t="s">
        <v>115</v>
      </c>
    </row>
    <row r="367" spans="2:15" s="30" customFormat="1" ht="26.25" hidden="1" customHeight="1" x14ac:dyDescent="0.25">
      <c r="B367" s="30" t="s">
        <v>165</v>
      </c>
      <c r="C367" s="30" t="s">
        <v>6</v>
      </c>
      <c r="D367" s="30" t="s">
        <v>10</v>
      </c>
      <c r="E367" s="30" t="s">
        <v>18</v>
      </c>
      <c r="F367" s="11">
        <v>101</v>
      </c>
      <c r="G367" s="19" t="s">
        <v>343</v>
      </c>
      <c r="H367" s="30" t="s">
        <v>26</v>
      </c>
      <c r="I367" s="21" t="s">
        <v>32</v>
      </c>
      <c r="J367" s="21" t="s">
        <v>149</v>
      </c>
      <c r="K367" s="30" t="s">
        <v>90</v>
      </c>
      <c r="L367" s="35">
        <v>36</v>
      </c>
      <c r="M367" s="22">
        <v>128</v>
      </c>
      <c r="N367" s="44">
        <v>44391</v>
      </c>
      <c r="O367" s="30" t="s">
        <v>115</v>
      </c>
    </row>
    <row r="368" spans="2:15" s="30" customFormat="1" ht="26.25" hidden="1" customHeight="1" x14ac:dyDescent="0.25">
      <c r="B368" s="30" t="s">
        <v>165</v>
      </c>
      <c r="C368" s="30" t="s">
        <v>6</v>
      </c>
      <c r="D368" s="30" t="s">
        <v>10</v>
      </c>
      <c r="E368" s="30" t="s">
        <v>18</v>
      </c>
      <c r="F368" s="11">
        <v>102</v>
      </c>
      <c r="G368" s="19" t="s">
        <v>343</v>
      </c>
      <c r="H368" s="30" t="s">
        <v>27</v>
      </c>
      <c r="I368" s="21" t="s">
        <v>81</v>
      </c>
      <c r="J368" s="21" t="s">
        <v>233</v>
      </c>
      <c r="K368" s="30" t="s">
        <v>90</v>
      </c>
      <c r="L368" s="35">
        <v>31</v>
      </c>
      <c r="M368" s="22">
        <v>63.63</v>
      </c>
      <c r="N368" s="44">
        <v>44391</v>
      </c>
      <c r="O368" s="30" t="s">
        <v>115</v>
      </c>
    </row>
    <row r="369" spans="2:15" s="30" customFormat="1" ht="26.25" customHeight="1" x14ac:dyDescent="0.25">
      <c r="B369" s="30" t="s">
        <v>169</v>
      </c>
      <c r="C369" s="30" t="s">
        <v>6</v>
      </c>
      <c r="D369" s="30" t="s">
        <v>10</v>
      </c>
      <c r="E369" s="30" t="s">
        <v>18</v>
      </c>
      <c r="F369" s="11"/>
      <c r="G369" s="19" t="s">
        <v>343</v>
      </c>
      <c r="H369" s="30" t="s">
        <v>399</v>
      </c>
      <c r="I369" s="21" t="s">
        <v>68</v>
      </c>
      <c r="J369" s="21" t="s">
        <v>401</v>
      </c>
      <c r="K369" s="30" t="s">
        <v>94</v>
      </c>
      <c r="L369" s="35">
        <v>2</v>
      </c>
      <c r="M369" s="22">
        <v>20.32</v>
      </c>
      <c r="N369" s="44">
        <v>44391</v>
      </c>
      <c r="O369" s="30" t="s">
        <v>114</v>
      </c>
    </row>
    <row r="370" spans="2:15" s="30" customFormat="1" ht="26.25" customHeight="1" x14ac:dyDescent="0.25">
      <c r="B370" s="30" t="s">
        <v>169</v>
      </c>
      <c r="C370" s="30" t="s">
        <v>6</v>
      </c>
      <c r="D370" s="30" t="s">
        <v>10</v>
      </c>
      <c r="E370" s="30" t="s">
        <v>18</v>
      </c>
      <c r="F370" s="11"/>
      <c r="G370" s="19" t="s">
        <v>343</v>
      </c>
      <c r="H370" s="30" t="s">
        <v>399</v>
      </c>
      <c r="I370" s="21" t="s">
        <v>68</v>
      </c>
      <c r="J370" s="21" t="s">
        <v>402</v>
      </c>
      <c r="K370" s="30" t="s">
        <v>94</v>
      </c>
      <c r="L370" s="35">
        <v>5</v>
      </c>
      <c r="M370" s="22">
        <v>19.37</v>
      </c>
      <c r="N370" s="44">
        <v>44391</v>
      </c>
      <c r="O370" s="30" t="s">
        <v>114</v>
      </c>
    </row>
    <row r="371" spans="2:15" s="30" customFormat="1" ht="26.25" hidden="1" customHeight="1" x14ac:dyDescent="0.25">
      <c r="B371" s="30" t="s">
        <v>169</v>
      </c>
      <c r="C371" s="30" t="s">
        <v>6</v>
      </c>
      <c r="D371" s="30" t="s">
        <v>10</v>
      </c>
      <c r="E371" s="30" t="s">
        <v>18</v>
      </c>
      <c r="F371" s="11"/>
      <c r="G371" s="19" t="s">
        <v>343</v>
      </c>
      <c r="H371" s="30" t="s">
        <v>399</v>
      </c>
      <c r="I371" s="21" t="s">
        <v>68</v>
      </c>
      <c r="J371" s="21" t="s">
        <v>274</v>
      </c>
      <c r="K371" s="30" t="s">
        <v>94</v>
      </c>
      <c r="L371" s="35">
        <v>1</v>
      </c>
      <c r="M371" s="22">
        <v>4</v>
      </c>
      <c r="N371" s="44">
        <v>44391</v>
      </c>
      <c r="O371" s="30" t="s">
        <v>115</v>
      </c>
    </row>
    <row r="372" spans="2:15" s="30" customFormat="1" ht="26.25" customHeight="1" x14ac:dyDescent="0.25">
      <c r="B372" s="30" t="s">
        <v>170</v>
      </c>
      <c r="C372" s="30" t="s">
        <v>6</v>
      </c>
      <c r="D372" s="30" t="s">
        <v>10</v>
      </c>
      <c r="E372" s="30" t="s">
        <v>18</v>
      </c>
      <c r="F372" s="11"/>
      <c r="G372" s="19" t="s">
        <v>343</v>
      </c>
      <c r="H372" s="30" t="s">
        <v>394</v>
      </c>
      <c r="I372" s="21" t="s">
        <v>57</v>
      </c>
      <c r="J372" s="21" t="s">
        <v>804</v>
      </c>
      <c r="K372" s="30" t="s">
        <v>94</v>
      </c>
      <c r="L372" s="35">
        <v>1</v>
      </c>
      <c r="M372" s="22">
        <v>12.78</v>
      </c>
      <c r="N372" s="44">
        <v>44391</v>
      </c>
      <c r="O372" s="30" t="s">
        <v>114</v>
      </c>
    </row>
    <row r="373" spans="2:15" s="30" customFormat="1" ht="26.25" hidden="1" customHeight="1" x14ac:dyDescent="0.25">
      <c r="B373" s="30" t="s">
        <v>168</v>
      </c>
      <c r="C373" s="30" t="s">
        <v>6</v>
      </c>
      <c r="D373" s="30" t="s">
        <v>10</v>
      </c>
      <c r="E373" s="30" t="s">
        <v>18</v>
      </c>
      <c r="F373" s="11"/>
      <c r="G373" s="19" t="s">
        <v>343</v>
      </c>
      <c r="H373" s="30" t="s">
        <v>23</v>
      </c>
      <c r="I373" s="21" t="s">
        <v>57</v>
      </c>
      <c r="J373" s="21" t="s">
        <v>805</v>
      </c>
      <c r="K373" s="30" t="s">
        <v>107</v>
      </c>
      <c r="L373" s="35">
        <v>18</v>
      </c>
      <c r="M373" s="22">
        <v>45.1</v>
      </c>
      <c r="N373" s="44">
        <v>44391</v>
      </c>
      <c r="O373" s="30" t="s">
        <v>115</v>
      </c>
    </row>
    <row r="374" spans="2:15" s="30" customFormat="1" ht="26.25" hidden="1" customHeight="1" x14ac:dyDescent="0.25">
      <c r="B374" s="30" t="s">
        <v>168</v>
      </c>
      <c r="C374" s="30" t="s">
        <v>6</v>
      </c>
      <c r="D374" s="30" t="s">
        <v>10</v>
      </c>
      <c r="E374" s="30" t="s">
        <v>18</v>
      </c>
      <c r="F374" s="11"/>
      <c r="G374" s="19" t="s">
        <v>343</v>
      </c>
      <c r="H374" s="30" t="s">
        <v>389</v>
      </c>
      <c r="I374" s="21" t="s">
        <v>68</v>
      </c>
      <c r="J374" s="21" t="s">
        <v>786</v>
      </c>
      <c r="K374" s="30" t="s">
        <v>107</v>
      </c>
      <c r="L374" s="35">
        <v>4</v>
      </c>
      <c r="M374" s="22">
        <v>8.08</v>
      </c>
      <c r="N374" s="44">
        <v>44391</v>
      </c>
      <c r="O374" s="30" t="s">
        <v>115</v>
      </c>
    </row>
    <row r="375" spans="2:15" s="30" customFormat="1" ht="26.25" hidden="1" customHeight="1" x14ac:dyDescent="0.25">
      <c r="B375" s="30" t="s">
        <v>168</v>
      </c>
      <c r="C375" s="30" t="s">
        <v>6</v>
      </c>
      <c r="D375" s="30" t="s">
        <v>10</v>
      </c>
      <c r="E375" s="30" t="s">
        <v>18</v>
      </c>
      <c r="F375" s="11"/>
      <c r="G375" s="19" t="s">
        <v>343</v>
      </c>
      <c r="H375" s="30" t="s">
        <v>23</v>
      </c>
      <c r="I375" s="21" t="s">
        <v>68</v>
      </c>
      <c r="J375" s="21" t="s">
        <v>824</v>
      </c>
      <c r="K375" s="30" t="s">
        <v>107</v>
      </c>
      <c r="L375" s="35">
        <v>1</v>
      </c>
      <c r="M375" s="22">
        <v>7.84</v>
      </c>
      <c r="N375" s="44">
        <v>44391</v>
      </c>
      <c r="O375" s="30" t="s">
        <v>115</v>
      </c>
    </row>
    <row r="376" spans="2:15" s="30" customFormat="1" ht="26.25" hidden="1" customHeight="1" x14ac:dyDescent="0.25">
      <c r="B376" s="30" t="s">
        <v>168</v>
      </c>
      <c r="C376" s="30" t="s">
        <v>6</v>
      </c>
      <c r="D376" s="30" t="s">
        <v>10</v>
      </c>
      <c r="E376" s="30" t="s">
        <v>18</v>
      </c>
      <c r="F376" s="11"/>
      <c r="G376" s="19" t="s">
        <v>343</v>
      </c>
      <c r="H376" s="30" t="s">
        <v>23</v>
      </c>
      <c r="I376" s="21" t="s">
        <v>68</v>
      </c>
      <c r="J376" s="21" t="s">
        <v>785</v>
      </c>
      <c r="K376" s="30" t="s">
        <v>107</v>
      </c>
      <c r="L376" s="35">
        <v>7</v>
      </c>
      <c r="M376" s="22">
        <v>13.96</v>
      </c>
      <c r="N376" s="44">
        <v>44391</v>
      </c>
      <c r="O376" s="30" t="s">
        <v>115</v>
      </c>
    </row>
    <row r="377" spans="2:15" s="30" customFormat="1" ht="26.25" hidden="1" customHeight="1" x14ac:dyDescent="0.25">
      <c r="B377" s="30" t="s">
        <v>168</v>
      </c>
      <c r="C377" s="30" t="s">
        <v>6</v>
      </c>
      <c r="D377" s="30" t="s">
        <v>10</v>
      </c>
      <c r="E377" s="30" t="s">
        <v>18</v>
      </c>
      <c r="F377" s="11"/>
      <c r="G377" s="19" t="s">
        <v>343</v>
      </c>
      <c r="H377" s="30" t="s">
        <v>23</v>
      </c>
      <c r="I377" s="21" t="s">
        <v>94</v>
      </c>
      <c r="J377" s="21" t="s">
        <v>563</v>
      </c>
      <c r="K377" s="30" t="s">
        <v>107</v>
      </c>
      <c r="L377" s="35">
        <v>4</v>
      </c>
      <c r="M377" s="22">
        <v>9.1</v>
      </c>
      <c r="N377" s="44">
        <v>44391</v>
      </c>
      <c r="O377" s="30" t="s">
        <v>115</v>
      </c>
    </row>
    <row r="378" spans="2:15" s="30" customFormat="1" ht="26.25" hidden="1" customHeight="1" x14ac:dyDescent="0.25">
      <c r="B378" s="30" t="s">
        <v>168</v>
      </c>
      <c r="C378" s="30" t="s">
        <v>6</v>
      </c>
      <c r="D378" s="30" t="s">
        <v>10</v>
      </c>
      <c r="E378" s="30" t="s">
        <v>18</v>
      </c>
      <c r="F378" s="11"/>
      <c r="G378" s="19" t="s">
        <v>343</v>
      </c>
      <c r="H378" s="30" t="s">
        <v>398</v>
      </c>
      <c r="I378" s="21" t="s">
        <v>68</v>
      </c>
      <c r="J378" s="21" t="s">
        <v>806</v>
      </c>
      <c r="K378" s="30" t="s">
        <v>94</v>
      </c>
      <c r="L378" s="35">
        <v>1</v>
      </c>
      <c r="M378" s="22">
        <v>3.49</v>
      </c>
      <c r="N378" s="44">
        <v>44391</v>
      </c>
      <c r="O378" s="30" t="s">
        <v>115</v>
      </c>
    </row>
    <row r="379" spans="2:15" s="30" customFormat="1" ht="26.25" hidden="1" customHeight="1" x14ac:dyDescent="0.25">
      <c r="B379" s="30" t="s">
        <v>166</v>
      </c>
      <c r="C379" s="30" t="s">
        <v>6</v>
      </c>
      <c r="D379" s="30" t="s">
        <v>10</v>
      </c>
      <c r="E379" s="30" t="s">
        <v>18</v>
      </c>
      <c r="F379" s="11"/>
      <c r="G379" s="19" t="s">
        <v>343</v>
      </c>
      <c r="H379" s="30" t="s">
        <v>397</v>
      </c>
      <c r="I379" s="21" t="s">
        <v>70</v>
      </c>
      <c r="J379" s="21" t="s">
        <v>460</v>
      </c>
      <c r="K379" s="30" t="s">
        <v>91</v>
      </c>
      <c r="L379" s="35">
        <v>22</v>
      </c>
      <c r="M379" s="22">
        <v>90.9</v>
      </c>
      <c r="N379" s="44">
        <v>44391</v>
      </c>
      <c r="O379" s="30" t="s">
        <v>115</v>
      </c>
    </row>
    <row r="380" spans="2:15" s="30" customFormat="1" ht="30" hidden="1" customHeight="1" x14ac:dyDescent="0.25">
      <c r="B380" s="30" t="s">
        <v>166</v>
      </c>
      <c r="C380" s="30" t="s">
        <v>6</v>
      </c>
      <c r="D380" s="30" t="s">
        <v>10</v>
      </c>
      <c r="E380" s="30" t="s">
        <v>18</v>
      </c>
      <c r="F380" s="11"/>
      <c r="G380" s="19" t="s">
        <v>343</v>
      </c>
      <c r="H380" s="30" t="s">
        <v>397</v>
      </c>
      <c r="I380" s="21" t="s">
        <v>70</v>
      </c>
      <c r="J380" s="21" t="s">
        <v>379</v>
      </c>
      <c r="K380" s="30" t="s">
        <v>107</v>
      </c>
      <c r="L380" s="35">
        <v>4</v>
      </c>
      <c r="M380" s="22">
        <v>15.84</v>
      </c>
      <c r="N380" s="44">
        <v>44391</v>
      </c>
      <c r="O380" s="30" t="s">
        <v>115</v>
      </c>
    </row>
    <row r="381" spans="2:15" s="30" customFormat="1" ht="30.75" hidden="1" customHeight="1" x14ac:dyDescent="0.25">
      <c r="B381" s="30" t="s">
        <v>166</v>
      </c>
      <c r="C381" s="30" t="s">
        <v>6</v>
      </c>
      <c r="D381" s="30" t="s">
        <v>10</v>
      </c>
      <c r="E381" s="30" t="s">
        <v>18</v>
      </c>
      <c r="F381" s="11"/>
      <c r="G381" s="19" t="s">
        <v>343</v>
      </c>
      <c r="H381" s="30" t="s">
        <v>397</v>
      </c>
      <c r="I381" s="21" t="s">
        <v>70</v>
      </c>
      <c r="J381" s="21" t="s">
        <v>380</v>
      </c>
      <c r="K381" s="30" t="s">
        <v>91</v>
      </c>
      <c r="L381" s="35">
        <v>9</v>
      </c>
      <c r="M381" s="22">
        <v>39.42</v>
      </c>
      <c r="N381" s="44">
        <v>44391</v>
      </c>
      <c r="O381" s="30" t="s">
        <v>115</v>
      </c>
    </row>
    <row r="382" spans="2:15" s="30" customFormat="1" ht="30.75" hidden="1" customHeight="1" x14ac:dyDescent="0.25">
      <c r="B382" s="30" t="s">
        <v>168</v>
      </c>
      <c r="C382" s="30" t="s">
        <v>6</v>
      </c>
      <c r="D382" s="30" t="s">
        <v>10</v>
      </c>
      <c r="E382" s="30" t="s">
        <v>18</v>
      </c>
      <c r="F382" s="11"/>
      <c r="G382" s="19" t="s">
        <v>343</v>
      </c>
      <c r="H382" s="30" t="s">
        <v>389</v>
      </c>
      <c r="I382" s="21" t="s">
        <v>68</v>
      </c>
      <c r="J382" s="21" t="s">
        <v>494</v>
      </c>
      <c r="K382" s="30" t="s">
        <v>91</v>
      </c>
      <c r="L382" s="35">
        <v>2</v>
      </c>
      <c r="M382" s="22">
        <v>19.41</v>
      </c>
      <c r="N382" s="44">
        <v>44391</v>
      </c>
      <c r="O382" s="30" t="s">
        <v>115</v>
      </c>
    </row>
    <row r="383" spans="2:15" s="30" customFormat="1" ht="27" hidden="1" customHeight="1" x14ac:dyDescent="0.25">
      <c r="B383" s="30" t="s">
        <v>168</v>
      </c>
      <c r="C383" s="30" t="s">
        <v>6</v>
      </c>
      <c r="D383" s="30" t="s">
        <v>10</v>
      </c>
      <c r="E383" s="30" t="s">
        <v>18</v>
      </c>
      <c r="F383" s="11"/>
      <c r="G383" s="19" t="s">
        <v>343</v>
      </c>
      <c r="H383" s="30" t="s">
        <v>390</v>
      </c>
      <c r="I383" s="21" t="s">
        <v>38</v>
      </c>
      <c r="J383" s="21" t="s">
        <v>497</v>
      </c>
      <c r="K383" s="21" t="s">
        <v>94</v>
      </c>
      <c r="L383" s="35">
        <v>3</v>
      </c>
      <c r="M383" s="34">
        <v>65.25</v>
      </c>
      <c r="N383" s="48"/>
    </row>
    <row r="384" spans="2:15" s="30" customFormat="1" ht="29.25" hidden="1" customHeight="1" x14ac:dyDescent="0.25">
      <c r="B384" s="30" t="s">
        <v>168</v>
      </c>
      <c r="C384" s="30" t="s">
        <v>6</v>
      </c>
      <c r="D384" s="30" t="s">
        <v>10</v>
      </c>
      <c r="E384" s="30" t="s">
        <v>18</v>
      </c>
      <c r="F384" s="11"/>
      <c r="G384" s="19" t="s">
        <v>343</v>
      </c>
      <c r="H384" s="30" t="s">
        <v>390</v>
      </c>
      <c r="I384" s="21" t="s">
        <v>35</v>
      </c>
      <c r="J384" s="21" t="s">
        <v>496</v>
      </c>
      <c r="K384" s="21" t="s">
        <v>94</v>
      </c>
      <c r="L384" s="35">
        <v>0</v>
      </c>
      <c r="M384" s="34">
        <v>14.62</v>
      </c>
      <c r="N384" s="44">
        <v>44391</v>
      </c>
      <c r="O384" s="30" t="s">
        <v>115</v>
      </c>
    </row>
    <row r="385" spans="2:15" s="30" customFormat="1" ht="29.25" hidden="1" customHeight="1" x14ac:dyDescent="0.25">
      <c r="B385" s="30" t="s">
        <v>168</v>
      </c>
      <c r="C385" s="30" t="s">
        <v>6</v>
      </c>
      <c r="D385" s="30" t="s">
        <v>10</v>
      </c>
      <c r="E385" s="30" t="s">
        <v>18</v>
      </c>
      <c r="F385" s="11"/>
      <c r="G385" s="19" t="s">
        <v>343</v>
      </c>
      <c r="H385" s="30" t="s">
        <v>389</v>
      </c>
      <c r="I385" s="21" t="s">
        <v>35</v>
      </c>
      <c r="J385" s="21" t="s">
        <v>495</v>
      </c>
      <c r="K385" s="21" t="s">
        <v>94</v>
      </c>
      <c r="L385" s="35">
        <v>1</v>
      </c>
      <c r="M385" s="34">
        <v>12.15</v>
      </c>
      <c r="N385" s="44">
        <v>44391</v>
      </c>
      <c r="O385" s="30" t="s">
        <v>115</v>
      </c>
    </row>
    <row r="386" spans="2:15" s="30" customFormat="1" ht="29.25" customHeight="1" x14ac:dyDescent="0.25">
      <c r="B386" s="30" t="s">
        <v>168</v>
      </c>
      <c r="C386" s="30" t="s">
        <v>6</v>
      </c>
      <c r="D386" s="30" t="s">
        <v>10</v>
      </c>
      <c r="E386" s="30" t="s">
        <v>18</v>
      </c>
      <c r="F386" s="11"/>
      <c r="G386" s="19" t="s">
        <v>343</v>
      </c>
      <c r="H386" s="30" t="s">
        <v>390</v>
      </c>
      <c r="I386" s="21" t="s">
        <v>38</v>
      </c>
      <c r="J386" s="21" t="s">
        <v>408</v>
      </c>
      <c r="K386" s="30" t="s">
        <v>94</v>
      </c>
      <c r="L386" s="35">
        <v>0</v>
      </c>
      <c r="M386" s="22">
        <v>11.24</v>
      </c>
      <c r="N386" s="44">
        <v>44391</v>
      </c>
      <c r="O386" s="30" t="s">
        <v>114</v>
      </c>
    </row>
    <row r="387" spans="2:15" s="30" customFormat="1" ht="15" hidden="1" customHeight="1" x14ac:dyDescent="0.25">
      <c r="B387" s="30" t="s">
        <v>170</v>
      </c>
      <c r="C387" s="30" t="s">
        <v>6</v>
      </c>
      <c r="D387" s="30" t="s">
        <v>10</v>
      </c>
      <c r="E387" s="30" t="s">
        <v>18</v>
      </c>
      <c r="F387" s="11"/>
      <c r="G387" s="19" t="s">
        <v>343</v>
      </c>
      <c r="H387" s="30" t="s">
        <v>394</v>
      </c>
      <c r="I387" s="21" t="s">
        <v>68</v>
      </c>
      <c r="J387" s="21" t="s">
        <v>275</v>
      </c>
      <c r="K387" s="30" t="s">
        <v>94</v>
      </c>
      <c r="L387" s="35">
        <v>0</v>
      </c>
      <c r="M387" s="22">
        <v>132</v>
      </c>
      <c r="N387" s="44">
        <v>44391</v>
      </c>
      <c r="O387" s="30" t="s">
        <v>115</v>
      </c>
    </row>
    <row r="388" spans="2:15" s="30" customFormat="1" ht="15" hidden="1" customHeight="1" x14ac:dyDescent="0.25">
      <c r="B388" s="30" t="s">
        <v>168</v>
      </c>
      <c r="C388" s="30" t="s">
        <v>6</v>
      </c>
      <c r="D388" s="30" t="s">
        <v>10</v>
      </c>
      <c r="E388" s="30" t="s">
        <v>18</v>
      </c>
      <c r="F388" s="11"/>
      <c r="G388" s="19" t="s">
        <v>343</v>
      </c>
      <c r="H388" s="30" t="s">
        <v>389</v>
      </c>
      <c r="I388" s="21" t="s">
        <v>35</v>
      </c>
      <c r="J388" s="21" t="s">
        <v>240</v>
      </c>
      <c r="K388" s="30" t="s">
        <v>94</v>
      </c>
      <c r="L388" s="35">
        <v>0</v>
      </c>
      <c r="M388" s="22">
        <v>47.69</v>
      </c>
      <c r="N388" s="44">
        <v>44391</v>
      </c>
      <c r="O388" s="30" t="s">
        <v>115</v>
      </c>
    </row>
    <row r="389" spans="2:15" s="30" customFormat="1" ht="28.5" hidden="1" customHeight="1" x14ac:dyDescent="0.25">
      <c r="B389" s="30" t="s">
        <v>168</v>
      </c>
      <c r="C389" s="30" t="s">
        <v>6</v>
      </c>
      <c r="D389" s="30" t="s">
        <v>10</v>
      </c>
      <c r="E389" s="30" t="s">
        <v>18</v>
      </c>
      <c r="F389" s="11"/>
      <c r="G389" s="19" t="s">
        <v>343</v>
      </c>
      <c r="H389" s="30" t="s">
        <v>389</v>
      </c>
      <c r="I389" s="21" t="s">
        <v>38</v>
      </c>
      <c r="J389" s="21" t="s">
        <v>242</v>
      </c>
      <c r="K389" s="30" t="s">
        <v>107</v>
      </c>
      <c r="L389" s="35">
        <v>2</v>
      </c>
      <c r="M389" s="22">
        <v>10.64</v>
      </c>
      <c r="N389" s="44">
        <v>44391</v>
      </c>
      <c r="O389" s="30" t="s">
        <v>115</v>
      </c>
    </row>
    <row r="390" spans="2:15" s="30" customFormat="1" ht="30" customHeight="1" x14ac:dyDescent="0.25">
      <c r="B390" s="30" t="s">
        <v>170</v>
      </c>
      <c r="C390" s="30" t="s">
        <v>6</v>
      </c>
      <c r="D390" s="30" t="s">
        <v>10</v>
      </c>
      <c r="E390" s="30" t="s">
        <v>18</v>
      </c>
      <c r="F390" s="11"/>
      <c r="G390" s="30">
        <v>1</v>
      </c>
      <c r="H390" s="30" t="s">
        <v>394</v>
      </c>
      <c r="I390" s="21" t="s">
        <v>68</v>
      </c>
      <c r="J390" s="21" t="s">
        <v>498</v>
      </c>
      <c r="K390" s="30" t="s">
        <v>94</v>
      </c>
      <c r="L390" s="35">
        <v>0</v>
      </c>
      <c r="M390" s="22">
        <v>36</v>
      </c>
      <c r="N390" s="44">
        <v>44391</v>
      </c>
      <c r="O390" s="30" t="s">
        <v>114</v>
      </c>
    </row>
    <row r="391" spans="2:15" s="30" customFormat="1" ht="15" customHeight="1" x14ac:dyDescent="0.25">
      <c r="B391" s="30" t="s">
        <v>168</v>
      </c>
      <c r="C391" s="30" t="s">
        <v>6</v>
      </c>
      <c r="D391" s="30" t="s">
        <v>10</v>
      </c>
      <c r="E391" s="30" t="s">
        <v>18</v>
      </c>
      <c r="F391" s="11"/>
      <c r="G391" s="30">
        <v>1</v>
      </c>
      <c r="H391" s="30" t="s">
        <v>23</v>
      </c>
      <c r="I391" s="21" t="s">
        <v>50</v>
      </c>
      <c r="J391" s="21" t="s">
        <v>381</v>
      </c>
      <c r="K391" s="30" t="s">
        <v>107</v>
      </c>
      <c r="L391" s="35">
        <v>10</v>
      </c>
      <c r="M391" s="22">
        <v>80.52</v>
      </c>
      <c r="N391" s="44">
        <v>44391</v>
      </c>
      <c r="O391" s="30" t="s">
        <v>114</v>
      </c>
    </row>
    <row r="392" spans="2:15" s="30" customFormat="1" ht="30" customHeight="1" x14ac:dyDescent="0.25">
      <c r="B392" s="30" t="s">
        <v>170</v>
      </c>
      <c r="C392" s="30" t="s">
        <v>6</v>
      </c>
      <c r="D392" s="30" t="s">
        <v>10</v>
      </c>
      <c r="E392" s="30" t="s">
        <v>18</v>
      </c>
      <c r="F392" s="11"/>
      <c r="G392" s="30">
        <v>1</v>
      </c>
      <c r="H392" s="30" t="s">
        <v>394</v>
      </c>
      <c r="I392" s="21" t="s">
        <v>68</v>
      </c>
      <c r="J392" s="21" t="s">
        <v>499</v>
      </c>
      <c r="K392" s="30" t="s">
        <v>94</v>
      </c>
      <c r="L392" s="35">
        <v>45</v>
      </c>
      <c r="M392" s="22">
        <v>135.34</v>
      </c>
      <c r="N392" s="44">
        <v>44391</v>
      </c>
      <c r="O392" s="30" t="s">
        <v>114</v>
      </c>
    </row>
    <row r="393" spans="2:15" s="30" customFormat="1" ht="29.25" customHeight="1" x14ac:dyDescent="0.25">
      <c r="B393" s="30" t="s">
        <v>169</v>
      </c>
      <c r="C393" s="30" t="s">
        <v>6</v>
      </c>
      <c r="D393" s="30" t="s">
        <v>10</v>
      </c>
      <c r="E393" s="30" t="s">
        <v>18</v>
      </c>
      <c r="F393" s="11"/>
      <c r="G393" s="30">
        <v>1</v>
      </c>
      <c r="H393" s="30" t="s">
        <v>399</v>
      </c>
      <c r="I393" s="21" t="s">
        <v>68</v>
      </c>
      <c r="J393" s="21" t="s">
        <v>276</v>
      </c>
      <c r="K393" s="30" t="s">
        <v>94</v>
      </c>
      <c r="L393" s="35">
        <v>3</v>
      </c>
      <c r="M393" s="22">
        <v>19.68</v>
      </c>
      <c r="N393" s="44">
        <v>44391</v>
      </c>
      <c r="O393" s="30" t="s">
        <v>114</v>
      </c>
    </row>
    <row r="394" spans="2:15" s="30" customFormat="1" ht="30" customHeight="1" x14ac:dyDescent="0.25">
      <c r="B394" s="30" t="s">
        <v>169</v>
      </c>
      <c r="C394" s="30" t="s">
        <v>6</v>
      </c>
      <c r="D394" s="30" t="s">
        <v>10</v>
      </c>
      <c r="E394" s="30" t="s">
        <v>18</v>
      </c>
      <c r="F394" s="11"/>
      <c r="G394" s="30">
        <v>1</v>
      </c>
      <c r="H394" s="30" t="s">
        <v>399</v>
      </c>
      <c r="I394" s="21" t="s">
        <v>68</v>
      </c>
      <c r="J394" s="21" t="s">
        <v>277</v>
      </c>
      <c r="K394" s="30" t="s">
        <v>94</v>
      </c>
      <c r="L394" s="35">
        <v>4</v>
      </c>
      <c r="M394" s="22">
        <v>17.62</v>
      </c>
      <c r="N394" s="44">
        <v>44392</v>
      </c>
      <c r="O394" s="30" t="s">
        <v>114</v>
      </c>
    </row>
    <row r="395" spans="2:15" s="30" customFormat="1" ht="29.25" customHeight="1" x14ac:dyDescent="0.25">
      <c r="B395" s="30" t="s">
        <v>169</v>
      </c>
      <c r="C395" s="30" t="s">
        <v>6</v>
      </c>
      <c r="D395" s="30" t="s">
        <v>10</v>
      </c>
      <c r="E395" s="30" t="s">
        <v>18</v>
      </c>
      <c r="F395" s="11"/>
      <c r="G395" s="30">
        <v>1</v>
      </c>
      <c r="H395" s="30" t="s">
        <v>399</v>
      </c>
      <c r="I395" s="21" t="s">
        <v>68</v>
      </c>
      <c r="J395" s="21" t="s">
        <v>278</v>
      </c>
      <c r="K395" s="30" t="s">
        <v>94</v>
      </c>
      <c r="L395" s="35">
        <v>1</v>
      </c>
      <c r="M395" s="22">
        <v>4.1500000000000004</v>
      </c>
      <c r="N395" s="44">
        <v>44392</v>
      </c>
      <c r="O395" s="30" t="s">
        <v>114</v>
      </c>
    </row>
    <row r="396" spans="2:15" s="30" customFormat="1" ht="15" customHeight="1" x14ac:dyDescent="0.25">
      <c r="B396" s="30" t="s">
        <v>168</v>
      </c>
      <c r="C396" s="30" t="s">
        <v>6</v>
      </c>
      <c r="D396" s="30" t="s">
        <v>10</v>
      </c>
      <c r="E396" s="30" t="s">
        <v>18</v>
      </c>
      <c r="F396" s="11"/>
      <c r="G396" s="30">
        <v>1</v>
      </c>
      <c r="H396" s="30" t="s">
        <v>389</v>
      </c>
      <c r="I396" s="21" t="s">
        <v>68</v>
      </c>
      <c r="J396" s="21" t="s">
        <v>378</v>
      </c>
      <c r="K396" s="30" t="s">
        <v>94</v>
      </c>
      <c r="L396" s="35">
        <v>0</v>
      </c>
      <c r="M396" s="22">
        <v>1.71</v>
      </c>
      <c r="N396" s="44"/>
      <c r="O396" s="30" t="s">
        <v>114</v>
      </c>
    </row>
    <row r="397" spans="2:15" s="30" customFormat="1" ht="30" customHeight="1" x14ac:dyDescent="0.25">
      <c r="B397" s="30" t="s">
        <v>170</v>
      </c>
      <c r="C397" s="30" t="s">
        <v>6</v>
      </c>
      <c r="D397" s="30" t="s">
        <v>10</v>
      </c>
      <c r="E397" s="30" t="s">
        <v>18</v>
      </c>
      <c r="F397" s="11"/>
      <c r="G397" s="30">
        <v>1</v>
      </c>
      <c r="H397" s="30" t="s">
        <v>394</v>
      </c>
      <c r="I397" s="21" t="s">
        <v>68</v>
      </c>
      <c r="J397" s="21" t="s">
        <v>501</v>
      </c>
      <c r="K397" s="30" t="s">
        <v>94</v>
      </c>
      <c r="L397" s="35">
        <v>28</v>
      </c>
      <c r="M397" s="22">
        <v>56.51</v>
      </c>
      <c r="N397" s="44">
        <v>44392</v>
      </c>
      <c r="O397" s="30" t="s">
        <v>114</v>
      </c>
    </row>
    <row r="398" spans="2:15" s="30" customFormat="1" ht="15" customHeight="1" x14ac:dyDescent="0.25">
      <c r="B398" s="30" t="s">
        <v>170</v>
      </c>
      <c r="C398" s="30" t="s">
        <v>6</v>
      </c>
      <c r="D398" s="30" t="s">
        <v>10</v>
      </c>
      <c r="E398" s="30" t="s">
        <v>18</v>
      </c>
      <c r="F398" s="11"/>
      <c r="G398" s="30">
        <v>1</v>
      </c>
      <c r="H398" s="30" t="s">
        <v>394</v>
      </c>
      <c r="I398" s="21" t="s">
        <v>68</v>
      </c>
      <c r="J398" s="21" t="s">
        <v>502</v>
      </c>
      <c r="K398" s="30" t="s">
        <v>94</v>
      </c>
      <c r="L398" s="35">
        <v>0</v>
      </c>
      <c r="M398" s="22">
        <v>72.94</v>
      </c>
      <c r="N398" s="44">
        <v>44392</v>
      </c>
      <c r="O398" s="30" t="s">
        <v>114</v>
      </c>
    </row>
    <row r="399" spans="2:15" s="30" customFormat="1" ht="15" customHeight="1" x14ac:dyDescent="0.25">
      <c r="B399" s="30" t="s">
        <v>168</v>
      </c>
      <c r="C399" s="30" t="s">
        <v>6</v>
      </c>
      <c r="D399" s="30" t="s">
        <v>10</v>
      </c>
      <c r="E399" s="30" t="s">
        <v>18</v>
      </c>
      <c r="F399" s="11"/>
      <c r="G399" s="30">
        <v>1</v>
      </c>
      <c r="H399" s="30" t="s">
        <v>23</v>
      </c>
      <c r="I399" s="21" t="s">
        <v>49</v>
      </c>
      <c r="J399" s="21" t="s">
        <v>492</v>
      </c>
      <c r="K399" s="30" t="s">
        <v>107</v>
      </c>
      <c r="L399" s="35">
        <v>5</v>
      </c>
      <c r="M399" s="22">
        <v>62.29</v>
      </c>
      <c r="N399" s="44">
        <v>44392</v>
      </c>
      <c r="O399" s="30" t="s">
        <v>114</v>
      </c>
    </row>
    <row r="400" spans="2:15" s="30" customFormat="1" ht="31.5" customHeight="1" x14ac:dyDescent="0.25">
      <c r="B400" s="30" t="s">
        <v>170</v>
      </c>
      <c r="C400" s="30" t="s">
        <v>6</v>
      </c>
      <c r="D400" s="30" t="s">
        <v>10</v>
      </c>
      <c r="E400" s="30" t="s">
        <v>18</v>
      </c>
      <c r="F400" s="11"/>
      <c r="G400" s="30">
        <v>1</v>
      </c>
      <c r="H400" s="30" t="s">
        <v>394</v>
      </c>
      <c r="I400" s="21" t="s">
        <v>68</v>
      </c>
      <c r="J400" s="21" t="s">
        <v>279</v>
      </c>
      <c r="K400" s="30" t="s">
        <v>94</v>
      </c>
      <c r="L400" s="35">
        <v>23</v>
      </c>
      <c r="M400" s="22">
        <v>71.56</v>
      </c>
      <c r="N400" s="44">
        <v>44392</v>
      </c>
      <c r="O400" s="30" t="s">
        <v>114</v>
      </c>
    </row>
    <row r="401" spans="2:15" s="30" customFormat="1" ht="29.25" customHeight="1" x14ac:dyDescent="0.25">
      <c r="B401" s="30" t="s">
        <v>170</v>
      </c>
      <c r="C401" s="30" t="s">
        <v>6</v>
      </c>
      <c r="D401" s="30" t="s">
        <v>10</v>
      </c>
      <c r="E401" s="30" t="s">
        <v>18</v>
      </c>
      <c r="F401" s="11"/>
      <c r="G401" s="19">
        <v>1</v>
      </c>
      <c r="H401" s="30" t="s">
        <v>394</v>
      </c>
      <c r="I401" s="21" t="s">
        <v>68</v>
      </c>
      <c r="J401" s="21" t="s">
        <v>507</v>
      </c>
      <c r="K401" s="21" t="s">
        <v>107</v>
      </c>
      <c r="L401" s="35">
        <v>0</v>
      </c>
      <c r="M401" s="34">
        <v>17.82</v>
      </c>
      <c r="N401" s="44">
        <v>44392</v>
      </c>
      <c r="O401" s="30" t="s">
        <v>114</v>
      </c>
    </row>
    <row r="402" spans="2:15" s="30" customFormat="1" ht="30" customHeight="1" x14ac:dyDescent="0.25">
      <c r="B402" s="30" t="s">
        <v>170</v>
      </c>
      <c r="C402" s="30" t="s">
        <v>6</v>
      </c>
      <c r="D402" s="30" t="s">
        <v>10</v>
      </c>
      <c r="E402" s="30" t="s">
        <v>18</v>
      </c>
      <c r="F402" s="11"/>
      <c r="G402" s="19">
        <v>1</v>
      </c>
      <c r="H402" s="30" t="s">
        <v>394</v>
      </c>
      <c r="I402" s="21" t="s">
        <v>68</v>
      </c>
      <c r="J402" s="21" t="s">
        <v>503</v>
      </c>
      <c r="K402" s="21" t="s">
        <v>107</v>
      </c>
      <c r="L402" s="35">
        <v>0</v>
      </c>
      <c r="M402" s="34">
        <v>15.38</v>
      </c>
      <c r="N402" s="44">
        <v>44392</v>
      </c>
      <c r="O402" s="30" t="s">
        <v>114</v>
      </c>
    </row>
    <row r="403" spans="2:15" s="30" customFormat="1" ht="28.5" customHeight="1" x14ac:dyDescent="0.25">
      <c r="B403" s="30" t="s">
        <v>170</v>
      </c>
      <c r="C403" s="30" t="s">
        <v>6</v>
      </c>
      <c r="D403" s="30" t="s">
        <v>10</v>
      </c>
      <c r="E403" s="30" t="s">
        <v>18</v>
      </c>
      <c r="F403" s="11"/>
      <c r="G403" s="30">
        <v>1</v>
      </c>
      <c r="H403" s="30" t="s">
        <v>394</v>
      </c>
      <c r="I403" s="21" t="s">
        <v>68</v>
      </c>
      <c r="J403" s="21" t="s">
        <v>504</v>
      </c>
      <c r="K403" s="30" t="s">
        <v>107</v>
      </c>
      <c r="L403" s="35">
        <v>0</v>
      </c>
      <c r="M403" s="22">
        <v>92.95</v>
      </c>
      <c r="N403" s="44">
        <v>44392</v>
      </c>
      <c r="O403" s="30" t="s">
        <v>114</v>
      </c>
    </row>
    <row r="404" spans="2:15" s="30" customFormat="1" ht="30" customHeight="1" x14ac:dyDescent="0.25">
      <c r="B404" s="30" t="s">
        <v>170</v>
      </c>
      <c r="C404" s="30" t="s">
        <v>6</v>
      </c>
      <c r="D404" s="30" t="s">
        <v>10</v>
      </c>
      <c r="E404" s="30" t="s">
        <v>18</v>
      </c>
      <c r="F404" s="11"/>
      <c r="G404" s="30">
        <v>1</v>
      </c>
      <c r="H404" s="30" t="s">
        <v>394</v>
      </c>
      <c r="I404" s="21" t="s">
        <v>68</v>
      </c>
      <c r="J404" s="21" t="s">
        <v>505</v>
      </c>
      <c r="K404" s="30" t="s">
        <v>107</v>
      </c>
      <c r="L404" s="35">
        <v>0</v>
      </c>
      <c r="M404" s="22">
        <v>33.86</v>
      </c>
      <c r="N404" s="44">
        <v>44392</v>
      </c>
      <c r="O404" s="30" t="s">
        <v>114</v>
      </c>
    </row>
    <row r="405" spans="2:15" s="30" customFormat="1" ht="31.5" hidden="1" customHeight="1" x14ac:dyDescent="0.25">
      <c r="B405" s="30" t="s">
        <v>170</v>
      </c>
      <c r="C405" s="30" t="s">
        <v>6</v>
      </c>
      <c r="D405" s="30" t="s">
        <v>10</v>
      </c>
      <c r="E405" s="30" t="s">
        <v>18</v>
      </c>
      <c r="F405" s="11"/>
      <c r="G405" s="19">
        <v>1</v>
      </c>
      <c r="H405" s="30" t="s">
        <v>389</v>
      </c>
      <c r="I405" s="21" t="s">
        <v>35</v>
      </c>
      <c r="J405" s="21" t="s">
        <v>506</v>
      </c>
      <c r="K405" s="21" t="s">
        <v>107</v>
      </c>
      <c r="L405" s="35">
        <v>0</v>
      </c>
      <c r="M405" s="34">
        <v>46.83</v>
      </c>
      <c r="N405" s="44">
        <v>44392</v>
      </c>
    </row>
    <row r="406" spans="2:15" s="30" customFormat="1" ht="28.5" customHeight="1" x14ac:dyDescent="0.25">
      <c r="B406" s="30" t="s">
        <v>170</v>
      </c>
      <c r="C406" s="30" t="s">
        <v>6</v>
      </c>
      <c r="D406" s="30" t="s">
        <v>10</v>
      </c>
      <c r="E406" s="30" t="s">
        <v>18</v>
      </c>
      <c r="F406" s="11"/>
      <c r="G406" s="30">
        <v>1</v>
      </c>
      <c r="H406" s="30" t="s">
        <v>394</v>
      </c>
      <c r="I406" s="21" t="s">
        <v>68</v>
      </c>
      <c r="J406" s="21" t="s">
        <v>280</v>
      </c>
      <c r="K406" s="30" t="s">
        <v>107</v>
      </c>
      <c r="L406" s="35">
        <v>29</v>
      </c>
      <c r="M406" s="22">
        <v>87.39</v>
      </c>
      <c r="N406" s="44">
        <v>44392</v>
      </c>
      <c r="O406" s="30" t="s">
        <v>114</v>
      </c>
    </row>
    <row r="407" spans="2:15" s="30" customFormat="1" ht="30" customHeight="1" x14ac:dyDescent="0.25">
      <c r="B407" s="30" t="s">
        <v>167</v>
      </c>
      <c r="C407" s="30" t="s">
        <v>6</v>
      </c>
      <c r="D407" s="30" t="s">
        <v>10</v>
      </c>
      <c r="E407" s="30" t="s">
        <v>18</v>
      </c>
      <c r="F407" s="11"/>
      <c r="G407" s="30">
        <v>1</v>
      </c>
      <c r="H407" s="30" t="s">
        <v>22</v>
      </c>
      <c r="I407" s="21" t="s">
        <v>32</v>
      </c>
      <c r="J407" s="21" t="s">
        <v>461</v>
      </c>
      <c r="K407" s="30" t="s">
        <v>107</v>
      </c>
      <c r="L407" s="35">
        <v>268</v>
      </c>
      <c r="M407" s="22">
        <v>382.5</v>
      </c>
      <c r="N407" s="44">
        <v>44392</v>
      </c>
      <c r="O407" s="30" t="s">
        <v>114</v>
      </c>
    </row>
    <row r="408" spans="2:15" s="30" customFormat="1" ht="33" customHeight="1" x14ac:dyDescent="0.25">
      <c r="B408" s="30" t="s">
        <v>167</v>
      </c>
      <c r="C408" s="30" t="s">
        <v>6</v>
      </c>
      <c r="D408" s="30" t="s">
        <v>10</v>
      </c>
      <c r="E408" s="30" t="s">
        <v>18</v>
      </c>
      <c r="F408" s="11"/>
      <c r="G408" s="30">
        <v>1</v>
      </c>
      <c r="H408" s="30" t="s">
        <v>22</v>
      </c>
      <c r="I408" s="21" t="s">
        <v>32</v>
      </c>
      <c r="J408" s="21" t="s">
        <v>424</v>
      </c>
      <c r="K408" s="30" t="s">
        <v>107</v>
      </c>
      <c r="L408" s="35">
        <v>140</v>
      </c>
      <c r="M408" s="22">
        <v>154.08000000000001</v>
      </c>
      <c r="N408" s="44">
        <v>44392</v>
      </c>
      <c r="O408" s="30" t="s">
        <v>114</v>
      </c>
    </row>
    <row r="409" spans="2:15" s="30" customFormat="1" ht="29.25" hidden="1" customHeight="1" x14ac:dyDescent="0.25">
      <c r="B409" s="30" t="s">
        <v>168</v>
      </c>
      <c r="C409" s="30" t="s">
        <v>6</v>
      </c>
      <c r="D409" s="30" t="s">
        <v>10</v>
      </c>
      <c r="E409" s="30" t="s">
        <v>18</v>
      </c>
      <c r="F409" s="11"/>
      <c r="G409" s="19" t="s">
        <v>344</v>
      </c>
      <c r="H409" s="30" t="s">
        <v>23</v>
      </c>
      <c r="I409" s="21"/>
      <c r="J409" s="21" t="s">
        <v>825</v>
      </c>
      <c r="K409" s="30" t="s">
        <v>90</v>
      </c>
      <c r="L409" s="35">
        <v>2</v>
      </c>
      <c r="M409" s="22">
        <v>19.940000000000001</v>
      </c>
      <c r="N409" s="44">
        <v>44392</v>
      </c>
      <c r="O409" s="30" t="s">
        <v>115</v>
      </c>
    </row>
    <row r="410" spans="2:15" s="30" customFormat="1" ht="29.25" hidden="1" customHeight="1" x14ac:dyDescent="0.25">
      <c r="B410" s="30" t="s">
        <v>168</v>
      </c>
      <c r="C410" s="30" t="s">
        <v>6</v>
      </c>
      <c r="D410" s="30" t="s">
        <v>10</v>
      </c>
      <c r="E410" s="30" t="s">
        <v>18</v>
      </c>
      <c r="F410" s="11"/>
      <c r="G410" s="19" t="s">
        <v>344</v>
      </c>
      <c r="H410" s="30" t="s">
        <v>23</v>
      </c>
      <c r="I410" s="21" t="s">
        <v>67</v>
      </c>
      <c r="J410" s="21" t="s">
        <v>781</v>
      </c>
      <c r="K410" s="30" t="s">
        <v>90</v>
      </c>
      <c r="L410" s="35">
        <v>5</v>
      </c>
      <c r="M410" s="22">
        <v>17.96</v>
      </c>
      <c r="N410" s="44">
        <v>44392</v>
      </c>
      <c r="O410" s="30" t="s">
        <v>115</v>
      </c>
    </row>
    <row r="411" spans="2:15" s="30" customFormat="1" ht="30" hidden="1" customHeight="1" x14ac:dyDescent="0.25">
      <c r="B411" s="30" t="s">
        <v>168</v>
      </c>
      <c r="C411" s="30" t="s">
        <v>6</v>
      </c>
      <c r="D411" s="30" t="s">
        <v>10</v>
      </c>
      <c r="E411" s="30" t="s">
        <v>18</v>
      </c>
      <c r="F411" s="11"/>
      <c r="G411" s="19" t="s">
        <v>344</v>
      </c>
      <c r="H411" s="30" t="s">
        <v>21</v>
      </c>
      <c r="I411" s="21" t="s">
        <v>67</v>
      </c>
      <c r="J411" s="21" t="s">
        <v>782</v>
      </c>
      <c r="K411" s="30" t="s">
        <v>90</v>
      </c>
      <c r="L411" s="35">
        <v>40</v>
      </c>
      <c r="M411" s="22">
        <v>87.99</v>
      </c>
      <c r="N411" s="44">
        <v>44392</v>
      </c>
      <c r="O411" s="30" t="s">
        <v>115</v>
      </c>
    </row>
    <row r="412" spans="2:15" s="30" customFormat="1" ht="30" hidden="1" customHeight="1" x14ac:dyDescent="0.25">
      <c r="B412" s="30" t="s">
        <v>168</v>
      </c>
      <c r="C412" s="30" t="s">
        <v>6</v>
      </c>
      <c r="D412" s="30" t="s">
        <v>10</v>
      </c>
      <c r="E412" s="30" t="s">
        <v>18</v>
      </c>
      <c r="F412" s="11"/>
      <c r="G412" s="19" t="s">
        <v>344</v>
      </c>
      <c r="H412" s="30" t="s">
        <v>390</v>
      </c>
      <c r="I412" s="21" t="s">
        <v>38</v>
      </c>
      <c r="J412" s="21" t="s">
        <v>328</v>
      </c>
      <c r="K412" s="30" t="s">
        <v>94</v>
      </c>
      <c r="L412" s="35">
        <v>0</v>
      </c>
      <c r="M412" s="22">
        <v>8.6300000000000008</v>
      </c>
      <c r="N412" s="44">
        <v>44392</v>
      </c>
      <c r="O412" s="30" t="s">
        <v>115</v>
      </c>
    </row>
    <row r="413" spans="2:15" s="30" customFormat="1" ht="30" hidden="1" customHeight="1" x14ac:dyDescent="0.25">
      <c r="B413" s="30" t="s">
        <v>168</v>
      </c>
      <c r="C413" s="30" t="s">
        <v>6</v>
      </c>
      <c r="D413" s="30" t="s">
        <v>10</v>
      </c>
      <c r="E413" s="30" t="s">
        <v>18</v>
      </c>
      <c r="F413" s="11"/>
      <c r="G413" s="19" t="s">
        <v>344</v>
      </c>
      <c r="H413" s="30" t="s">
        <v>398</v>
      </c>
      <c r="I413" s="21" t="s">
        <v>68</v>
      </c>
      <c r="J413" s="21" t="s">
        <v>354</v>
      </c>
      <c r="K413" s="30" t="s">
        <v>94</v>
      </c>
      <c r="L413" s="35">
        <v>1</v>
      </c>
      <c r="M413" s="22">
        <v>2.75</v>
      </c>
      <c r="N413" s="44">
        <v>44392</v>
      </c>
      <c r="O413" s="30" t="s">
        <v>115</v>
      </c>
    </row>
    <row r="414" spans="2:15" s="30" customFormat="1" ht="30" hidden="1" customHeight="1" x14ac:dyDescent="0.25">
      <c r="B414" s="30" t="s">
        <v>168</v>
      </c>
      <c r="C414" s="30" t="s">
        <v>6</v>
      </c>
      <c r="D414" s="30" t="s">
        <v>10</v>
      </c>
      <c r="E414" s="30" t="s">
        <v>18</v>
      </c>
      <c r="F414" s="11"/>
      <c r="G414" s="19" t="s">
        <v>344</v>
      </c>
      <c r="H414" s="30" t="s">
        <v>398</v>
      </c>
      <c r="I414" s="21" t="s">
        <v>68</v>
      </c>
      <c r="J414" s="21" t="s">
        <v>355</v>
      </c>
      <c r="K414" s="30" t="s">
        <v>94</v>
      </c>
      <c r="L414" s="35">
        <v>1</v>
      </c>
      <c r="M414" s="22">
        <v>2.6</v>
      </c>
      <c r="N414" s="44">
        <v>44392</v>
      </c>
      <c r="O414" s="30" t="s">
        <v>115</v>
      </c>
    </row>
    <row r="415" spans="2:15" s="30" customFormat="1" ht="30" hidden="1" customHeight="1" x14ac:dyDescent="0.25">
      <c r="B415" s="30" t="s">
        <v>168</v>
      </c>
      <c r="C415" s="30" t="s">
        <v>6</v>
      </c>
      <c r="D415" s="30" t="s">
        <v>10</v>
      </c>
      <c r="E415" s="30" t="s">
        <v>18</v>
      </c>
      <c r="F415" s="11"/>
      <c r="G415" s="19" t="s">
        <v>344</v>
      </c>
      <c r="H415" s="30" t="s">
        <v>23</v>
      </c>
      <c r="I415" s="21" t="s">
        <v>67</v>
      </c>
      <c r="J415" s="21" t="s">
        <v>826</v>
      </c>
      <c r="K415" s="30" t="s">
        <v>90</v>
      </c>
      <c r="L415" s="35">
        <v>1</v>
      </c>
      <c r="M415" s="22">
        <v>12.99</v>
      </c>
      <c r="N415" s="44">
        <v>44392</v>
      </c>
      <c r="O415" s="30" t="s">
        <v>115</v>
      </c>
    </row>
    <row r="416" spans="2:15" s="30" customFormat="1" ht="30" hidden="1" customHeight="1" x14ac:dyDescent="0.25">
      <c r="B416" s="30" t="s">
        <v>168</v>
      </c>
      <c r="C416" s="30" t="s">
        <v>6</v>
      </c>
      <c r="D416" s="30" t="s">
        <v>10</v>
      </c>
      <c r="E416" s="30" t="s">
        <v>18</v>
      </c>
      <c r="F416" s="11"/>
      <c r="G416" s="19" t="s">
        <v>344</v>
      </c>
      <c r="H416" s="30" t="s">
        <v>23</v>
      </c>
      <c r="I416" s="21" t="s">
        <v>67</v>
      </c>
      <c r="J416" s="21" t="s">
        <v>824</v>
      </c>
      <c r="K416" s="21" t="s">
        <v>90</v>
      </c>
      <c r="L416" s="35">
        <v>1</v>
      </c>
      <c r="M416" s="34">
        <v>13.6</v>
      </c>
      <c r="N416" s="44">
        <v>44392</v>
      </c>
      <c r="O416" s="30" t="s">
        <v>115</v>
      </c>
    </row>
    <row r="417" spans="2:15" s="30" customFormat="1" ht="30" hidden="1" customHeight="1" x14ac:dyDescent="0.25">
      <c r="B417" s="30" t="s">
        <v>168</v>
      </c>
      <c r="C417" s="30" t="s">
        <v>6</v>
      </c>
      <c r="D417" s="30" t="s">
        <v>10</v>
      </c>
      <c r="E417" s="30" t="s">
        <v>18</v>
      </c>
      <c r="F417" s="11"/>
      <c r="G417" s="19" t="s">
        <v>344</v>
      </c>
      <c r="H417" s="30" t="s">
        <v>23</v>
      </c>
      <c r="I417" s="21" t="s">
        <v>67</v>
      </c>
      <c r="J417" s="21" t="s">
        <v>827</v>
      </c>
      <c r="K417" s="30" t="s">
        <v>90</v>
      </c>
      <c r="L417" s="35">
        <v>1</v>
      </c>
      <c r="M417" s="22">
        <v>13.78</v>
      </c>
      <c r="N417" s="44">
        <v>44392</v>
      </c>
      <c r="O417" s="30" t="s">
        <v>115</v>
      </c>
    </row>
    <row r="418" spans="2:15" s="30" customFormat="1" ht="30" hidden="1" customHeight="1" x14ac:dyDescent="0.25">
      <c r="B418" s="30" t="s">
        <v>168</v>
      </c>
      <c r="C418" s="30" t="s">
        <v>6</v>
      </c>
      <c r="D418" s="30" t="s">
        <v>10</v>
      </c>
      <c r="E418" s="30" t="s">
        <v>18</v>
      </c>
      <c r="F418" s="11"/>
      <c r="G418" s="19" t="s">
        <v>344</v>
      </c>
      <c r="H418" s="30" t="s">
        <v>23</v>
      </c>
      <c r="I418" s="21" t="s">
        <v>67</v>
      </c>
      <c r="J418" s="21" t="s">
        <v>783</v>
      </c>
      <c r="K418" s="30" t="s">
        <v>107</v>
      </c>
      <c r="L418" s="35">
        <v>4</v>
      </c>
      <c r="M418" s="22">
        <v>9.14</v>
      </c>
      <c r="N418" s="44">
        <v>44392</v>
      </c>
      <c r="O418" s="30" t="s">
        <v>115</v>
      </c>
    </row>
    <row r="419" spans="2:15" s="30" customFormat="1" ht="30" hidden="1" customHeight="1" x14ac:dyDescent="0.25">
      <c r="B419" s="30" t="s">
        <v>168</v>
      </c>
      <c r="C419" s="30" t="s">
        <v>6</v>
      </c>
      <c r="D419" s="30" t="s">
        <v>10</v>
      </c>
      <c r="E419" s="30" t="s">
        <v>18</v>
      </c>
      <c r="F419" s="11"/>
      <c r="G419" s="19" t="s">
        <v>795</v>
      </c>
      <c r="H419" s="30" t="s">
        <v>23</v>
      </c>
      <c r="I419" s="21" t="s">
        <v>67</v>
      </c>
      <c r="J419" s="21" t="s">
        <v>824</v>
      </c>
      <c r="L419" s="35"/>
      <c r="M419" s="22">
        <v>13.76</v>
      </c>
      <c r="N419" s="44"/>
    </row>
    <row r="420" spans="2:15" s="30" customFormat="1" ht="15" customHeight="1" x14ac:dyDescent="0.25">
      <c r="B420" s="30" t="s">
        <v>170</v>
      </c>
      <c r="C420" s="30" t="s">
        <v>6</v>
      </c>
      <c r="D420" s="30" t="s">
        <v>10</v>
      </c>
      <c r="E420" s="30" t="s">
        <v>18</v>
      </c>
      <c r="F420" s="11"/>
      <c r="G420" s="19" t="s">
        <v>344</v>
      </c>
      <c r="H420" s="30" t="s">
        <v>21</v>
      </c>
      <c r="I420" s="21" t="s">
        <v>68</v>
      </c>
      <c r="J420" s="21" t="s">
        <v>828</v>
      </c>
      <c r="K420" s="21" t="s">
        <v>107</v>
      </c>
      <c r="L420" s="35">
        <v>0</v>
      </c>
      <c r="M420" s="34">
        <v>18.13</v>
      </c>
      <c r="N420" s="44">
        <v>44392</v>
      </c>
      <c r="O420" s="30" t="s">
        <v>114</v>
      </c>
    </row>
    <row r="421" spans="2:15" s="30" customFormat="1" ht="15" customHeight="1" x14ac:dyDescent="0.25">
      <c r="B421" s="30" t="s">
        <v>170</v>
      </c>
      <c r="C421" s="30" t="s">
        <v>6</v>
      </c>
      <c r="D421" s="30" t="s">
        <v>10</v>
      </c>
      <c r="E421" s="30" t="s">
        <v>18</v>
      </c>
      <c r="F421" s="11"/>
      <c r="G421" s="19" t="s">
        <v>344</v>
      </c>
      <c r="H421" s="30" t="s">
        <v>394</v>
      </c>
      <c r="I421" s="21" t="s">
        <v>68</v>
      </c>
      <c r="J421" s="21" t="s">
        <v>508</v>
      </c>
      <c r="K421" s="21" t="s">
        <v>107</v>
      </c>
      <c r="L421" s="35">
        <v>0</v>
      </c>
      <c r="M421" s="34">
        <v>15.78</v>
      </c>
      <c r="N421" s="44">
        <v>44392</v>
      </c>
      <c r="O421" s="30" t="s">
        <v>114</v>
      </c>
    </row>
    <row r="422" spans="2:15" s="30" customFormat="1" ht="15" hidden="1" customHeight="1" x14ac:dyDescent="0.25">
      <c r="B422" s="30" t="s">
        <v>170</v>
      </c>
      <c r="C422" s="30" t="s">
        <v>6</v>
      </c>
      <c r="D422" s="30" t="s">
        <v>10</v>
      </c>
      <c r="E422" s="30" t="s">
        <v>18</v>
      </c>
      <c r="F422" s="11"/>
      <c r="G422" s="19" t="s">
        <v>344</v>
      </c>
      <c r="H422" s="30" t="s">
        <v>394</v>
      </c>
      <c r="I422" s="21" t="s">
        <v>68</v>
      </c>
      <c r="J422" s="21" t="s">
        <v>281</v>
      </c>
      <c r="K422" s="30" t="s">
        <v>94</v>
      </c>
      <c r="L422" s="35">
        <v>0</v>
      </c>
      <c r="M422" s="22">
        <v>14.97</v>
      </c>
      <c r="N422" s="44">
        <v>44392</v>
      </c>
      <c r="O422" s="30" t="s">
        <v>115</v>
      </c>
    </row>
    <row r="423" spans="2:15" s="30" customFormat="1" ht="15" hidden="1" customHeight="1" x14ac:dyDescent="0.25">
      <c r="B423" s="30" t="s">
        <v>170</v>
      </c>
      <c r="C423" s="30" t="s">
        <v>6</v>
      </c>
      <c r="D423" s="30" t="s">
        <v>10</v>
      </c>
      <c r="E423" s="30" t="s">
        <v>18</v>
      </c>
      <c r="F423" s="11"/>
      <c r="G423" s="19" t="s">
        <v>344</v>
      </c>
      <c r="H423" s="30" t="s">
        <v>394</v>
      </c>
      <c r="I423" s="21" t="s">
        <v>68</v>
      </c>
      <c r="J423" s="21" t="s">
        <v>282</v>
      </c>
      <c r="K423" s="30" t="s">
        <v>94</v>
      </c>
      <c r="L423" s="35">
        <v>0</v>
      </c>
      <c r="M423" s="22">
        <v>67.84</v>
      </c>
      <c r="N423" s="44">
        <v>44392</v>
      </c>
      <c r="O423" s="30" t="s">
        <v>115</v>
      </c>
    </row>
    <row r="424" spans="2:15" s="30" customFormat="1" ht="15" customHeight="1" x14ac:dyDescent="0.25">
      <c r="B424" s="30" t="s">
        <v>170</v>
      </c>
      <c r="C424" s="30" t="s">
        <v>6</v>
      </c>
      <c r="D424" s="30" t="s">
        <v>10</v>
      </c>
      <c r="E424" s="30" t="s">
        <v>18</v>
      </c>
      <c r="F424" s="11"/>
      <c r="G424" s="19">
        <v>2</v>
      </c>
      <c r="H424" s="30" t="s">
        <v>391</v>
      </c>
      <c r="I424" s="21" t="s">
        <v>68</v>
      </c>
      <c r="J424" s="21" t="s">
        <v>243</v>
      </c>
      <c r="K424" s="30" t="s">
        <v>107</v>
      </c>
      <c r="L424" s="35">
        <v>0</v>
      </c>
      <c r="M424" s="22">
        <v>297</v>
      </c>
      <c r="N424" s="44">
        <v>44392</v>
      </c>
      <c r="O424" s="30" t="s">
        <v>114</v>
      </c>
    </row>
    <row r="425" spans="2:15" s="30" customFormat="1" ht="28.5" hidden="1" customHeight="1" x14ac:dyDescent="0.25">
      <c r="B425" s="30" t="s">
        <v>168</v>
      </c>
      <c r="C425" s="30" t="s">
        <v>6</v>
      </c>
      <c r="D425" s="30" t="s">
        <v>10</v>
      </c>
      <c r="E425" s="30" t="s">
        <v>18</v>
      </c>
      <c r="F425" s="11"/>
      <c r="G425" s="19">
        <v>2</v>
      </c>
      <c r="H425" s="21" t="s">
        <v>23</v>
      </c>
      <c r="I425" s="21" t="s">
        <v>413</v>
      </c>
      <c r="J425" s="21" t="s">
        <v>511</v>
      </c>
      <c r="K425" s="30" t="s">
        <v>107</v>
      </c>
      <c r="L425" s="35">
        <v>1</v>
      </c>
      <c r="M425" s="22">
        <v>8.23</v>
      </c>
      <c r="N425" s="44"/>
      <c r="O425" s="30" t="s">
        <v>115</v>
      </c>
    </row>
    <row r="426" spans="2:15" s="30" customFormat="1" ht="28.5" hidden="1" customHeight="1" x14ac:dyDescent="0.25">
      <c r="B426" s="30" t="s">
        <v>168</v>
      </c>
      <c r="C426" s="30" t="s">
        <v>6</v>
      </c>
      <c r="D426" s="30" t="s">
        <v>10</v>
      </c>
      <c r="E426" s="30" t="s">
        <v>18</v>
      </c>
      <c r="F426" s="11"/>
      <c r="G426" s="19">
        <v>2</v>
      </c>
      <c r="H426" s="21" t="s">
        <v>23</v>
      </c>
      <c r="I426" s="21" t="s">
        <v>413</v>
      </c>
      <c r="J426" s="21" t="s">
        <v>422</v>
      </c>
      <c r="K426" s="30" t="s">
        <v>107</v>
      </c>
      <c r="L426" s="35">
        <v>1</v>
      </c>
      <c r="M426" s="22">
        <v>10</v>
      </c>
      <c r="N426" s="44">
        <v>44392</v>
      </c>
      <c r="O426" s="30" t="s">
        <v>115</v>
      </c>
    </row>
    <row r="427" spans="2:15" s="30" customFormat="1" ht="25.5" hidden="1" customHeight="1" x14ac:dyDescent="0.25">
      <c r="B427" s="30" t="s">
        <v>168</v>
      </c>
      <c r="C427" s="30" t="s">
        <v>6</v>
      </c>
      <c r="D427" s="30" t="s">
        <v>10</v>
      </c>
      <c r="E427" s="30" t="s">
        <v>18</v>
      </c>
      <c r="F427" s="11"/>
      <c r="G427" s="19">
        <v>2</v>
      </c>
      <c r="H427" s="21" t="s">
        <v>23</v>
      </c>
      <c r="I427" s="21" t="s">
        <v>413</v>
      </c>
      <c r="J427" s="21" t="s">
        <v>423</v>
      </c>
      <c r="K427" s="30" t="s">
        <v>107</v>
      </c>
      <c r="L427" s="35">
        <v>1</v>
      </c>
      <c r="M427" s="22">
        <v>10.38</v>
      </c>
      <c r="N427" s="44">
        <v>44392</v>
      </c>
      <c r="O427" s="30" t="s">
        <v>115</v>
      </c>
    </row>
    <row r="428" spans="2:15" s="30" customFormat="1" ht="26.25" hidden="1" customHeight="1" x14ac:dyDescent="0.25">
      <c r="B428" s="30" t="s">
        <v>168</v>
      </c>
      <c r="C428" s="30" t="s">
        <v>6</v>
      </c>
      <c r="D428" s="30" t="s">
        <v>10</v>
      </c>
      <c r="E428" s="30" t="s">
        <v>18</v>
      </c>
      <c r="F428" s="11"/>
      <c r="G428" s="19">
        <v>2</v>
      </c>
      <c r="H428" s="21" t="s">
        <v>21</v>
      </c>
      <c r="I428" s="21" t="s">
        <v>413</v>
      </c>
      <c r="J428" s="21" t="s">
        <v>369</v>
      </c>
      <c r="K428" s="30" t="s">
        <v>107</v>
      </c>
      <c r="L428" s="35">
        <v>15</v>
      </c>
      <c r="M428" s="22">
        <v>43.32</v>
      </c>
      <c r="N428" s="44">
        <v>44392</v>
      </c>
      <c r="O428" s="30" t="s">
        <v>115</v>
      </c>
    </row>
    <row r="429" spans="2:15" s="30" customFormat="1" ht="30" hidden="1" customHeight="1" x14ac:dyDescent="0.25">
      <c r="B429" s="30" t="s">
        <v>168</v>
      </c>
      <c r="C429" s="30" t="s">
        <v>6</v>
      </c>
      <c r="D429" s="30" t="s">
        <v>10</v>
      </c>
      <c r="E429" s="30" t="s">
        <v>18</v>
      </c>
      <c r="F429" s="11"/>
      <c r="G429" s="19">
        <v>2</v>
      </c>
      <c r="H429" s="21" t="s">
        <v>23</v>
      </c>
      <c r="I429" s="21" t="s">
        <v>413</v>
      </c>
      <c r="J429" s="21" t="s">
        <v>462</v>
      </c>
      <c r="K429" s="30" t="s">
        <v>107</v>
      </c>
      <c r="L429" s="35">
        <v>1</v>
      </c>
      <c r="M429" s="22">
        <v>8.9499999999999993</v>
      </c>
      <c r="N429" s="44">
        <v>44392</v>
      </c>
      <c r="O429" s="30" t="s">
        <v>115</v>
      </c>
    </row>
    <row r="430" spans="2:15" s="30" customFormat="1" ht="15" hidden="1" customHeight="1" x14ac:dyDescent="0.25">
      <c r="B430" s="30" t="s">
        <v>168</v>
      </c>
      <c r="C430" s="30" t="s">
        <v>6</v>
      </c>
      <c r="D430" s="30" t="s">
        <v>10</v>
      </c>
      <c r="E430" s="30" t="s">
        <v>18</v>
      </c>
      <c r="F430" s="11"/>
      <c r="G430" s="19">
        <v>2</v>
      </c>
      <c r="H430" s="21" t="s">
        <v>23</v>
      </c>
      <c r="I430" s="21" t="s">
        <v>413</v>
      </c>
      <c r="J430" s="21" t="s">
        <v>829</v>
      </c>
      <c r="K430" s="30" t="s">
        <v>107</v>
      </c>
      <c r="L430" s="35">
        <v>20</v>
      </c>
      <c r="M430" s="22">
        <v>28</v>
      </c>
      <c r="N430" s="44">
        <v>44392</v>
      </c>
      <c r="O430" s="30" t="s">
        <v>115</v>
      </c>
    </row>
    <row r="431" spans="2:15" s="30" customFormat="1" ht="28.5" customHeight="1" x14ac:dyDescent="0.25">
      <c r="B431" s="30" t="s">
        <v>169</v>
      </c>
      <c r="C431" s="30" t="s">
        <v>6</v>
      </c>
      <c r="D431" s="30" t="s">
        <v>10</v>
      </c>
      <c r="E431" s="30" t="s">
        <v>18</v>
      </c>
      <c r="F431" s="11"/>
      <c r="G431" s="19">
        <v>2</v>
      </c>
      <c r="H431" s="21" t="s">
        <v>391</v>
      </c>
      <c r="I431" s="21" t="s">
        <v>68</v>
      </c>
      <c r="J431" s="21" t="s">
        <v>509</v>
      </c>
      <c r="K431" s="30" t="s">
        <v>107</v>
      </c>
      <c r="L431" s="35">
        <v>16</v>
      </c>
      <c r="M431" s="22">
        <v>266.72000000000003</v>
      </c>
      <c r="N431" s="44">
        <v>44392</v>
      </c>
      <c r="O431" s="30" t="s">
        <v>114</v>
      </c>
    </row>
    <row r="432" spans="2:15" s="30" customFormat="1" ht="15" hidden="1" customHeight="1" x14ac:dyDescent="0.25">
      <c r="B432" s="30" t="s">
        <v>169</v>
      </c>
      <c r="C432" s="30" t="s">
        <v>6</v>
      </c>
      <c r="D432" s="30" t="s">
        <v>10</v>
      </c>
      <c r="E432" s="30" t="s">
        <v>18</v>
      </c>
      <c r="F432" s="11"/>
      <c r="G432" s="19">
        <v>2</v>
      </c>
      <c r="H432" s="21" t="s">
        <v>386</v>
      </c>
      <c r="I432" s="21" t="s">
        <v>68</v>
      </c>
      <c r="J432" s="21" t="s">
        <v>463</v>
      </c>
      <c r="K432" s="30" t="s">
        <v>107</v>
      </c>
      <c r="L432" s="35">
        <v>2</v>
      </c>
      <c r="M432" s="22">
        <v>14.27</v>
      </c>
      <c r="N432" s="44">
        <v>44392</v>
      </c>
      <c r="O432" s="30" t="s">
        <v>115</v>
      </c>
    </row>
    <row r="433" spans="2:15" s="30" customFormat="1" ht="29.25" hidden="1" customHeight="1" x14ac:dyDescent="0.25">
      <c r="B433" s="30" t="s">
        <v>169</v>
      </c>
      <c r="C433" s="30" t="s">
        <v>6</v>
      </c>
      <c r="D433" s="30" t="s">
        <v>10</v>
      </c>
      <c r="E433" s="30" t="s">
        <v>18</v>
      </c>
      <c r="F433" s="11"/>
      <c r="G433" s="19">
        <v>2</v>
      </c>
      <c r="H433" s="21" t="s">
        <v>386</v>
      </c>
      <c r="I433" s="21" t="s">
        <v>68</v>
      </c>
      <c r="J433" s="21" t="s">
        <v>465</v>
      </c>
      <c r="K433" s="30" t="s">
        <v>107</v>
      </c>
      <c r="L433" s="35">
        <v>1</v>
      </c>
      <c r="M433" s="22">
        <v>2.65</v>
      </c>
      <c r="N433" s="44">
        <v>44392</v>
      </c>
      <c r="O433" s="30" t="s">
        <v>115</v>
      </c>
    </row>
    <row r="434" spans="2:15" s="30" customFormat="1" ht="30.75" customHeight="1" x14ac:dyDescent="0.25">
      <c r="B434" s="30" t="s">
        <v>169</v>
      </c>
      <c r="C434" s="30" t="s">
        <v>6</v>
      </c>
      <c r="D434" s="30" t="s">
        <v>10</v>
      </c>
      <c r="E434" s="30" t="s">
        <v>18</v>
      </c>
      <c r="F434" s="11"/>
      <c r="G434" s="19">
        <v>2</v>
      </c>
      <c r="H434" s="30" t="s">
        <v>399</v>
      </c>
      <c r="I434" s="21" t="s">
        <v>68</v>
      </c>
      <c r="J434" s="21" t="s">
        <v>510</v>
      </c>
      <c r="K434" s="30" t="s">
        <v>94</v>
      </c>
      <c r="L434" s="35">
        <v>2</v>
      </c>
      <c r="M434" s="22">
        <v>17.43</v>
      </c>
      <c r="N434" s="44">
        <v>44392</v>
      </c>
      <c r="O434" s="30" t="s">
        <v>114</v>
      </c>
    </row>
    <row r="435" spans="2:15" s="30" customFormat="1" ht="29.25" customHeight="1" x14ac:dyDescent="0.25">
      <c r="B435" s="30" t="s">
        <v>169</v>
      </c>
      <c r="C435" s="30" t="s">
        <v>6</v>
      </c>
      <c r="D435" s="30" t="s">
        <v>10</v>
      </c>
      <c r="E435" s="30" t="s">
        <v>18</v>
      </c>
      <c r="F435" s="11"/>
      <c r="G435" s="19">
        <v>2</v>
      </c>
      <c r="H435" s="30" t="s">
        <v>399</v>
      </c>
      <c r="I435" s="21" t="s">
        <v>68</v>
      </c>
      <c r="J435" s="21" t="s">
        <v>512</v>
      </c>
      <c r="K435" s="30" t="s">
        <v>94</v>
      </c>
      <c r="L435" s="35">
        <v>3</v>
      </c>
      <c r="M435" s="22">
        <v>15.65</v>
      </c>
      <c r="N435" s="44">
        <v>44392</v>
      </c>
      <c r="O435" s="30" t="s">
        <v>114</v>
      </c>
    </row>
    <row r="436" spans="2:15" s="30" customFormat="1" ht="31.5" hidden="1" customHeight="1" x14ac:dyDescent="0.25">
      <c r="B436" s="30" t="s">
        <v>169</v>
      </c>
      <c r="C436" s="30" t="s">
        <v>6</v>
      </c>
      <c r="D436" s="30" t="s">
        <v>10</v>
      </c>
      <c r="E436" s="30" t="s">
        <v>18</v>
      </c>
      <c r="F436" s="11"/>
      <c r="G436" s="19">
        <v>2</v>
      </c>
      <c r="H436" s="30" t="s">
        <v>399</v>
      </c>
      <c r="I436" s="21" t="s">
        <v>68</v>
      </c>
      <c r="J436" s="21" t="s">
        <v>410</v>
      </c>
      <c r="K436" s="30" t="s">
        <v>94</v>
      </c>
      <c r="L436" s="35">
        <v>1</v>
      </c>
      <c r="M436" s="22">
        <v>3.64</v>
      </c>
      <c r="N436" s="44">
        <v>44392</v>
      </c>
      <c r="O436" s="30" t="s">
        <v>115</v>
      </c>
    </row>
    <row r="437" spans="2:15" s="30" customFormat="1" ht="30" hidden="1" customHeight="1" x14ac:dyDescent="0.25">
      <c r="B437" s="30" t="s">
        <v>168</v>
      </c>
      <c r="C437" s="30" t="s">
        <v>6</v>
      </c>
      <c r="D437" s="30" t="s">
        <v>10</v>
      </c>
      <c r="E437" s="30" t="s">
        <v>18</v>
      </c>
      <c r="F437" s="11"/>
      <c r="G437" s="19">
        <v>2</v>
      </c>
      <c r="H437" s="30" t="s">
        <v>389</v>
      </c>
      <c r="I437" s="21" t="s">
        <v>68</v>
      </c>
      <c r="J437" s="21" t="s">
        <v>368</v>
      </c>
      <c r="K437" s="30" t="s">
        <v>94</v>
      </c>
      <c r="L437" s="35">
        <v>0</v>
      </c>
      <c r="M437" s="22">
        <v>1.29</v>
      </c>
      <c r="N437" s="44"/>
      <c r="O437" s="30" t="s">
        <v>115</v>
      </c>
    </row>
    <row r="438" spans="2:15" s="30" customFormat="1" ht="30" hidden="1" customHeight="1" x14ac:dyDescent="0.25">
      <c r="B438" s="30" t="s">
        <v>168</v>
      </c>
      <c r="C438" s="30" t="s">
        <v>6</v>
      </c>
      <c r="D438" s="30" t="s">
        <v>10</v>
      </c>
      <c r="E438" s="30" t="s">
        <v>18</v>
      </c>
      <c r="F438" s="11"/>
      <c r="G438" s="19">
        <v>2</v>
      </c>
      <c r="H438" s="30" t="s">
        <v>389</v>
      </c>
      <c r="I438" s="21" t="s">
        <v>68</v>
      </c>
      <c r="J438" s="21" t="s">
        <v>370</v>
      </c>
      <c r="K438" s="30" t="s">
        <v>94</v>
      </c>
      <c r="L438" s="35">
        <v>0</v>
      </c>
      <c r="M438" s="22">
        <v>1.71</v>
      </c>
      <c r="N438" s="44"/>
      <c r="O438" s="30" t="s">
        <v>115</v>
      </c>
    </row>
    <row r="439" spans="2:15" s="30" customFormat="1" ht="30" hidden="1" customHeight="1" x14ac:dyDescent="0.25">
      <c r="B439" s="30" t="s">
        <v>170</v>
      </c>
      <c r="C439" s="30" t="s">
        <v>6</v>
      </c>
      <c r="D439" s="30" t="s">
        <v>10</v>
      </c>
      <c r="E439" s="30" t="s">
        <v>18</v>
      </c>
      <c r="F439" s="11"/>
      <c r="G439" s="19">
        <v>2</v>
      </c>
      <c r="H439" s="30" t="s">
        <v>394</v>
      </c>
      <c r="I439" s="21" t="s">
        <v>68</v>
      </c>
      <c r="J439" s="21" t="s">
        <v>98</v>
      </c>
      <c r="K439" s="30" t="s">
        <v>94</v>
      </c>
      <c r="L439" s="35">
        <v>0</v>
      </c>
      <c r="M439" s="22">
        <v>114.56</v>
      </c>
      <c r="N439" s="44"/>
      <c r="O439" s="30" t="s">
        <v>115</v>
      </c>
    </row>
    <row r="440" spans="2:15" s="30" customFormat="1" ht="30.75" hidden="1" customHeight="1" x14ac:dyDescent="0.25">
      <c r="B440" s="30" t="s">
        <v>165</v>
      </c>
      <c r="C440" s="30" t="s">
        <v>6</v>
      </c>
      <c r="D440" s="30" t="s">
        <v>10</v>
      </c>
      <c r="E440" s="30" t="s">
        <v>18</v>
      </c>
      <c r="F440" s="11">
        <v>201</v>
      </c>
      <c r="G440" s="19">
        <v>2</v>
      </c>
      <c r="H440" s="21" t="s">
        <v>391</v>
      </c>
      <c r="I440" s="21" t="s">
        <v>46</v>
      </c>
      <c r="J440" s="21" t="s">
        <v>830</v>
      </c>
      <c r="K440" s="30" t="s">
        <v>90</v>
      </c>
      <c r="L440" s="35">
        <v>65</v>
      </c>
      <c r="M440" s="22">
        <v>66.069999999999993</v>
      </c>
      <c r="N440" s="44">
        <v>44392</v>
      </c>
      <c r="O440" s="30" t="s">
        <v>115</v>
      </c>
    </row>
    <row r="441" spans="2:15" s="30" customFormat="1" ht="29.25" hidden="1" customHeight="1" x14ac:dyDescent="0.25">
      <c r="B441" s="30" t="s">
        <v>165</v>
      </c>
      <c r="C441" s="30" t="s">
        <v>6</v>
      </c>
      <c r="D441" s="30" t="s">
        <v>10</v>
      </c>
      <c r="E441" s="30" t="s">
        <v>18</v>
      </c>
      <c r="F441" s="11">
        <v>202</v>
      </c>
      <c r="G441" s="19">
        <v>2</v>
      </c>
      <c r="H441" s="30" t="s">
        <v>396</v>
      </c>
      <c r="I441" s="21" t="s">
        <v>58</v>
      </c>
      <c r="J441" s="21" t="s">
        <v>234</v>
      </c>
      <c r="K441" s="30" t="s">
        <v>90</v>
      </c>
      <c r="L441" s="35">
        <v>30</v>
      </c>
      <c r="M441" s="22">
        <v>63.6</v>
      </c>
      <c r="N441" s="44">
        <v>44392</v>
      </c>
      <c r="O441" s="30" t="s">
        <v>115</v>
      </c>
    </row>
    <row r="442" spans="2:15" s="30" customFormat="1" ht="31.5" hidden="1" customHeight="1" x14ac:dyDescent="0.25">
      <c r="B442" s="30" t="s">
        <v>165</v>
      </c>
      <c r="C442" s="30" t="s">
        <v>6</v>
      </c>
      <c r="D442" s="30" t="s">
        <v>10</v>
      </c>
      <c r="E442" s="30" t="s">
        <v>18</v>
      </c>
      <c r="F442" s="11">
        <v>301</v>
      </c>
      <c r="G442" s="19">
        <v>3</v>
      </c>
      <c r="H442" s="30" t="s">
        <v>26</v>
      </c>
      <c r="I442" s="21" t="s">
        <v>32</v>
      </c>
      <c r="J442" s="21" t="s">
        <v>138</v>
      </c>
      <c r="K442" s="30" t="s">
        <v>90</v>
      </c>
      <c r="L442" s="35">
        <v>25</v>
      </c>
      <c r="M442" s="22">
        <v>64.599999999999994</v>
      </c>
      <c r="N442" s="44">
        <v>44392</v>
      </c>
      <c r="O442" s="30" t="s">
        <v>115</v>
      </c>
    </row>
    <row r="443" spans="2:15" s="30" customFormat="1" ht="15" hidden="1" customHeight="1" x14ac:dyDescent="0.25">
      <c r="B443" s="30" t="s">
        <v>165</v>
      </c>
      <c r="C443" s="30" t="s">
        <v>6</v>
      </c>
      <c r="D443" s="30" t="s">
        <v>10</v>
      </c>
      <c r="E443" s="30" t="s">
        <v>18</v>
      </c>
      <c r="F443" s="11">
        <v>302</v>
      </c>
      <c r="G443" s="19">
        <v>3</v>
      </c>
      <c r="H443" s="30" t="s">
        <v>396</v>
      </c>
      <c r="I443" s="21" t="s">
        <v>58</v>
      </c>
      <c r="J443" s="21" t="s">
        <v>235</v>
      </c>
      <c r="K443" s="30" t="s">
        <v>90</v>
      </c>
      <c r="L443" s="35">
        <v>44</v>
      </c>
      <c r="M443" s="22">
        <v>88.64</v>
      </c>
      <c r="N443" s="44">
        <v>44392</v>
      </c>
      <c r="O443" s="30" t="s">
        <v>115</v>
      </c>
    </row>
    <row r="444" spans="2:15" s="30" customFormat="1" ht="15" hidden="1" customHeight="1" x14ac:dyDescent="0.25">
      <c r="B444" s="30" t="s">
        <v>165</v>
      </c>
      <c r="C444" s="30" t="s">
        <v>6</v>
      </c>
      <c r="D444" s="30" t="s">
        <v>10</v>
      </c>
      <c r="E444" s="30" t="s">
        <v>18</v>
      </c>
      <c r="F444" s="11">
        <v>303</v>
      </c>
      <c r="G444" s="19">
        <v>3</v>
      </c>
      <c r="H444" s="30" t="s">
        <v>396</v>
      </c>
      <c r="I444" s="21" t="s">
        <v>58</v>
      </c>
      <c r="J444" s="21" t="s">
        <v>236</v>
      </c>
      <c r="K444" s="30" t="s">
        <v>90</v>
      </c>
      <c r="L444" s="35">
        <v>41</v>
      </c>
      <c r="M444" s="22">
        <v>83.35</v>
      </c>
      <c r="N444" s="44">
        <v>44392</v>
      </c>
      <c r="O444" s="30" t="s">
        <v>115</v>
      </c>
    </row>
    <row r="445" spans="2:15" s="30" customFormat="1" ht="15" hidden="1" customHeight="1" x14ac:dyDescent="0.25">
      <c r="B445" s="30" t="s">
        <v>165</v>
      </c>
      <c r="C445" s="30" t="s">
        <v>6</v>
      </c>
      <c r="D445" s="30" t="s">
        <v>10</v>
      </c>
      <c r="E445" s="30" t="s">
        <v>18</v>
      </c>
      <c r="F445" s="11">
        <v>304</v>
      </c>
      <c r="G445" s="19">
        <v>3</v>
      </c>
      <c r="H445" s="30" t="s">
        <v>396</v>
      </c>
      <c r="I445" s="21" t="s">
        <v>58</v>
      </c>
      <c r="J445" s="21" t="s">
        <v>237</v>
      </c>
      <c r="K445" s="30" t="s">
        <v>90</v>
      </c>
      <c r="L445" s="35">
        <v>41</v>
      </c>
      <c r="M445" s="22">
        <v>82.06</v>
      </c>
      <c r="N445" s="44">
        <v>44392</v>
      </c>
      <c r="O445" s="30" t="s">
        <v>115</v>
      </c>
    </row>
    <row r="446" spans="2:15" s="30" customFormat="1" ht="15" hidden="1" customHeight="1" x14ac:dyDescent="0.25">
      <c r="B446" s="30" t="s">
        <v>165</v>
      </c>
      <c r="C446" s="30" t="s">
        <v>6</v>
      </c>
      <c r="D446" s="30" t="s">
        <v>10</v>
      </c>
      <c r="E446" s="30" t="s">
        <v>18</v>
      </c>
      <c r="F446" s="11">
        <v>305</v>
      </c>
      <c r="G446" s="19">
        <v>3</v>
      </c>
      <c r="H446" s="30" t="s">
        <v>396</v>
      </c>
      <c r="I446" s="21" t="s">
        <v>58</v>
      </c>
      <c r="J446" s="21" t="s">
        <v>238</v>
      </c>
      <c r="K446" s="30" t="s">
        <v>90</v>
      </c>
      <c r="L446" s="35">
        <v>34</v>
      </c>
      <c r="M446" s="22">
        <v>68.599999999999994</v>
      </c>
      <c r="N446" s="44">
        <v>44392</v>
      </c>
      <c r="O446" s="30" t="s">
        <v>115</v>
      </c>
    </row>
    <row r="447" spans="2:15" s="30" customFormat="1" ht="15" hidden="1" customHeight="1" x14ac:dyDescent="0.25">
      <c r="B447" s="30" t="s">
        <v>165</v>
      </c>
      <c r="C447" s="30" t="s">
        <v>6</v>
      </c>
      <c r="D447" s="30" t="s">
        <v>10</v>
      </c>
      <c r="E447" s="30" t="s">
        <v>18</v>
      </c>
      <c r="F447" s="11">
        <v>306</v>
      </c>
      <c r="G447" s="19">
        <v>3</v>
      </c>
      <c r="H447" s="30" t="s">
        <v>396</v>
      </c>
      <c r="I447" s="21" t="s">
        <v>58</v>
      </c>
      <c r="J447" s="21" t="s">
        <v>357</v>
      </c>
      <c r="K447" s="30" t="s">
        <v>90</v>
      </c>
      <c r="L447" s="35">
        <v>46</v>
      </c>
      <c r="M447" s="22">
        <v>107.27</v>
      </c>
      <c r="N447" s="44">
        <v>44392</v>
      </c>
      <c r="O447" s="30" t="s">
        <v>115</v>
      </c>
    </row>
    <row r="448" spans="2:15" s="30" customFormat="1" ht="15" hidden="1" customHeight="1" x14ac:dyDescent="0.25">
      <c r="B448" s="30" t="s">
        <v>168</v>
      </c>
      <c r="C448" s="30" t="s">
        <v>6</v>
      </c>
      <c r="D448" s="30" t="s">
        <v>10</v>
      </c>
      <c r="E448" s="30" t="s">
        <v>18</v>
      </c>
      <c r="F448" s="11"/>
      <c r="G448" s="19">
        <v>3</v>
      </c>
      <c r="H448" s="30" t="s">
        <v>390</v>
      </c>
      <c r="I448" s="21" t="s">
        <v>37</v>
      </c>
      <c r="J448" s="21" t="s">
        <v>239</v>
      </c>
      <c r="K448" s="30" t="s">
        <v>94</v>
      </c>
      <c r="L448" s="35">
        <v>0</v>
      </c>
      <c r="M448" s="22">
        <v>43.82</v>
      </c>
      <c r="N448" s="44">
        <v>44392</v>
      </c>
      <c r="O448" s="30" t="s">
        <v>115</v>
      </c>
    </row>
    <row r="449" spans="2:15" s="30" customFormat="1" ht="15" hidden="1" customHeight="1" x14ac:dyDescent="0.25">
      <c r="B449" s="30" t="s">
        <v>168</v>
      </c>
      <c r="C449" s="30" t="s">
        <v>6</v>
      </c>
      <c r="D449" s="30" t="s">
        <v>10</v>
      </c>
      <c r="E449" s="30" t="s">
        <v>18</v>
      </c>
      <c r="F449" s="11"/>
      <c r="G449" s="19">
        <v>3</v>
      </c>
      <c r="H449" s="30" t="s">
        <v>390</v>
      </c>
      <c r="I449" s="21" t="s">
        <v>38</v>
      </c>
      <c r="J449" s="21" t="s">
        <v>244</v>
      </c>
      <c r="K449" s="30" t="s">
        <v>94</v>
      </c>
      <c r="L449" s="35">
        <v>0</v>
      </c>
      <c r="M449" s="22">
        <v>9.66</v>
      </c>
      <c r="N449" s="44">
        <v>44392</v>
      </c>
      <c r="O449" s="30" t="s">
        <v>115</v>
      </c>
    </row>
    <row r="450" spans="2:15" s="30" customFormat="1" ht="15" hidden="1" customHeight="1" x14ac:dyDescent="0.25">
      <c r="B450" s="30" t="s">
        <v>165</v>
      </c>
      <c r="C450" s="30" t="s">
        <v>6</v>
      </c>
      <c r="D450" s="30" t="s">
        <v>10</v>
      </c>
      <c r="E450" s="30" t="s">
        <v>18</v>
      </c>
      <c r="F450" s="11"/>
      <c r="G450" s="19">
        <v>3</v>
      </c>
      <c r="H450" s="30" t="s">
        <v>396</v>
      </c>
      <c r="I450" s="21" t="s">
        <v>58</v>
      </c>
      <c r="J450" s="21" t="s">
        <v>245</v>
      </c>
      <c r="K450" s="30" t="s">
        <v>90</v>
      </c>
      <c r="L450" s="35">
        <v>37</v>
      </c>
      <c r="M450" s="22">
        <v>75.819999999999993</v>
      </c>
      <c r="N450" s="44">
        <v>44392</v>
      </c>
      <c r="O450" s="30" t="s">
        <v>115</v>
      </c>
    </row>
    <row r="451" spans="2:15" s="30" customFormat="1" ht="15" hidden="1" customHeight="1" x14ac:dyDescent="0.25">
      <c r="B451" s="30" t="s">
        <v>168</v>
      </c>
      <c r="C451" s="30" t="s">
        <v>6</v>
      </c>
      <c r="D451" s="30" t="s">
        <v>10</v>
      </c>
      <c r="E451" s="30" t="s">
        <v>18</v>
      </c>
      <c r="F451" s="11"/>
      <c r="G451" s="19">
        <v>3</v>
      </c>
      <c r="H451" s="30" t="s">
        <v>23</v>
      </c>
      <c r="I451" s="21" t="s">
        <v>58</v>
      </c>
      <c r="J451" s="21" t="s">
        <v>831</v>
      </c>
      <c r="K451" s="30" t="s">
        <v>107</v>
      </c>
      <c r="L451" s="35">
        <v>4</v>
      </c>
      <c r="M451" s="22">
        <v>55.8</v>
      </c>
      <c r="N451" s="44">
        <v>44392</v>
      </c>
      <c r="O451" s="30" t="s">
        <v>115</v>
      </c>
    </row>
    <row r="452" spans="2:15" s="30" customFormat="1" ht="15" hidden="1" customHeight="1" x14ac:dyDescent="0.25">
      <c r="B452" s="30" t="s">
        <v>168</v>
      </c>
      <c r="C452" s="30" t="s">
        <v>6</v>
      </c>
      <c r="D452" s="30" t="s">
        <v>10</v>
      </c>
      <c r="E452" s="30" t="s">
        <v>18</v>
      </c>
      <c r="F452" s="11"/>
      <c r="G452" s="19">
        <v>3</v>
      </c>
      <c r="H452" s="30" t="s">
        <v>23</v>
      </c>
      <c r="I452" s="21" t="s">
        <v>58</v>
      </c>
      <c r="J452" s="21" t="s">
        <v>346</v>
      </c>
      <c r="K452" s="30" t="s">
        <v>107</v>
      </c>
      <c r="L452" s="35">
        <v>5</v>
      </c>
      <c r="M452" s="22">
        <v>17.73</v>
      </c>
      <c r="N452" s="44">
        <v>44392</v>
      </c>
      <c r="O452" s="30" t="s">
        <v>115</v>
      </c>
    </row>
    <row r="453" spans="2:15" s="30" customFormat="1" ht="30.75" customHeight="1" x14ac:dyDescent="0.25">
      <c r="B453" s="30" t="s">
        <v>170</v>
      </c>
      <c r="C453" s="30" t="s">
        <v>6</v>
      </c>
      <c r="D453" s="30" t="s">
        <v>10</v>
      </c>
      <c r="E453" s="30" t="s">
        <v>18</v>
      </c>
      <c r="F453" s="11"/>
      <c r="G453" s="19">
        <v>3</v>
      </c>
      <c r="H453" s="30" t="s">
        <v>394</v>
      </c>
      <c r="I453" s="21" t="s">
        <v>68</v>
      </c>
      <c r="J453" s="21" t="s">
        <v>283</v>
      </c>
      <c r="K453" s="30" t="s">
        <v>94</v>
      </c>
      <c r="L453" s="35">
        <v>70</v>
      </c>
      <c r="M453" s="22">
        <v>245.93</v>
      </c>
      <c r="N453" s="44">
        <v>44392</v>
      </c>
      <c r="O453" s="30" t="s">
        <v>114</v>
      </c>
    </row>
    <row r="454" spans="2:15" s="30" customFormat="1" ht="28.5" customHeight="1" x14ac:dyDescent="0.25">
      <c r="B454" s="30" t="s">
        <v>169</v>
      </c>
      <c r="C454" s="30" t="s">
        <v>6</v>
      </c>
      <c r="D454" s="30" t="s">
        <v>10</v>
      </c>
      <c r="E454" s="30" t="s">
        <v>18</v>
      </c>
      <c r="F454" s="11"/>
      <c r="G454" s="19">
        <v>3</v>
      </c>
      <c r="H454" s="30" t="s">
        <v>399</v>
      </c>
      <c r="I454" s="21" t="s">
        <v>68</v>
      </c>
      <c r="J454" s="21" t="s">
        <v>403</v>
      </c>
      <c r="K454" s="30" t="s">
        <v>94</v>
      </c>
      <c r="L454" s="35">
        <v>2</v>
      </c>
      <c r="M454" s="22">
        <v>15.82</v>
      </c>
      <c r="N454" s="44">
        <v>44392</v>
      </c>
      <c r="O454" s="30" t="s">
        <v>114</v>
      </c>
    </row>
    <row r="455" spans="2:15" s="30" customFormat="1" ht="28.5" customHeight="1" x14ac:dyDescent="0.25">
      <c r="B455" s="30" t="s">
        <v>169</v>
      </c>
      <c r="C455" s="30" t="s">
        <v>6</v>
      </c>
      <c r="D455" s="30" t="s">
        <v>10</v>
      </c>
      <c r="E455" s="30" t="s">
        <v>18</v>
      </c>
      <c r="F455" s="11"/>
      <c r="G455" s="19">
        <v>3</v>
      </c>
      <c r="H455" s="30" t="s">
        <v>399</v>
      </c>
      <c r="I455" s="21" t="s">
        <v>68</v>
      </c>
      <c r="J455" s="21" t="s">
        <v>404</v>
      </c>
      <c r="K455" s="30" t="s">
        <v>94</v>
      </c>
      <c r="L455" s="35">
        <v>7</v>
      </c>
      <c r="M455" s="22">
        <v>20.440000000000001</v>
      </c>
      <c r="N455" s="44">
        <v>44392</v>
      </c>
      <c r="O455" s="30" t="s">
        <v>114</v>
      </c>
    </row>
    <row r="456" spans="2:15" s="30" customFormat="1" ht="30.75" hidden="1" customHeight="1" x14ac:dyDescent="0.25">
      <c r="B456" s="30" t="s">
        <v>169</v>
      </c>
      <c r="C456" s="30" t="s">
        <v>6</v>
      </c>
      <c r="D456" s="30" t="s">
        <v>10</v>
      </c>
      <c r="E456" s="30" t="s">
        <v>18</v>
      </c>
      <c r="F456" s="11"/>
      <c r="G456" s="19">
        <v>3</v>
      </c>
      <c r="H456" s="30" t="s">
        <v>399</v>
      </c>
      <c r="I456" s="21" t="s">
        <v>68</v>
      </c>
      <c r="J456" s="21" t="s">
        <v>768</v>
      </c>
      <c r="K456" s="30" t="s">
        <v>94</v>
      </c>
      <c r="L456" s="35">
        <v>1</v>
      </c>
      <c r="M456" s="22">
        <v>3.75</v>
      </c>
      <c r="N456" s="44">
        <v>44392</v>
      </c>
      <c r="O456" s="30" t="s">
        <v>115</v>
      </c>
    </row>
    <row r="457" spans="2:15" s="30" customFormat="1" ht="29.25" hidden="1" customHeight="1" x14ac:dyDescent="0.25">
      <c r="B457" s="30" t="s">
        <v>168</v>
      </c>
      <c r="C457" s="30" t="s">
        <v>6</v>
      </c>
      <c r="D457" s="30" t="s">
        <v>10</v>
      </c>
      <c r="E457" s="30" t="s">
        <v>18</v>
      </c>
      <c r="F457" s="11"/>
      <c r="G457" s="19">
        <v>3</v>
      </c>
      <c r="H457" s="30" t="s">
        <v>389</v>
      </c>
      <c r="I457" s="21" t="s">
        <v>68</v>
      </c>
      <c r="J457" s="21" t="s">
        <v>356</v>
      </c>
      <c r="K457" s="30" t="s">
        <v>94</v>
      </c>
      <c r="L457" s="35">
        <v>1</v>
      </c>
      <c r="M457" s="22">
        <v>1.37</v>
      </c>
      <c r="N457" s="44">
        <v>44392</v>
      </c>
      <c r="O457" s="30" t="s">
        <v>115</v>
      </c>
    </row>
    <row r="458" spans="2:15" s="30" customFormat="1" ht="30.75" hidden="1" customHeight="1" x14ac:dyDescent="0.25">
      <c r="B458" s="30" t="s">
        <v>168</v>
      </c>
      <c r="C458" s="30" t="s">
        <v>6</v>
      </c>
      <c r="D458" s="30" t="s">
        <v>10</v>
      </c>
      <c r="E458" s="30" t="s">
        <v>18</v>
      </c>
      <c r="F458" s="11"/>
      <c r="G458" s="19">
        <v>3</v>
      </c>
      <c r="H458" s="30" t="s">
        <v>390</v>
      </c>
      <c r="I458" s="21" t="s">
        <v>35</v>
      </c>
      <c r="J458" s="21" t="s">
        <v>353</v>
      </c>
      <c r="K458" s="30" t="s">
        <v>94</v>
      </c>
      <c r="L458" s="35">
        <v>0</v>
      </c>
      <c r="M458" s="22">
        <v>2.04</v>
      </c>
      <c r="N458" s="44">
        <v>44392</v>
      </c>
      <c r="O458" s="30" t="s">
        <v>115</v>
      </c>
    </row>
    <row r="459" spans="2:15" s="30" customFormat="1" ht="30" customHeight="1" x14ac:dyDescent="0.25">
      <c r="B459" s="30" t="s">
        <v>170</v>
      </c>
      <c r="C459" s="30" t="s">
        <v>6</v>
      </c>
      <c r="D459" s="30" t="s">
        <v>10</v>
      </c>
      <c r="E459" s="30" t="s">
        <v>18</v>
      </c>
      <c r="F459" s="11"/>
      <c r="G459" s="19">
        <v>3</v>
      </c>
      <c r="H459" s="30" t="s">
        <v>394</v>
      </c>
      <c r="I459" s="21" t="s">
        <v>68</v>
      </c>
      <c r="J459" s="21" t="s">
        <v>513</v>
      </c>
      <c r="K459" s="21" t="s">
        <v>107</v>
      </c>
      <c r="L459" s="35">
        <v>0</v>
      </c>
      <c r="M459" s="34">
        <v>17.82</v>
      </c>
      <c r="N459" s="44">
        <v>44393</v>
      </c>
      <c r="O459" s="30" t="s">
        <v>114</v>
      </c>
    </row>
    <row r="460" spans="2:15" s="30" customFormat="1" ht="30" customHeight="1" x14ac:dyDescent="0.25">
      <c r="B460" s="30" t="s">
        <v>170</v>
      </c>
      <c r="C460" s="30" t="s">
        <v>6</v>
      </c>
      <c r="D460" s="30" t="s">
        <v>10</v>
      </c>
      <c r="E460" s="30" t="s">
        <v>18</v>
      </c>
      <c r="F460" s="11"/>
      <c r="G460" s="19">
        <v>3</v>
      </c>
      <c r="H460" s="30" t="s">
        <v>394</v>
      </c>
      <c r="I460" s="21" t="s">
        <v>68</v>
      </c>
      <c r="J460" s="21" t="s">
        <v>514</v>
      </c>
      <c r="K460" s="21" t="s">
        <v>107</v>
      </c>
      <c r="L460" s="35">
        <v>0</v>
      </c>
      <c r="M460" s="34">
        <v>15.38</v>
      </c>
      <c r="N460" s="44">
        <v>44393</v>
      </c>
      <c r="O460" s="30" t="s">
        <v>114</v>
      </c>
    </row>
    <row r="461" spans="2:15" s="30" customFormat="1" ht="30" hidden="1" customHeight="1" x14ac:dyDescent="0.25">
      <c r="B461" s="30" t="s">
        <v>168</v>
      </c>
      <c r="C461" s="30" t="s">
        <v>6</v>
      </c>
      <c r="D461" s="30" t="s">
        <v>10</v>
      </c>
      <c r="E461" s="30" t="s">
        <v>18</v>
      </c>
      <c r="F461" s="11"/>
      <c r="G461" s="19">
        <v>3</v>
      </c>
      <c r="H461" s="30" t="s">
        <v>389</v>
      </c>
      <c r="I461" s="21" t="s">
        <v>68</v>
      </c>
      <c r="J461" s="21" t="s">
        <v>382</v>
      </c>
      <c r="K461" s="30" t="s">
        <v>94</v>
      </c>
      <c r="L461" s="35">
        <v>0</v>
      </c>
      <c r="M461" s="22">
        <v>1.74</v>
      </c>
      <c r="N461" s="44">
        <v>44392</v>
      </c>
      <c r="O461" s="30" t="s">
        <v>115</v>
      </c>
    </row>
    <row r="462" spans="2:15" s="30" customFormat="1" ht="29.25" hidden="1" customHeight="1" x14ac:dyDescent="0.25">
      <c r="B462" s="30" t="s">
        <v>168</v>
      </c>
      <c r="C462" s="30" t="s">
        <v>6</v>
      </c>
      <c r="D462" s="30" t="s">
        <v>10</v>
      </c>
      <c r="E462" s="30" t="s">
        <v>18</v>
      </c>
      <c r="F462" s="11"/>
      <c r="G462" s="19">
        <v>3</v>
      </c>
      <c r="H462" s="30" t="s">
        <v>390</v>
      </c>
      <c r="I462" s="21" t="s">
        <v>38</v>
      </c>
      <c r="J462" s="21" t="s">
        <v>347</v>
      </c>
      <c r="K462" s="30" t="s">
        <v>94</v>
      </c>
      <c r="L462" s="35">
        <v>0</v>
      </c>
      <c r="M462" s="22">
        <v>8.74</v>
      </c>
      <c r="N462" s="44">
        <v>44392</v>
      </c>
      <c r="O462" s="30" t="s">
        <v>115</v>
      </c>
    </row>
    <row r="463" spans="2:15" s="30" customFormat="1" ht="15" hidden="1" customHeight="1" x14ac:dyDescent="0.25">
      <c r="B463" s="30" t="s">
        <v>165</v>
      </c>
      <c r="C463" s="30" t="s">
        <v>6</v>
      </c>
      <c r="D463" s="30" t="s">
        <v>10</v>
      </c>
      <c r="E463" s="30" t="s">
        <v>18</v>
      </c>
      <c r="F463" s="11">
        <v>401</v>
      </c>
      <c r="G463" s="19">
        <v>4</v>
      </c>
      <c r="H463" s="30" t="s">
        <v>26</v>
      </c>
      <c r="I463" s="21" t="s">
        <v>32</v>
      </c>
      <c r="J463" s="21" t="s">
        <v>138</v>
      </c>
      <c r="K463" s="30" t="s">
        <v>90</v>
      </c>
      <c r="L463" s="35">
        <v>25</v>
      </c>
      <c r="M463" s="22">
        <v>64.599999999999994</v>
      </c>
      <c r="N463" s="44">
        <v>44393</v>
      </c>
      <c r="O463" s="30" t="s">
        <v>115</v>
      </c>
    </row>
    <row r="464" spans="2:15" s="30" customFormat="1" ht="15" hidden="1" customHeight="1" x14ac:dyDescent="0.25">
      <c r="B464" s="30" t="s">
        <v>165</v>
      </c>
      <c r="C464" s="30" t="s">
        <v>6</v>
      </c>
      <c r="D464" s="30" t="s">
        <v>10</v>
      </c>
      <c r="E464" s="30" t="s">
        <v>18</v>
      </c>
      <c r="F464" s="11">
        <v>402</v>
      </c>
      <c r="G464" s="19">
        <v>4</v>
      </c>
      <c r="H464" s="30" t="s">
        <v>26</v>
      </c>
      <c r="I464" s="21" t="s">
        <v>32</v>
      </c>
      <c r="J464" s="21" t="s">
        <v>138</v>
      </c>
      <c r="K464" s="30" t="s">
        <v>90</v>
      </c>
      <c r="L464" s="35">
        <v>44</v>
      </c>
      <c r="M464" s="22">
        <v>88.64</v>
      </c>
      <c r="N464" s="44">
        <v>44393</v>
      </c>
      <c r="O464" s="30" t="s">
        <v>115</v>
      </c>
    </row>
    <row r="465" spans="2:15" s="30" customFormat="1" ht="15" hidden="1" customHeight="1" x14ac:dyDescent="0.25">
      <c r="B465" s="30" t="s">
        <v>165</v>
      </c>
      <c r="C465" s="30" t="s">
        <v>6</v>
      </c>
      <c r="D465" s="30" t="s">
        <v>10</v>
      </c>
      <c r="E465" s="30" t="s">
        <v>18</v>
      </c>
      <c r="F465" s="11">
        <v>403</v>
      </c>
      <c r="G465" s="19">
        <v>4</v>
      </c>
      <c r="H465" s="30" t="s">
        <v>26</v>
      </c>
      <c r="I465" s="21" t="s">
        <v>32</v>
      </c>
      <c r="J465" s="21" t="s">
        <v>138</v>
      </c>
      <c r="K465" s="30" t="s">
        <v>90</v>
      </c>
      <c r="L465" s="35">
        <v>41</v>
      </c>
      <c r="M465" s="22">
        <v>83.35</v>
      </c>
      <c r="N465" s="44">
        <v>44393</v>
      </c>
      <c r="O465" s="30" t="s">
        <v>115</v>
      </c>
    </row>
    <row r="466" spans="2:15" s="30" customFormat="1" ht="15.75" hidden="1" customHeight="1" x14ac:dyDescent="0.25">
      <c r="B466" s="30" t="s">
        <v>165</v>
      </c>
      <c r="C466" s="30" t="s">
        <v>6</v>
      </c>
      <c r="D466" s="30" t="s">
        <v>10</v>
      </c>
      <c r="E466" s="30" t="s">
        <v>18</v>
      </c>
      <c r="F466" s="11">
        <v>404</v>
      </c>
      <c r="G466" s="19">
        <v>4</v>
      </c>
      <c r="H466" s="30" t="s">
        <v>396</v>
      </c>
      <c r="I466" s="21" t="s">
        <v>58</v>
      </c>
      <c r="J466" s="21" t="s">
        <v>284</v>
      </c>
      <c r="K466" s="30" t="s">
        <v>90</v>
      </c>
      <c r="L466" s="35">
        <v>41</v>
      </c>
      <c r="M466" s="22">
        <v>82.06</v>
      </c>
      <c r="N466" s="44">
        <v>44393</v>
      </c>
      <c r="O466" s="30" t="s">
        <v>115</v>
      </c>
    </row>
    <row r="467" spans="2:15" s="30" customFormat="1" ht="15" hidden="1" customHeight="1" x14ac:dyDescent="0.25">
      <c r="B467" s="30" t="s">
        <v>165</v>
      </c>
      <c r="C467" s="30" t="s">
        <v>6</v>
      </c>
      <c r="D467" s="30" t="s">
        <v>10</v>
      </c>
      <c r="E467" s="30" t="s">
        <v>18</v>
      </c>
      <c r="F467" s="11">
        <v>405</v>
      </c>
      <c r="G467" s="19">
        <v>4</v>
      </c>
      <c r="H467" s="30" t="s">
        <v>396</v>
      </c>
      <c r="I467" s="21" t="s">
        <v>58</v>
      </c>
      <c r="J467" s="21" t="s">
        <v>232</v>
      </c>
      <c r="K467" s="30" t="s">
        <v>90</v>
      </c>
      <c r="L467" s="35">
        <v>34</v>
      </c>
      <c r="M467" s="22">
        <v>68.599999999999994</v>
      </c>
      <c r="N467" s="44">
        <v>44393</v>
      </c>
      <c r="O467" s="30" t="s">
        <v>115</v>
      </c>
    </row>
    <row r="468" spans="2:15" s="30" customFormat="1" ht="15" hidden="1" customHeight="1" x14ac:dyDescent="0.25">
      <c r="B468" s="30" t="s">
        <v>165</v>
      </c>
      <c r="C468" s="30" t="s">
        <v>6</v>
      </c>
      <c r="D468" s="30" t="s">
        <v>10</v>
      </c>
      <c r="E468" s="30" t="s">
        <v>18</v>
      </c>
      <c r="F468" s="11">
        <v>406</v>
      </c>
      <c r="G468" s="19">
        <v>4</v>
      </c>
      <c r="H468" s="30" t="s">
        <v>26</v>
      </c>
      <c r="I468" s="21" t="s">
        <v>32</v>
      </c>
      <c r="J468" s="21" t="s">
        <v>149</v>
      </c>
      <c r="K468" s="30" t="s">
        <v>90</v>
      </c>
      <c r="L468" s="35">
        <v>45</v>
      </c>
      <c r="M468" s="22">
        <v>112.74</v>
      </c>
      <c r="N468" s="44">
        <v>44393</v>
      </c>
      <c r="O468" s="30" t="s">
        <v>115</v>
      </c>
    </row>
    <row r="469" spans="2:15" s="30" customFormat="1" ht="15" hidden="1" customHeight="1" x14ac:dyDescent="0.25">
      <c r="B469" s="30" t="s">
        <v>165</v>
      </c>
      <c r="C469" s="30" t="s">
        <v>6</v>
      </c>
      <c r="D469" s="30" t="s">
        <v>10</v>
      </c>
      <c r="E469" s="30" t="s">
        <v>18</v>
      </c>
      <c r="F469" s="11">
        <v>407</v>
      </c>
      <c r="G469" s="19">
        <v>4</v>
      </c>
      <c r="H469" s="30" t="s">
        <v>26</v>
      </c>
      <c r="I469" s="21" t="s">
        <v>32</v>
      </c>
      <c r="J469" s="21" t="s">
        <v>138</v>
      </c>
      <c r="K469" s="30" t="s">
        <v>90</v>
      </c>
      <c r="L469" s="35">
        <v>24</v>
      </c>
      <c r="M469" s="22">
        <v>48.03</v>
      </c>
      <c r="N469" s="44">
        <v>44393</v>
      </c>
      <c r="O469" s="30" t="s">
        <v>115</v>
      </c>
    </row>
    <row r="470" spans="2:15" s="30" customFormat="1" ht="15" hidden="1" customHeight="1" x14ac:dyDescent="0.25">
      <c r="B470" s="30" t="s">
        <v>165</v>
      </c>
      <c r="C470" s="30" t="s">
        <v>6</v>
      </c>
      <c r="D470" s="30" t="s">
        <v>10</v>
      </c>
      <c r="E470" s="30" t="s">
        <v>18</v>
      </c>
      <c r="F470" s="11">
        <v>408</v>
      </c>
      <c r="G470" s="19">
        <v>4</v>
      </c>
      <c r="H470" s="30" t="s">
        <v>26</v>
      </c>
      <c r="I470" s="21" t="s">
        <v>32</v>
      </c>
      <c r="J470" s="21" t="s">
        <v>138</v>
      </c>
      <c r="K470" s="30" t="s">
        <v>90</v>
      </c>
      <c r="L470" s="35">
        <v>22</v>
      </c>
      <c r="M470" s="22">
        <v>44.5</v>
      </c>
      <c r="N470" s="44">
        <v>44393</v>
      </c>
      <c r="O470" s="30" t="s">
        <v>115</v>
      </c>
    </row>
    <row r="471" spans="2:15" s="30" customFormat="1" ht="15" hidden="1" customHeight="1" x14ac:dyDescent="0.25">
      <c r="B471" s="30" t="s">
        <v>165</v>
      </c>
      <c r="C471" s="30" t="s">
        <v>6</v>
      </c>
      <c r="D471" s="30" t="s">
        <v>10</v>
      </c>
      <c r="E471" s="30" t="s">
        <v>18</v>
      </c>
      <c r="F471" s="11">
        <v>409</v>
      </c>
      <c r="G471" s="19">
        <v>4</v>
      </c>
      <c r="H471" s="30" t="s">
        <v>26</v>
      </c>
      <c r="I471" s="21" t="s">
        <v>32</v>
      </c>
      <c r="J471" s="21" t="s">
        <v>138</v>
      </c>
      <c r="K471" s="30" t="s">
        <v>90</v>
      </c>
      <c r="L471" s="35">
        <v>21</v>
      </c>
      <c r="M471" s="22">
        <v>43.7</v>
      </c>
      <c r="N471" s="44">
        <v>44393</v>
      </c>
      <c r="O471" s="30" t="s">
        <v>115</v>
      </c>
    </row>
    <row r="472" spans="2:15" s="30" customFormat="1" ht="15" hidden="1" customHeight="1" x14ac:dyDescent="0.25">
      <c r="B472" s="30" t="s">
        <v>165</v>
      </c>
      <c r="C472" s="30" t="s">
        <v>6</v>
      </c>
      <c r="D472" s="30" t="s">
        <v>10</v>
      </c>
      <c r="E472" s="30" t="s">
        <v>18</v>
      </c>
      <c r="F472" s="11">
        <v>410</v>
      </c>
      <c r="G472" s="19">
        <v>4</v>
      </c>
      <c r="H472" s="30" t="s">
        <v>26</v>
      </c>
      <c r="I472" s="21" t="s">
        <v>32</v>
      </c>
      <c r="J472" s="21" t="s">
        <v>138</v>
      </c>
      <c r="K472" s="30" t="s">
        <v>90</v>
      </c>
      <c r="L472" s="35">
        <v>21</v>
      </c>
      <c r="M472" s="22">
        <v>41.87</v>
      </c>
      <c r="N472" s="44">
        <v>44393</v>
      </c>
      <c r="O472" s="30" t="s">
        <v>115</v>
      </c>
    </row>
    <row r="473" spans="2:15" s="30" customFormat="1" ht="15" customHeight="1" x14ac:dyDescent="0.25">
      <c r="B473" s="30" t="s">
        <v>170</v>
      </c>
      <c r="C473" s="30" t="s">
        <v>6</v>
      </c>
      <c r="D473" s="30" t="s">
        <v>10</v>
      </c>
      <c r="E473" s="30" t="s">
        <v>18</v>
      </c>
      <c r="F473" s="11"/>
      <c r="G473" s="19">
        <v>4</v>
      </c>
      <c r="H473" s="30" t="s">
        <v>394</v>
      </c>
      <c r="I473" s="21" t="s">
        <v>35</v>
      </c>
      <c r="J473" s="21" t="s">
        <v>513</v>
      </c>
      <c r="K473" s="21" t="s">
        <v>107</v>
      </c>
      <c r="L473" s="35">
        <v>0</v>
      </c>
      <c r="M473" s="34">
        <v>17.82</v>
      </c>
      <c r="N473" s="44">
        <v>44393</v>
      </c>
      <c r="O473" s="30" t="s">
        <v>114</v>
      </c>
    </row>
    <row r="474" spans="2:15" s="30" customFormat="1" ht="15" customHeight="1" x14ac:dyDescent="0.25">
      <c r="B474" s="30" t="s">
        <v>170</v>
      </c>
      <c r="C474" s="30" t="s">
        <v>6</v>
      </c>
      <c r="D474" s="30" t="s">
        <v>10</v>
      </c>
      <c r="E474" s="30" t="s">
        <v>18</v>
      </c>
      <c r="F474" s="11"/>
      <c r="G474" s="19">
        <v>4</v>
      </c>
      <c r="H474" s="30" t="s">
        <v>394</v>
      </c>
      <c r="I474" s="21" t="s">
        <v>35</v>
      </c>
      <c r="J474" s="21" t="s">
        <v>514</v>
      </c>
      <c r="K474" s="21" t="s">
        <v>107</v>
      </c>
      <c r="L474" s="35">
        <v>0</v>
      </c>
      <c r="M474" s="34">
        <v>15.38</v>
      </c>
      <c r="N474" s="44">
        <v>44393</v>
      </c>
      <c r="O474" s="30" t="s">
        <v>114</v>
      </c>
    </row>
    <row r="475" spans="2:15" s="30" customFormat="1" ht="15" customHeight="1" x14ac:dyDescent="0.25">
      <c r="B475" s="30" t="s">
        <v>170</v>
      </c>
      <c r="C475" s="30" t="s">
        <v>6</v>
      </c>
      <c r="D475" s="30" t="s">
        <v>10</v>
      </c>
      <c r="E475" s="30" t="s">
        <v>18</v>
      </c>
      <c r="F475" s="11"/>
      <c r="G475" s="19">
        <v>4</v>
      </c>
      <c r="H475" s="30" t="s">
        <v>394</v>
      </c>
      <c r="I475" s="21" t="s">
        <v>68</v>
      </c>
      <c r="J475" s="21" t="s">
        <v>268</v>
      </c>
      <c r="K475" s="30" t="s">
        <v>94</v>
      </c>
      <c r="L475" s="35">
        <v>70</v>
      </c>
      <c r="M475" s="22">
        <v>245.93</v>
      </c>
      <c r="N475" s="44">
        <v>44393</v>
      </c>
      <c r="O475" s="30" t="s">
        <v>114</v>
      </c>
    </row>
    <row r="476" spans="2:15" s="30" customFormat="1" ht="15" customHeight="1" x14ac:dyDescent="0.25">
      <c r="B476" s="30" t="s">
        <v>169</v>
      </c>
      <c r="C476" s="30" t="s">
        <v>6</v>
      </c>
      <c r="D476" s="30" t="s">
        <v>10</v>
      </c>
      <c r="E476" s="30" t="s">
        <v>18</v>
      </c>
      <c r="F476" s="11"/>
      <c r="G476" s="19">
        <v>4</v>
      </c>
      <c r="H476" s="30" t="s">
        <v>399</v>
      </c>
      <c r="I476" s="21" t="s">
        <v>68</v>
      </c>
      <c r="J476" s="21" t="s">
        <v>285</v>
      </c>
      <c r="K476" s="30" t="s">
        <v>94</v>
      </c>
      <c r="L476" s="35">
        <v>2</v>
      </c>
      <c r="M476" s="22">
        <v>15.82</v>
      </c>
      <c r="N476" s="44">
        <v>44393</v>
      </c>
      <c r="O476" s="30" t="s">
        <v>114</v>
      </c>
    </row>
    <row r="477" spans="2:15" s="30" customFormat="1" ht="15" customHeight="1" x14ac:dyDescent="0.25">
      <c r="B477" s="30" t="s">
        <v>169</v>
      </c>
      <c r="C477" s="30" t="s">
        <v>6</v>
      </c>
      <c r="D477" s="30" t="s">
        <v>10</v>
      </c>
      <c r="E477" s="30" t="s">
        <v>18</v>
      </c>
      <c r="F477" s="11"/>
      <c r="G477" s="19">
        <v>4</v>
      </c>
      <c r="H477" s="30" t="s">
        <v>399</v>
      </c>
      <c r="I477" s="21" t="s">
        <v>68</v>
      </c>
      <c r="J477" s="21" t="s">
        <v>286</v>
      </c>
      <c r="K477" s="30" t="s">
        <v>94</v>
      </c>
      <c r="L477" s="35">
        <v>7</v>
      </c>
      <c r="M477" s="22">
        <v>20.440000000000001</v>
      </c>
      <c r="N477" s="44">
        <v>44393</v>
      </c>
      <c r="O477" s="30" t="s">
        <v>114</v>
      </c>
    </row>
    <row r="478" spans="2:15" s="30" customFormat="1" ht="15" hidden="1" customHeight="1" x14ac:dyDescent="0.25">
      <c r="B478" s="30" t="s">
        <v>169</v>
      </c>
      <c r="C478" s="30" t="s">
        <v>6</v>
      </c>
      <c r="D478" s="30" t="s">
        <v>10</v>
      </c>
      <c r="E478" s="30" t="s">
        <v>18</v>
      </c>
      <c r="F478" s="11"/>
      <c r="G478" s="19">
        <v>4</v>
      </c>
      <c r="H478" s="30" t="s">
        <v>399</v>
      </c>
      <c r="I478" s="21" t="s">
        <v>68</v>
      </c>
      <c r="J478" s="21" t="s">
        <v>287</v>
      </c>
      <c r="K478" s="30" t="s">
        <v>94</v>
      </c>
      <c r="L478" s="35">
        <v>1</v>
      </c>
      <c r="M478" s="22">
        <v>3.75</v>
      </c>
      <c r="N478" s="44">
        <v>44393</v>
      </c>
      <c r="O478" s="30" t="s">
        <v>115</v>
      </c>
    </row>
    <row r="479" spans="2:15" s="30" customFormat="1" ht="15" hidden="1" customHeight="1" x14ac:dyDescent="0.25">
      <c r="B479" s="30" t="s">
        <v>168</v>
      </c>
      <c r="C479" s="30" t="s">
        <v>6</v>
      </c>
      <c r="D479" s="30" t="s">
        <v>10</v>
      </c>
      <c r="E479" s="30" t="s">
        <v>18</v>
      </c>
      <c r="F479" s="11"/>
      <c r="G479" s="19">
        <v>4</v>
      </c>
      <c r="H479" s="30" t="s">
        <v>389</v>
      </c>
      <c r="I479" s="21" t="s">
        <v>68</v>
      </c>
      <c r="J479" s="21" t="s">
        <v>304</v>
      </c>
      <c r="K479" s="30" t="s">
        <v>94</v>
      </c>
      <c r="L479" s="35">
        <v>1</v>
      </c>
      <c r="M479" s="22">
        <v>1.37</v>
      </c>
      <c r="N479" s="44">
        <v>44393</v>
      </c>
      <c r="O479" s="30" t="s">
        <v>115</v>
      </c>
    </row>
    <row r="480" spans="2:15" s="30" customFormat="1" ht="15" hidden="1" customHeight="1" x14ac:dyDescent="0.25">
      <c r="B480" s="30" t="s">
        <v>168</v>
      </c>
      <c r="C480" s="30" t="s">
        <v>6</v>
      </c>
      <c r="D480" s="30" t="s">
        <v>10</v>
      </c>
      <c r="E480" s="30" t="s">
        <v>18</v>
      </c>
      <c r="F480" s="11"/>
      <c r="G480" s="19">
        <v>4</v>
      </c>
      <c r="H480" s="30" t="s">
        <v>390</v>
      </c>
      <c r="I480" s="21" t="s">
        <v>35</v>
      </c>
      <c r="J480" s="21" t="s">
        <v>353</v>
      </c>
      <c r="K480" s="30" t="s">
        <v>94</v>
      </c>
      <c r="L480" s="35">
        <v>0</v>
      </c>
      <c r="M480" s="22">
        <v>2.04</v>
      </c>
      <c r="N480" s="44">
        <v>44393</v>
      </c>
      <c r="O480" s="30" t="s">
        <v>115</v>
      </c>
    </row>
    <row r="481" spans="2:15" s="30" customFormat="1" ht="15" hidden="1" customHeight="1" x14ac:dyDescent="0.25">
      <c r="B481" s="30" t="s">
        <v>168</v>
      </c>
      <c r="C481" s="30" t="s">
        <v>6</v>
      </c>
      <c r="D481" s="30" t="s">
        <v>10</v>
      </c>
      <c r="E481" s="30" t="s">
        <v>18</v>
      </c>
      <c r="F481" s="11"/>
      <c r="G481" s="19">
        <v>4</v>
      </c>
      <c r="H481" s="30" t="s">
        <v>389</v>
      </c>
      <c r="I481" s="21" t="s">
        <v>68</v>
      </c>
      <c r="J481" s="21" t="s">
        <v>382</v>
      </c>
      <c r="K481" s="30" t="s">
        <v>94</v>
      </c>
      <c r="L481" s="35">
        <v>0</v>
      </c>
      <c r="M481" s="22">
        <v>1.74</v>
      </c>
      <c r="N481" s="44">
        <v>44393</v>
      </c>
      <c r="O481" s="30" t="s">
        <v>115</v>
      </c>
    </row>
    <row r="482" spans="2:15" s="30" customFormat="1" ht="29.25" hidden="1" customHeight="1" x14ac:dyDescent="0.25">
      <c r="B482" s="30" t="s">
        <v>168</v>
      </c>
      <c r="C482" s="30" t="s">
        <v>6</v>
      </c>
      <c r="D482" s="30" t="s">
        <v>10</v>
      </c>
      <c r="E482" s="30" t="s">
        <v>18</v>
      </c>
      <c r="F482" s="11"/>
      <c r="G482" s="19">
        <v>4</v>
      </c>
      <c r="H482" s="30" t="s">
        <v>390</v>
      </c>
      <c r="I482" s="21" t="s">
        <v>38</v>
      </c>
      <c r="J482" s="21" t="s">
        <v>288</v>
      </c>
      <c r="K482" s="30" t="s">
        <v>94</v>
      </c>
      <c r="L482" s="35">
        <v>0</v>
      </c>
      <c r="M482" s="22">
        <v>8.74</v>
      </c>
      <c r="N482" s="44">
        <v>44393</v>
      </c>
      <c r="O482" s="30" t="s">
        <v>115</v>
      </c>
    </row>
    <row r="483" spans="2:15" s="30" customFormat="1" ht="30.75" hidden="1" customHeight="1" x14ac:dyDescent="0.25">
      <c r="B483" s="30" t="s">
        <v>165</v>
      </c>
      <c r="C483" s="30" t="s">
        <v>6</v>
      </c>
      <c r="D483" s="30" t="s">
        <v>10</v>
      </c>
      <c r="E483" s="30" t="s">
        <v>18</v>
      </c>
      <c r="F483" s="11">
        <v>501</v>
      </c>
      <c r="G483" s="19">
        <v>5</v>
      </c>
      <c r="H483" s="30" t="s">
        <v>26</v>
      </c>
      <c r="I483" s="21" t="s">
        <v>32</v>
      </c>
      <c r="J483" s="21" t="s">
        <v>138</v>
      </c>
      <c r="K483" s="30" t="s">
        <v>90</v>
      </c>
      <c r="L483" s="35">
        <v>25</v>
      </c>
      <c r="M483" s="22">
        <v>47.9</v>
      </c>
      <c r="N483" s="44">
        <v>44393</v>
      </c>
      <c r="O483" s="30" t="s">
        <v>115</v>
      </c>
    </row>
    <row r="484" spans="2:15" s="30" customFormat="1" ht="30.75" hidden="1" customHeight="1" x14ac:dyDescent="0.25">
      <c r="B484" s="30" t="s">
        <v>165</v>
      </c>
      <c r="C484" s="30" t="s">
        <v>6</v>
      </c>
      <c r="D484" s="30" t="s">
        <v>10</v>
      </c>
      <c r="E484" s="30" t="s">
        <v>18</v>
      </c>
      <c r="F484" s="11">
        <v>502</v>
      </c>
      <c r="G484" s="19">
        <v>5</v>
      </c>
      <c r="H484" s="30" t="s">
        <v>26</v>
      </c>
      <c r="I484" s="21" t="s">
        <v>32</v>
      </c>
      <c r="J484" s="21" t="s">
        <v>138</v>
      </c>
      <c r="K484" s="30" t="s">
        <v>90</v>
      </c>
      <c r="L484" s="35">
        <v>25</v>
      </c>
      <c r="M484" s="22">
        <v>42</v>
      </c>
      <c r="N484" s="44">
        <v>44393</v>
      </c>
      <c r="O484" s="30" t="s">
        <v>115</v>
      </c>
    </row>
    <row r="485" spans="2:15" s="30" customFormat="1" ht="28.5" hidden="1" customHeight="1" x14ac:dyDescent="0.25">
      <c r="B485" s="30" t="s">
        <v>165</v>
      </c>
      <c r="C485" s="30" t="s">
        <v>6</v>
      </c>
      <c r="D485" s="30" t="s">
        <v>10</v>
      </c>
      <c r="E485" s="30" t="s">
        <v>18</v>
      </c>
      <c r="F485" s="11">
        <v>503</v>
      </c>
      <c r="G485" s="19">
        <v>5</v>
      </c>
      <c r="H485" s="30" t="s">
        <v>26</v>
      </c>
      <c r="I485" s="21" t="s">
        <v>32</v>
      </c>
      <c r="J485" s="21" t="s">
        <v>138</v>
      </c>
      <c r="K485" s="30" t="s">
        <v>90</v>
      </c>
      <c r="L485" s="35">
        <v>25</v>
      </c>
      <c r="M485" s="22">
        <v>48.73</v>
      </c>
      <c r="N485" s="44">
        <v>44393</v>
      </c>
      <c r="O485" s="30" t="s">
        <v>115</v>
      </c>
    </row>
    <row r="486" spans="2:15" s="30" customFormat="1" ht="30" hidden="1" customHeight="1" x14ac:dyDescent="0.25">
      <c r="B486" s="30" t="s">
        <v>165</v>
      </c>
      <c r="C486" s="30" t="s">
        <v>6</v>
      </c>
      <c r="D486" s="30" t="s">
        <v>10</v>
      </c>
      <c r="E486" s="30" t="s">
        <v>18</v>
      </c>
      <c r="F486" s="11">
        <v>504</v>
      </c>
      <c r="G486" s="19">
        <v>5</v>
      </c>
      <c r="H486" s="30" t="s">
        <v>26</v>
      </c>
      <c r="I486" s="21" t="s">
        <v>32</v>
      </c>
      <c r="J486" s="21" t="s">
        <v>138</v>
      </c>
      <c r="K486" s="30" t="s">
        <v>90</v>
      </c>
      <c r="L486" s="35">
        <v>25</v>
      </c>
      <c r="M486" s="22">
        <v>48.81</v>
      </c>
      <c r="N486" s="44">
        <v>44393</v>
      </c>
      <c r="O486" s="30" t="s">
        <v>115</v>
      </c>
    </row>
    <row r="487" spans="2:15" s="30" customFormat="1" ht="30" hidden="1" customHeight="1" x14ac:dyDescent="0.25">
      <c r="B487" s="30" t="s">
        <v>165</v>
      </c>
      <c r="C487" s="30" t="s">
        <v>6</v>
      </c>
      <c r="D487" s="30" t="s">
        <v>10</v>
      </c>
      <c r="E487" s="30" t="s">
        <v>18</v>
      </c>
      <c r="F487" s="11">
        <v>505</v>
      </c>
      <c r="G487" s="19">
        <v>5</v>
      </c>
      <c r="H487" s="30" t="s">
        <v>26</v>
      </c>
      <c r="I487" s="21" t="s">
        <v>32</v>
      </c>
      <c r="J487" s="21" t="s">
        <v>138</v>
      </c>
      <c r="K487" s="30" t="s">
        <v>90</v>
      </c>
      <c r="L487" s="35">
        <v>25</v>
      </c>
      <c r="M487" s="22">
        <v>48.73</v>
      </c>
      <c r="N487" s="44">
        <v>44393</v>
      </c>
      <c r="O487" s="30" t="s">
        <v>115</v>
      </c>
    </row>
    <row r="488" spans="2:15" s="30" customFormat="1" ht="30" hidden="1" customHeight="1" x14ac:dyDescent="0.25">
      <c r="B488" s="30" t="s">
        <v>165</v>
      </c>
      <c r="C488" s="30" t="s">
        <v>6</v>
      </c>
      <c r="D488" s="30" t="s">
        <v>10</v>
      </c>
      <c r="E488" s="30" t="s">
        <v>18</v>
      </c>
      <c r="F488" s="11">
        <v>506</v>
      </c>
      <c r="G488" s="19">
        <v>5</v>
      </c>
      <c r="H488" s="30" t="s">
        <v>26</v>
      </c>
      <c r="I488" s="21" t="s">
        <v>32</v>
      </c>
      <c r="J488" s="21" t="s">
        <v>138</v>
      </c>
      <c r="K488" s="30" t="s">
        <v>90</v>
      </c>
      <c r="L488" s="35">
        <v>25</v>
      </c>
      <c r="M488" s="22">
        <v>48.64</v>
      </c>
      <c r="N488" s="44">
        <v>44393</v>
      </c>
      <c r="O488" s="30" t="s">
        <v>115</v>
      </c>
    </row>
    <row r="489" spans="2:15" s="30" customFormat="1" ht="30" hidden="1" x14ac:dyDescent="0.25">
      <c r="B489" s="30" t="s">
        <v>165</v>
      </c>
      <c r="C489" s="30" t="s">
        <v>6</v>
      </c>
      <c r="D489" s="30" t="s">
        <v>10</v>
      </c>
      <c r="E489" s="30" t="s">
        <v>18</v>
      </c>
      <c r="F489" s="11">
        <v>507</v>
      </c>
      <c r="G489" s="19">
        <v>5</v>
      </c>
      <c r="H489" s="30" t="s">
        <v>26</v>
      </c>
      <c r="I489" s="21" t="s">
        <v>32</v>
      </c>
      <c r="J489" s="21" t="s">
        <v>138</v>
      </c>
      <c r="K489" s="30" t="s">
        <v>90</v>
      </c>
      <c r="L489" s="35">
        <v>25</v>
      </c>
      <c r="M489" s="22">
        <v>47.38</v>
      </c>
      <c r="N489" s="44">
        <v>44393</v>
      </c>
      <c r="O489" s="30" t="s">
        <v>115</v>
      </c>
    </row>
    <row r="490" spans="2:15" s="30" customFormat="1" ht="28.5" hidden="1" customHeight="1" x14ac:dyDescent="0.25">
      <c r="B490" s="30" t="s">
        <v>165</v>
      </c>
      <c r="C490" s="30" t="s">
        <v>6</v>
      </c>
      <c r="D490" s="30" t="s">
        <v>10</v>
      </c>
      <c r="E490" s="30" t="s">
        <v>18</v>
      </c>
      <c r="F490" s="11">
        <v>508</v>
      </c>
      <c r="G490" s="19">
        <v>5</v>
      </c>
      <c r="H490" s="30" t="s">
        <v>26</v>
      </c>
      <c r="I490" s="21" t="s">
        <v>32</v>
      </c>
      <c r="J490" s="21" t="s">
        <v>138</v>
      </c>
      <c r="K490" s="30" t="s">
        <v>90</v>
      </c>
      <c r="L490" s="35">
        <v>26</v>
      </c>
      <c r="M490" s="22">
        <v>51.77</v>
      </c>
      <c r="N490" s="44">
        <v>44393</v>
      </c>
      <c r="O490" s="30" t="s">
        <v>115</v>
      </c>
    </row>
    <row r="491" spans="2:15" s="30" customFormat="1" ht="28.5" hidden="1" customHeight="1" x14ac:dyDescent="0.25">
      <c r="B491" s="30" t="s">
        <v>165</v>
      </c>
      <c r="C491" s="30" t="s">
        <v>6</v>
      </c>
      <c r="D491" s="30" t="s">
        <v>10</v>
      </c>
      <c r="E491" s="30" t="s">
        <v>18</v>
      </c>
      <c r="F491" s="11">
        <v>509</v>
      </c>
      <c r="G491" s="19">
        <v>5</v>
      </c>
      <c r="H491" s="30" t="s">
        <v>26</v>
      </c>
      <c r="I491" s="21" t="s">
        <v>32</v>
      </c>
      <c r="J491" s="21" t="s">
        <v>138</v>
      </c>
      <c r="K491" s="30" t="s">
        <v>90</v>
      </c>
      <c r="L491" s="35">
        <v>26</v>
      </c>
      <c r="M491" s="22">
        <v>51.27</v>
      </c>
      <c r="N491" s="44">
        <v>44393</v>
      </c>
      <c r="O491" s="30" t="s">
        <v>115</v>
      </c>
    </row>
    <row r="492" spans="2:15" s="30" customFormat="1" ht="15" hidden="1" customHeight="1" x14ac:dyDescent="0.25">
      <c r="B492" s="30" t="s">
        <v>165</v>
      </c>
      <c r="C492" s="30" t="s">
        <v>6</v>
      </c>
      <c r="D492" s="30" t="s">
        <v>10</v>
      </c>
      <c r="E492" s="30" t="s">
        <v>18</v>
      </c>
      <c r="F492" s="11">
        <v>510</v>
      </c>
      <c r="G492" s="19">
        <v>5</v>
      </c>
      <c r="H492" s="30" t="s">
        <v>26</v>
      </c>
      <c r="I492" s="21" t="s">
        <v>32</v>
      </c>
      <c r="J492" s="21" t="s">
        <v>138</v>
      </c>
      <c r="K492" s="30" t="s">
        <v>90</v>
      </c>
      <c r="L492" s="35">
        <v>25</v>
      </c>
      <c r="M492" s="22">
        <v>47.05</v>
      </c>
      <c r="N492" s="44">
        <v>44393</v>
      </c>
      <c r="O492" s="30" t="s">
        <v>115</v>
      </c>
    </row>
    <row r="493" spans="2:15" s="30" customFormat="1" ht="15" hidden="1" customHeight="1" x14ac:dyDescent="0.25">
      <c r="B493" s="30" t="s">
        <v>165</v>
      </c>
      <c r="C493" s="30" t="s">
        <v>6</v>
      </c>
      <c r="D493" s="30" t="s">
        <v>10</v>
      </c>
      <c r="E493" s="30" t="s">
        <v>18</v>
      </c>
      <c r="F493" s="11">
        <v>511</v>
      </c>
      <c r="G493" s="19">
        <v>5</v>
      </c>
      <c r="H493" s="30" t="s">
        <v>26</v>
      </c>
      <c r="I493" s="21" t="s">
        <v>32</v>
      </c>
      <c r="J493" s="21" t="s">
        <v>138</v>
      </c>
      <c r="K493" s="30" t="s">
        <v>90</v>
      </c>
      <c r="L493" s="35">
        <v>25</v>
      </c>
      <c r="M493" s="22">
        <v>43.98</v>
      </c>
      <c r="N493" s="44">
        <v>44393</v>
      </c>
      <c r="O493" s="30" t="s">
        <v>115</v>
      </c>
    </row>
    <row r="494" spans="2:15" s="30" customFormat="1" ht="26.25" hidden="1" customHeight="1" x14ac:dyDescent="0.25">
      <c r="B494" s="30" t="s">
        <v>165</v>
      </c>
      <c r="C494" s="30" t="s">
        <v>6</v>
      </c>
      <c r="D494" s="30" t="s">
        <v>10</v>
      </c>
      <c r="E494" s="30" t="s">
        <v>18</v>
      </c>
      <c r="F494" s="11">
        <v>512</v>
      </c>
      <c r="G494" s="19">
        <v>5</v>
      </c>
      <c r="H494" s="30" t="s">
        <v>26</v>
      </c>
      <c r="I494" s="21" t="s">
        <v>32</v>
      </c>
      <c r="J494" s="21" t="s">
        <v>138</v>
      </c>
      <c r="K494" s="30" t="s">
        <v>90</v>
      </c>
      <c r="L494" s="35">
        <v>25</v>
      </c>
      <c r="M494" s="22">
        <v>44.63</v>
      </c>
      <c r="N494" s="44">
        <v>44393</v>
      </c>
      <c r="O494" s="30" t="s">
        <v>115</v>
      </c>
    </row>
    <row r="495" spans="2:15" s="30" customFormat="1" ht="15" hidden="1" customHeight="1" x14ac:dyDescent="0.25">
      <c r="B495" s="30" t="s">
        <v>165</v>
      </c>
      <c r="C495" s="30" t="s">
        <v>6</v>
      </c>
      <c r="D495" s="30" t="s">
        <v>10</v>
      </c>
      <c r="E495" s="30" t="s">
        <v>18</v>
      </c>
      <c r="F495" s="11">
        <v>513</v>
      </c>
      <c r="G495" s="19">
        <v>5</v>
      </c>
      <c r="H495" s="30" t="s">
        <v>26</v>
      </c>
      <c r="I495" s="21" t="s">
        <v>32</v>
      </c>
      <c r="J495" s="21" t="s">
        <v>138</v>
      </c>
      <c r="K495" s="30" t="s">
        <v>90</v>
      </c>
      <c r="L495" s="35">
        <v>20</v>
      </c>
      <c r="M495" s="22">
        <v>40.340000000000003</v>
      </c>
      <c r="N495" s="44">
        <v>44393</v>
      </c>
      <c r="O495" s="30" t="s">
        <v>115</v>
      </c>
    </row>
    <row r="496" spans="2:15" s="30" customFormat="1" ht="26.25" hidden="1" customHeight="1" x14ac:dyDescent="0.25">
      <c r="B496" s="30" t="s">
        <v>165</v>
      </c>
      <c r="C496" s="30" t="s">
        <v>6</v>
      </c>
      <c r="D496" s="30" t="s">
        <v>10</v>
      </c>
      <c r="E496" s="30" t="s">
        <v>18</v>
      </c>
      <c r="F496" s="11">
        <v>514</v>
      </c>
      <c r="G496" s="19">
        <v>5</v>
      </c>
      <c r="H496" s="30" t="s">
        <v>26</v>
      </c>
      <c r="I496" s="21" t="s">
        <v>32</v>
      </c>
      <c r="J496" s="21" t="s">
        <v>138</v>
      </c>
      <c r="K496" s="30" t="s">
        <v>90</v>
      </c>
      <c r="L496" s="35">
        <v>19</v>
      </c>
      <c r="M496" s="22">
        <v>38.450000000000003</v>
      </c>
      <c r="N496" s="44">
        <v>44393</v>
      </c>
      <c r="O496" s="30" t="s">
        <v>115</v>
      </c>
    </row>
    <row r="497" spans="2:15" s="30" customFormat="1" ht="15" hidden="1" customHeight="1" x14ac:dyDescent="0.25">
      <c r="B497" s="30" t="s">
        <v>165</v>
      </c>
      <c r="C497" s="30" t="s">
        <v>6</v>
      </c>
      <c r="D497" s="30" t="s">
        <v>10</v>
      </c>
      <c r="E497" s="30" t="s">
        <v>18</v>
      </c>
      <c r="F497" s="11">
        <v>515</v>
      </c>
      <c r="G497" s="19">
        <v>5</v>
      </c>
      <c r="H497" s="30" t="s">
        <v>26</v>
      </c>
      <c r="I497" s="21" t="s">
        <v>32</v>
      </c>
      <c r="J497" s="21" t="s">
        <v>138</v>
      </c>
      <c r="K497" s="30" t="s">
        <v>90</v>
      </c>
      <c r="L497" s="35">
        <v>19</v>
      </c>
      <c r="M497" s="22">
        <v>37.46</v>
      </c>
      <c r="N497" s="44">
        <v>44393</v>
      </c>
      <c r="O497" s="30" t="s">
        <v>115</v>
      </c>
    </row>
    <row r="498" spans="2:15" s="30" customFormat="1" ht="15" hidden="1" customHeight="1" x14ac:dyDescent="0.25">
      <c r="B498" s="30" t="s">
        <v>165</v>
      </c>
      <c r="C498" s="30" t="s">
        <v>6</v>
      </c>
      <c r="D498" s="30" t="s">
        <v>10</v>
      </c>
      <c r="E498" s="30" t="s">
        <v>18</v>
      </c>
      <c r="F498" s="11">
        <v>516</v>
      </c>
      <c r="G498" s="19">
        <v>5</v>
      </c>
      <c r="H498" s="30" t="s">
        <v>26</v>
      </c>
      <c r="I498" s="21" t="s">
        <v>32</v>
      </c>
      <c r="J498" s="21" t="s">
        <v>138</v>
      </c>
      <c r="K498" s="30" t="s">
        <v>90</v>
      </c>
      <c r="L498" s="35">
        <v>25</v>
      </c>
      <c r="M498" s="22">
        <v>44.43</v>
      </c>
      <c r="N498" s="44">
        <v>44393</v>
      </c>
      <c r="O498" s="30" t="s">
        <v>115</v>
      </c>
    </row>
    <row r="499" spans="2:15" s="30" customFormat="1" ht="26.25" customHeight="1" x14ac:dyDescent="0.25">
      <c r="B499" s="30" t="s">
        <v>170</v>
      </c>
      <c r="C499" s="30" t="s">
        <v>6</v>
      </c>
      <c r="D499" s="30" t="s">
        <v>10</v>
      </c>
      <c r="E499" s="30" t="s">
        <v>18</v>
      </c>
      <c r="F499" s="11"/>
      <c r="G499" s="19">
        <v>5</v>
      </c>
      <c r="H499" s="30" t="s">
        <v>394</v>
      </c>
      <c r="I499" s="21" t="s">
        <v>68</v>
      </c>
      <c r="J499" s="21" t="s">
        <v>267</v>
      </c>
      <c r="K499" s="30" t="s">
        <v>94</v>
      </c>
      <c r="L499" s="35">
        <v>178</v>
      </c>
      <c r="M499" s="22">
        <v>356.77</v>
      </c>
      <c r="N499" s="44">
        <v>44393</v>
      </c>
      <c r="O499" s="30" t="s">
        <v>114</v>
      </c>
    </row>
    <row r="500" spans="2:15" s="30" customFormat="1" ht="15" customHeight="1" x14ac:dyDescent="0.25">
      <c r="B500" s="30" t="s">
        <v>169</v>
      </c>
      <c r="C500" s="30" t="s">
        <v>6</v>
      </c>
      <c r="D500" s="30" t="s">
        <v>10</v>
      </c>
      <c r="E500" s="30" t="s">
        <v>18</v>
      </c>
      <c r="F500" s="11"/>
      <c r="G500" s="19">
        <v>5</v>
      </c>
      <c r="H500" s="30" t="s">
        <v>399</v>
      </c>
      <c r="I500" s="21" t="s">
        <v>68</v>
      </c>
      <c r="J500" s="21" t="s">
        <v>289</v>
      </c>
      <c r="K500" s="30" t="s">
        <v>94</v>
      </c>
      <c r="L500" s="35">
        <v>2</v>
      </c>
      <c r="M500" s="22">
        <v>15.82</v>
      </c>
      <c r="N500" s="44">
        <v>44393</v>
      </c>
      <c r="O500" s="30" t="s">
        <v>114</v>
      </c>
    </row>
    <row r="501" spans="2:15" s="30" customFormat="1" ht="15" customHeight="1" x14ac:dyDescent="0.25">
      <c r="B501" s="30" t="s">
        <v>169</v>
      </c>
      <c r="C501" s="30" t="s">
        <v>6</v>
      </c>
      <c r="D501" s="30" t="s">
        <v>10</v>
      </c>
      <c r="E501" s="30" t="s">
        <v>18</v>
      </c>
      <c r="F501" s="11"/>
      <c r="G501" s="19">
        <v>5</v>
      </c>
      <c r="H501" s="30" t="s">
        <v>399</v>
      </c>
      <c r="I501" s="21" t="s">
        <v>68</v>
      </c>
      <c r="J501" s="21" t="s">
        <v>290</v>
      </c>
      <c r="K501" s="30" t="s">
        <v>94</v>
      </c>
      <c r="L501" s="35">
        <v>7</v>
      </c>
      <c r="M501" s="22">
        <v>20.440000000000001</v>
      </c>
      <c r="N501" s="44">
        <v>44393</v>
      </c>
      <c r="O501" s="30" t="s">
        <v>114</v>
      </c>
    </row>
    <row r="502" spans="2:15" s="30" customFormat="1" ht="15" hidden="1" customHeight="1" x14ac:dyDescent="0.25">
      <c r="B502" s="30" t="s">
        <v>169</v>
      </c>
      <c r="C502" s="30" t="s">
        <v>6</v>
      </c>
      <c r="D502" s="30" t="s">
        <v>10</v>
      </c>
      <c r="E502" s="30" t="s">
        <v>18</v>
      </c>
      <c r="F502" s="11"/>
      <c r="G502" s="19">
        <v>5</v>
      </c>
      <c r="H502" s="30" t="s">
        <v>399</v>
      </c>
      <c r="I502" s="21" t="s">
        <v>68</v>
      </c>
      <c r="J502" s="21" t="s">
        <v>291</v>
      </c>
      <c r="K502" s="30" t="s">
        <v>94</v>
      </c>
      <c r="L502" s="35">
        <v>1</v>
      </c>
      <c r="M502" s="22">
        <v>3.75</v>
      </c>
      <c r="N502" s="44">
        <v>44393</v>
      </c>
      <c r="O502" s="30" t="s">
        <v>115</v>
      </c>
    </row>
    <row r="503" spans="2:15" s="30" customFormat="1" ht="15" hidden="1" customHeight="1" x14ac:dyDescent="0.25">
      <c r="B503" s="30" t="s">
        <v>168</v>
      </c>
      <c r="C503" s="30" t="s">
        <v>6</v>
      </c>
      <c r="D503" s="30" t="s">
        <v>10</v>
      </c>
      <c r="E503" s="30" t="s">
        <v>18</v>
      </c>
      <c r="F503" s="11"/>
      <c r="G503" s="19">
        <v>5</v>
      </c>
      <c r="H503" s="30" t="s">
        <v>389</v>
      </c>
      <c r="I503" s="21" t="s">
        <v>68</v>
      </c>
      <c r="J503" s="21" t="s">
        <v>359</v>
      </c>
      <c r="K503" s="30" t="s">
        <v>94</v>
      </c>
      <c r="L503" s="35">
        <v>0</v>
      </c>
      <c r="M503" s="22">
        <v>1.37</v>
      </c>
      <c r="N503" s="44">
        <v>44393</v>
      </c>
      <c r="O503" s="30" t="s">
        <v>115</v>
      </c>
    </row>
    <row r="504" spans="2:15" s="30" customFormat="1" ht="15" hidden="1" customHeight="1" x14ac:dyDescent="0.25">
      <c r="B504" s="30" t="s">
        <v>168</v>
      </c>
      <c r="C504" s="30" t="s">
        <v>6</v>
      </c>
      <c r="D504" s="30" t="s">
        <v>10</v>
      </c>
      <c r="E504" s="30" t="s">
        <v>18</v>
      </c>
      <c r="F504" s="11"/>
      <c r="G504" s="19">
        <v>5</v>
      </c>
      <c r="H504" s="30" t="s">
        <v>389</v>
      </c>
      <c r="I504" s="21" t="s">
        <v>68</v>
      </c>
      <c r="J504" s="21" t="s">
        <v>358</v>
      </c>
      <c r="K504" s="30" t="s">
        <v>94</v>
      </c>
      <c r="L504" s="35">
        <v>0</v>
      </c>
      <c r="M504" s="22">
        <v>1.74</v>
      </c>
      <c r="N504" s="44">
        <v>44393</v>
      </c>
      <c r="O504" s="30" t="s">
        <v>115</v>
      </c>
    </row>
    <row r="505" spans="2:15" s="30" customFormat="1" ht="29.25" hidden="1" customHeight="1" x14ac:dyDescent="0.25">
      <c r="B505" s="30" t="s">
        <v>168</v>
      </c>
      <c r="C505" s="30" t="s">
        <v>6</v>
      </c>
      <c r="D505" s="30" t="s">
        <v>10</v>
      </c>
      <c r="E505" s="30" t="s">
        <v>18</v>
      </c>
      <c r="F505" s="11"/>
      <c r="G505" s="19">
        <v>5</v>
      </c>
      <c r="H505" s="30" t="s">
        <v>390</v>
      </c>
      <c r="I505" s="21" t="s">
        <v>35</v>
      </c>
      <c r="J505" s="21" t="s">
        <v>353</v>
      </c>
      <c r="K505" s="30" t="s">
        <v>94</v>
      </c>
      <c r="L505" s="35">
        <v>0</v>
      </c>
      <c r="M505" s="22">
        <v>2.04</v>
      </c>
      <c r="N505" s="44">
        <v>44393</v>
      </c>
      <c r="O505" s="30" t="s">
        <v>115</v>
      </c>
    </row>
    <row r="506" spans="2:15" s="30" customFormat="1" ht="30.75" customHeight="1" x14ac:dyDescent="0.25">
      <c r="B506" s="30" t="s">
        <v>170</v>
      </c>
      <c r="C506" s="30" t="s">
        <v>6</v>
      </c>
      <c r="D506" s="30" t="s">
        <v>10</v>
      </c>
      <c r="E506" s="30" t="s">
        <v>18</v>
      </c>
      <c r="F506" s="11"/>
      <c r="G506" s="30">
        <v>5</v>
      </c>
      <c r="H506" s="30" t="s">
        <v>394</v>
      </c>
      <c r="I506" s="21" t="s">
        <v>35</v>
      </c>
      <c r="J506" s="21" t="s">
        <v>513</v>
      </c>
      <c r="K506" s="21" t="s">
        <v>107</v>
      </c>
      <c r="L506" s="35">
        <v>0</v>
      </c>
      <c r="M506" s="34">
        <v>17.82</v>
      </c>
      <c r="N506" s="44">
        <v>44393</v>
      </c>
      <c r="O506" s="30" t="s">
        <v>114</v>
      </c>
    </row>
    <row r="507" spans="2:15" s="30" customFormat="1" ht="30.75" customHeight="1" x14ac:dyDescent="0.25">
      <c r="B507" s="30" t="s">
        <v>170</v>
      </c>
      <c r="C507" s="30" t="s">
        <v>6</v>
      </c>
      <c r="D507" s="30" t="s">
        <v>10</v>
      </c>
      <c r="E507" s="30" t="s">
        <v>18</v>
      </c>
      <c r="F507" s="11"/>
      <c r="G507" s="19">
        <v>5</v>
      </c>
      <c r="H507" s="30" t="s">
        <v>394</v>
      </c>
      <c r="I507" s="21" t="s">
        <v>35</v>
      </c>
      <c r="J507" s="21" t="s">
        <v>514</v>
      </c>
      <c r="K507" s="21" t="s">
        <v>107</v>
      </c>
      <c r="L507" s="35">
        <v>0</v>
      </c>
      <c r="M507" s="34">
        <v>15.38</v>
      </c>
      <c r="N507" s="44">
        <v>44393</v>
      </c>
      <c r="O507" s="30" t="s">
        <v>114</v>
      </c>
    </row>
    <row r="508" spans="2:15" s="30" customFormat="1" ht="29.25" hidden="1" customHeight="1" x14ac:dyDescent="0.25">
      <c r="B508" s="30" t="s">
        <v>168</v>
      </c>
      <c r="C508" s="30" t="s">
        <v>6</v>
      </c>
      <c r="D508" s="30" t="s">
        <v>10</v>
      </c>
      <c r="E508" s="30" t="s">
        <v>18</v>
      </c>
      <c r="F508" s="11"/>
      <c r="G508" s="19">
        <v>5</v>
      </c>
      <c r="H508" s="30" t="s">
        <v>390</v>
      </c>
      <c r="I508" s="21" t="s">
        <v>38</v>
      </c>
      <c r="J508" s="21" t="s">
        <v>292</v>
      </c>
      <c r="K508" s="30" t="s">
        <v>94</v>
      </c>
      <c r="L508" s="35">
        <v>0</v>
      </c>
      <c r="M508" s="22">
        <v>8.74</v>
      </c>
      <c r="N508" s="44">
        <v>44393</v>
      </c>
      <c r="O508" s="30" t="s">
        <v>115</v>
      </c>
    </row>
    <row r="509" spans="2:15" s="30" customFormat="1" ht="28.15" hidden="1" customHeight="1" x14ac:dyDescent="0.25">
      <c r="B509" s="30" t="s">
        <v>165</v>
      </c>
      <c r="C509" s="30" t="s">
        <v>6</v>
      </c>
      <c r="D509" s="30" t="s">
        <v>10</v>
      </c>
      <c r="E509" s="30" t="s">
        <v>18</v>
      </c>
      <c r="F509" s="11">
        <v>601</v>
      </c>
      <c r="G509" s="19">
        <v>6</v>
      </c>
      <c r="H509" s="30" t="s">
        <v>26</v>
      </c>
      <c r="I509" s="21" t="s">
        <v>32</v>
      </c>
      <c r="J509" s="21" t="s">
        <v>138</v>
      </c>
      <c r="K509" s="30" t="s">
        <v>90</v>
      </c>
      <c r="L509" s="35">
        <v>25</v>
      </c>
      <c r="M509" s="22">
        <v>47.9</v>
      </c>
      <c r="N509" s="44">
        <v>44393</v>
      </c>
      <c r="O509" s="30" t="s">
        <v>115</v>
      </c>
    </row>
    <row r="510" spans="2:15" s="30" customFormat="1" ht="30" hidden="1" customHeight="1" x14ac:dyDescent="0.25">
      <c r="B510" s="30" t="s">
        <v>165</v>
      </c>
      <c r="C510" s="30" t="s">
        <v>6</v>
      </c>
      <c r="D510" s="30" t="s">
        <v>10</v>
      </c>
      <c r="E510" s="30" t="s">
        <v>18</v>
      </c>
      <c r="F510" s="11">
        <v>602</v>
      </c>
      <c r="G510" s="19">
        <v>6</v>
      </c>
      <c r="H510" s="30" t="s">
        <v>26</v>
      </c>
      <c r="I510" s="21" t="s">
        <v>32</v>
      </c>
      <c r="J510" s="21" t="s">
        <v>138</v>
      </c>
      <c r="K510" s="30" t="s">
        <v>90</v>
      </c>
      <c r="L510" s="35">
        <v>25</v>
      </c>
      <c r="M510" s="22">
        <v>42</v>
      </c>
      <c r="N510" s="44">
        <v>44393</v>
      </c>
      <c r="O510" s="30" t="s">
        <v>115</v>
      </c>
    </row>
    <row r="511" spans="2:15" s="30" customFormat="1" ht="27" hidden="1" customHeight="1" x14ac:dyDescent="0.25">
      <c r="B511" s="30" t="s">
        <v>165</v>
      </c>
      <c r="C511" s="30" t="s">
        <v>6</v>
      </c>
      <c r="D511" s="30" t="s">
        <v>10</v>
      </c>
      <c r="E511" s="30" t="s">
        <v>18</v>
      </c>
      <c r="F511" s="11">
        <v>603</v>
      </c>
      <c r="G511" s="19">
        <v>6</v>
      </c>
      <c r="H511" s="30" t="s">
        <v>26</v>
      </c>
      <c r="I511" s="21" t="s">
        <v>32</v>
      </c>
      <c r="J511" s="21" t="s">
        <v>138</v>
      </c>
      <c r="K511" s="30" t="s">
        <v>90</v>
      </c>
      <c r="L511" s="35">
        <v>25</v>
      </c>
      <c r="M511" s="22">
        <v>48.73</v>
      </c>
      <c r="N511" s="44">
        <v>44393</v>
      </c>
      <c r="O511" s="30" t="s">
        <v>115</v>
      </c>
    </row>
    <row r="512" spans="2:15" s="30" customFormat="1" ht="29.25" hidden="1" customHeight="1" x14ac:dyDescent="0.25">
      <c r="B512" s="30" t="s">
        <v>165</v>
      </c>
      <c r="C512" s="30" t="s">
        <v>6</v>
      </c>
      <c r="D512" s="30" t="s">
        <v>10</v>
      </c>
      <c r="E512" s="30" t="s">
        <v>18</v>
      </c>
      <c r="F512" s="11">
        <v>604</v>
      </c>
      <c r="G512" s="19">
        <v>6</v>
      </c>
      <c r="H512" s="30" t="s">
        <v>26</v>
      </c>
      <c r="I512" s="21" t="s">
        <v>32</v>
      </c>
      <c r="J512" s="21" t="s">
        <v>138</v>
      </c>
      <c r="K512" s="30" t="s">
        <v>90</v>
      </c>
      <c r="L512" s="35">
        <v>25</v>
      </c>
      <c r="M512" s="22">
        <v>48.81</v>
      </c>
      <c r="N512" s="44">
        <v>44393</v>
      </c>
      <c r="O512" s="30" t="s">
        <v>115</v>
      </c>
    </row>
    <row r="513" spans="1:15" s="30" customFormat="1" ht="15" hidden="1" customHeight="1" x14ac:dyDescent="0.25">
      <c r="B513" s="30" t="s">
        <v>165</v>
      </c>
      <c r="C513" s="30" t="s">
        <v>6</v>
      </c>
      <c r="D513" s="30" t="s">
        <v>10</v>
      </c>
      <c r="E513" s="30" t="s">
        <v>18</v>
      </c>
      <c r="F513" s="11">
        <v>605</v>
      </c>
      <c r="G513" s="19">
        <v>6</v>
      </c>
      <c r="H513" s="30" t="s">
        <v>26</v>
      </c>
      <c r="I513" s="21" t="s">
        <v>32</v>
      </c>
      <c r="J513" s="21" t="s">
        <v>138</v>
      </c>
      <c r="K513" s="30" t="s">
        <v>90</v>
      </c>
      <c r="L513" s="35">
        <v>25</v>
      </c>
      <c r="M513" s="22">
        <v>48.73</v>
      </c>
      <c r="N513" s="44">
        <v>44393</v>
      </c>
      <c r="O513" s="30" t="s">
        <v>115</v>
      </c>
    </row>
    <row r="514" spans="1:15" s="30" customFormat="1" ht="15" hidden="1" customHeight="1" x14ac:dyDescent="0.25">
      <c r="B514" s="30" t="s">
        <v>165</v>
      </c>
      <c r="C514" s="30" t="s">
        <v>6</v>
      </c>
      <c r="D514" s="30" t="s">
        <v>10</v>
      </c>
      <c r="E514" s="30" t="s">
        <v>18</v>
      </c>
      <c r="F514" s="11">
        <v>606</v>
      </c>
      <c r="G514" s="19">
        <v>6</v>
      </c>
      <c r="H514" s="30" t="s">
        <v>26</v>
      </c>
      <c r="I514" s="21" t="s">
        <v>32</v>
      </c>
      <c r="J514" s="21" t="s">
        <v>138</v>
      </c>
      <c r="K514" s="30" t="s">
        <v>90</v>
      </c>
      <c r="L514" s="35">
        <v>25</v>
      </c>
      <c r="M514" s="22">
        <v>48.64</v>
      </c>
      <c r="N514" s="44">
        <v>44393</v>
      </c>
      <c r="O514" s="30" t="s">
        <v>115</v>
      </c>
    </row>
    <row r="515" spans="1:15" s="30" customFormat="1" ht="15" hidden="1" customHeight="1" x14ac:dyDescent="0.25">
      <c r="B515" s="30" t="s">
        <v>165</v>
      </c>
      <c r="C515" s="30" t="s">
        <v>6</v>
      </c>
      <c r="D515" s="30" t="s">
        <v>10</v>
      </c>
      <c r="E515" s="30" t="s">
        <v>18</v>
      </c>
      <c r="F515" s="11">
        <v>607</v>
      </c>
      <c r="G515" s="19">
        <v>6</v>
      </c>
      <c r="H515" s="30" t="s">
        <v>26</v>
      </c>
      <c r="I515" s="21" t="s">
        <v>32</v>
      </c>
      <c r="J515" s="21" t="s">
        <v>138</v>
      </c>
      <c r="K515" s="30" t="s">
        <v>90</v>
      </c>
      <c r="L515" s="35">
        <v>25</v>
      </c>
      <c r="M515" s="22">
        <v>47.38</v>
      </c>
      <c r="N515" s="44">
        <v>44393</v>
      </c>
      <c r="O515" s="30" t="s">
        <v>115</v>
      </c>
    </row>
    <row r="516" spans="1:15" s="30" customFormat="1" ht="15" hidden="1" customHeight="1" x14ac:dyDescent="0.25">
      <c r="B516" s="30" t="s">
        <v>165</v>
      </c>
      <c r="C516" s="30" t="s">
        <v>6</v>
      </c>
      <c r="D516" s="30" t="s">
        <v>10</v>
      </c>
      <c r="E516" s="30" t="s">
        <v>18</v>
      </c>
      <c r="F516" s="11">
        <v>608</v>
      </c>
      <c r="G516" s="19">
        <v>6</v>
      </c>
      <c r="H516" s="30" t="s">
        <v>26</v>
      </c>
      <c r="I516" s="21" t="s">
        <v>32</v>
      </c>
      <c r="J516" s="21" t="s">
        <v>138</v>
      </c>
      <c r="K516" s="30" t="s">
        <v>90</v>
      </c>
      <c r="L516" s="35">
        <v>26</v>
      </c>
      <c r="M516" s="22">
        <v>51.77</v>
      </c>
      <c r="N516" s="44">
        <v>44393</v>
      </c>
      <c r="O516" s="30" t="s">
        <v>115</v>
      </c>
    </row>
    <row r="517" spans="1:15" s="30" customFormat="1" ht="15" hidden="1" customHeight="1" x14ac:dyDescent="0.25">
      <c r="B517" s="30" t="s">
        <v>165</v>
      </c>
      <c r="C517" s="30" t="s">
        <v>6</v>
      </c>
      <c r="D517" s="30" t="s">
        <v>10</v>
      </c>
      <c r="E517" s="30" t="s">
        <v>18</v>
      </c>
      <c r="F517" s="11">
        <v>609</v>
      </c>
      <c r="G517" s="19">
        <v>6</v>
      </c>
      <c r="H517" s="30" t="s">
        <v>26</v>
      </c>
      <c r="I517" s="21" t="s">
        <v>32</v>
      </c>
      <c r="J517" s="21" t="s">
        <v>138</v>
      </c>
      <c r="K517" s="30" t="s">
        <v>90</v>
      </c>
      <c r="L517" s="35">
        <v>26</v>
      </c>
      <c r="M517" s="22">
        <v>51.27</v>
      </c>
      <c r="N517" s="44">
        <v>44393</v>
      </c>
      <c r="O517" s="30" t="s">
        <v>115</v>
      </c>
    </row>
    <row r="518" spans="1:15" s="30" customFormat="1" ht="15" hidden="1" customHeight="1" x14ac:dyDescent="0.25">
      <c r="B518" s="30" t="s">
        <v>165</v>
      </c>
      <c r="C518" s="30" t="s">
        <v>6</v>
      </c>
      <c r="D518" s="30" t="s">
        <v>10</v>
      </c>
      <c r="E518" s="30" t="s">
        <v>18</v>
      </c>
      <c r="F518" s="11">
        <v>610</v>
      </c>
      <c r="G518" s="19">
        <v>6</v>
      </c>
      <c r="H518" s="30" t="s">
        <v>26</v>
      </c>
      <c r="I518" s="21" t="s">
        <v>32</v>
      </c>
      <c r="J518" s="21" t="s">
        <v>138</v>
      </c>
      <c r="K518" s="30" t="s">
        <v>90</v>
      </c>
      <c r="L518" s="35">
        <v>25</v>
      </c>
      <c r="M518" s="22">
        <v>47.05</v>
      </c>
      <c r="N518" s="44">
        <v>44393</v>
      </c>
      <c r="O518" s="30" t="s">
        <v>115</v>
      </c>
    </row>
    <row r="519" spans="1:15" s="30" customFormat="1" ht="15" hidden="1" customHeight="1" x14ac:dyDescent="0.25">
      <c r="B519" s="30" t="s">
        <v>165</v>
      </c>
      <c r="C519" s="30" t="s">
        <v>6</v>
      </c>
      <c r="D519" s="30" t="s">
        <v>10</v>
      </c>
      <c r="E519" s="30" t="s">
        <v>18</v>
      </c>
      <c r="F519" s="11">
        <v>611</v>
      </c>
      <c r="G519" s="19">
        <v>6</v>
      </c>
      <c r="H519" s="30" t="s">
        <v>26</v>
      </c>
      <c r="I519" s="21" t="s">
        <v>32</v>
      </c>
      <c r="J519" s="21" t="s">
        <v>138</v>
      </c>
      <c r="K519" s="30" t="s">
        <v>90</v>
      </c>
      <c r="L519" s="35">
        <v>25</v>
      </c>
      <c r="M519" s="22">
        <v>43.98</v>
      </c>
      <c r="N519" s="44">
        <v>44393</v>
      </c>
      <c r="O519" s="30" t="s">
        <v>115</v>
      </c>
    </row>
    <row r="520" spans="1:15" s="30" customFormat="1" ht="15" hidden="1" customHeight="1" x14ac:dyDescent="0.25">
      <c r="B520" s="30" t="s">
        <v>165</v>
      </c>
      <c r="C520" s="30" t="s">
        <v>6</v>
      </c>
      <c r="D520" s="30" t="s">
        <v>10</v>
      </c>
      <c r="E520" s="30" t="s">
        <v>18</v>
      </c>
      <c r="F520" s="11">
        <v>612</v>
      </c>
      <c r="G520" s="19">
        <v>6</v>
      </c>
      <c r="H520" s="30" t="s">
        <v>26</v>
      </c>
      <c r="I520" s="21" t="s">
        <v>32</v>
      </c>
      <c r="J520" s="21" t="s">
        <v>138</v>
      </c>
      <c r="K520" s="30" t="s">
        <v>90</v>
      </c>
      <c r="L520" s="35">
        <v>25</v>
      </c>
      <c r="M520" s="22">
        <v>44.63</v>
      </c>
      <c r="N520" s="44">
        <v>44393</v>
      </c>
      <c r="O520" s="30" t="s">
        <v>115</v>
      </c>
    </row>
    <row r="521" spans="1:15" s="30" customFormat="1" ht="15" hidden="1" customHeight="1" x14ac:dyDescent="0.25">
      <c r="B521" s="30" t="s">
        <v>165</v>
      </c>
      <c r="C521" s="30" t="s">
        <v>6</v>
      </c>
      <c r="D521" s="30" t="s">
        <v>10</v>
      </c>
      <c r="E521" s="30" t="s">
        <v>18</v>
      </c>
      <c r="F521" s="11">
        <v>613</v>
      </c>
      <c r="G521" s="19">
        <v>6</v>
      </c>
      <c r="H521" s="30" t="s">
        <v>26</v>
      </c>
      <c r="I521" s="21" t="s">
        <v>32</v>
      </c>
      <c r="J521" s="21" t="s">
        <v>138</v>
      </c>
      <c r="K521" s="30" t="s">
        <v>90</v>
      </c>
      <c r="L521" s="35">
        <v>20</v>
      </c>
      <c r="M521" s="22">
        <v>40.340000000000003</v>
      </c>
      <c r="N521" s="44">
        <v>44393</v>
      </c>
      <c r="O521" s="30" t="s">
        <v>115</v>
      </c>
    </row>
    <row r="522" spans="1:15" s="30" customFormat="1" ht="15" hidden="1" customHeight="1" x14ac:dyDescent="0.25">
      <c r="B522" s="30" t="s">
        <v>165</v>
      </c>
      <c r="C522" s="30" t="s">
        <v>6</v>
      </c>
      <c r="D522" s="30" t="s">
        <v>10</v>
      </c>
      <c r="E522" s="30" t="s">
        <v>18</v>
      </c>
      <c r="F522" s="11">
        <v>614</v>
      </c>
      <c r="G522" s="19">
        <v>6</v>
      </c>
      <c r="H522" s="30" t="s">
        <v>26</v>
      </c>
      <c r="I522" s="21" t="s">
        <v>32</v>
      </c>
      <c r="J522" s="21" t="s">
        <v>138</v>
      </c>
      <c r="K522" s="30" t="s">
        <v>90</v>
      </c>
      <c r="L522" s="35">
        <v>19</v>
      </c>
      <c r="M522" s="22">
        <v>38.450000000000003</v>
      </c>
      <c r="N522" s="44">
        <v>44393</v>
      </c>
      <c r="O522" s="30" t="s">
        <v>115</v>
      </c>
    </row>
    <row r="523" spans="1:15" s="30" customFormat="1" ht="15" hidden="1" customHeight="1" x14ac:dyDescent="0.25">
      <c r="B523" s="30" t="s">
        <v>165</v>
      </c>
      <c r="C523" s="30" t="s">
        <v>6</v>
      </c>
      <c r="D523" s="30" t="s">
        <v>10</v>
      </c>
      <c r="E523" s="30" t="s">
        <v>18</v>
      </c>
      <c r="F523" s="11">
        <v>615</v>
      </c>
      <c r="G523" s="19">
        <v>6</v>
      </c>
      <c r="H523" s="30" t="s">
        <v>26</v>
      </c>
      <c r="I523" s="21" t="s">
        <v>32</v>
      </c>
      <c r="J523" s="21" t="s">
        <v>138</v>
      </c>
      <c r="K523" s="30" t="s">
        <v>90</v>
      </c>
      <c r="L523" s="35">
        <v>19</v>
      </c>
      <c r="M523" s="22">
        <v>37.46</v>
      </c>
      <c r="N523" s="44">
        <v>44393</v>
      </c>
      <c r="O523" s="30" t="s">
        <v>115</v>
      </c>
    </row>
    <row r="524" spans="1:15" s="30" customFormat="1" ht="15" hidden="1" customHeight="1" x14ac:dyDescent="0.25">
      <c r="B524" s="30" t="s">
        <v>165</v>
      </c>
      <c r="C524" s="30" t="s">
        <v>6</v>
      </c>
      <c r="D524" s="30" t="s">
        <v>10</v>
      </c>
      <c r="E524" s="30" t="s">
        <v>18</v>
      </c>
      <c r="F524" s="11">
        <v>616</v>
      </c>
      <c r="G524" s="19">
        <v>6</v>
      </c>
      <c r="H524" s="30" t="s">
        <v>26</v>
      </c>
      <c r="I524" s="21" t="s">
        <v>32</v>
      </c>
      <c r="J524" s="21" t="s">
        <v>138</v>
      </c>
      <c r="K524" s="30" t="s">
        <v>90</v>
      </c>
      <c r="L524" s="35">
        <v>25</v>
      </c>
      <c r="M524" s="22">
        <v>44.43</v>
      </c>
      <c r="N524" s="44">
        <v>44393</v>
      </c>
      <c r="O524" s="30" t="s">
        <v>115</v>
      </c>
    </row>
    <row r="525" spans="1:15" s="30" customFormat="1" ht="15" customHeight="1" x14ac:dyDescent="0.25">
      <c r="B525" s="30" t="s">
        <v>170</v>
      </c>
      <c r="C525" s="30" t="s">
        <v>6</v>
      </c>
      <c r="D525" s="30" t="s">
        <v>10</v>
      </c>
      <c r="E525" s="30" t="s">
        <v>18</v>
      </c>
      <c r="F525" s="11"/>
      <c r="G525" s="19">
        <v>6</v>
      </c>
      <c r="H525" s="30" t="s">
        <v>394</v>
      </c>
      <c r="I525" s="21" t="s">
        <v>68</v>
      </c>
      <c r="J525" s="21" t="s">
        <v>272</v>
      </c>
      <c r="K525" s="30" t="s">
        <v>94</v>
      </c>
      <c r="L525" s="35">
        <v>178</v>
      </c>
      <c r="M525" s="22">
        <v>356.77</v>
      </c>
      <c r="N525" s="44">
        <v>44393</v>
      </c>
      <c r="O525" s="30" t="s">
        <v>114</v>
      </c>
    </row>
    <row r="526" spans="1:15" s="30" customFormat="1" ht="15" customHeight="1" x14ac:dyDescent="0.25">
      <c r="B526" s="30" t="s">
        <v>169</v>
      </c>
      <c r="C526" s="30" t="s">
        <v>6</v>
      </c>
      <c r="D526" s="30" t="s">
        <v>10</v>
      </c>
      <c r="E526" s="30" t="s">
        <v>18</v>
      </c>
      <c r="F526" s="11"/>
      <c r="G526" s="19">
        <v>6</v>
      </c>
      <c r="H526" s="30" t="s">
        <v>399</v>
      </c>
      <c r="I526" s="21" t="s">
        <v>68</v>
      </c>
      <c r="J526" s="21" t="s">
        <v>293</v>
      </c>
      <c r="K526" s="30" t="s">
        <v>94</v>
      </c>
      <c r="L526" s="35">
        <v>2</v>
      </c>
      <c r="M526" s="22">
        <v>15.82</v>
      </c>
      <c r="N526" s="44">
        <v>44393</v>
      </c>
      <c r="O526" s="30" t="s">
        <v>114</v>
      </c>
    </row>
    <row r="527" spans="1:15" s="30" customFormat="1" ht="27" customHeight="1" x14ac:dyDescent="0.25">
      <c r="B527" s="30" t="s">
        <v>169</v>
      </c>
      <c r="C527" s="30" t="s">
        <v>6</v>
      </c>
      <c r="D527" s="30" t="s">
        <v>10</v>
      </c>
      <c r="E527" s="30" t="s">
        <v>18</v>
      </c>
      <c r="F527" s="11"/>
      <c r="G527" s="19">
        <v>6</v>
      </c>
      <c r="H527" s="30" t="s">
        <v>399</v>
      </c>
      <c r="I527" s="21" t="s">
        <v>68</v>
      </c>
      <c r="J527" s="21" t="s">
        <v>294</v>
      </c>
      <c r="K527" s="30" t="s">
        <v>94</v>
      </c>
      <c r="L527" s="35">
        <v>7</v>
      </c>
      <c r="M527" s="22">
        <v>20.440000000000001</v>
      </c>
      <c r="N527" s="44">
        <v>44393</v>
      </c>
      <c r="O527" s="30" t="s">
        <v>114</v>
      </c>
    </row>
    <row r="528" spans="1:15" s="43" customFormat="1" ht="15" hidden="1" customHeight="1" x14ac:dyDescent="0.25">
      <c r="A528" s="30"/>
      <c r="B528" s="30" t="s">
        <v>169</v>
      </c>
      <c r="C528" s="30" t="s">
        <v>6</v>
      </c>
      <c r="D528" s="30" t="s">
        <v>10</v>
      </c>
      <c r="E528" s="30" t="s">
        <v>18</v>
      </c>
      <c r="F528" s="11"/>
      <c r="G528" s="19">
        <v>6</v>
      </c>
      <c r="H528" s="30" t="s">
        <v>399</v>
      </c>
      <c r="I528" s="21" t="s">
        <v>68</v>
      </c>
      <c r="J528" s="21" t="s">
        <v>295</v>
      </c>
      <c r="K528" s="30" t="s">
        <v>94</v>
      </c>
      <c r="L528" s="35">
        <v>1</v>
      </c>
      <c r="M528" s="22">
        <v>3.75</v>
      </c>
      <c r="N528" s="44">
        <v>44393</v>
      </c>
      <c r="O528" s="30" t="s">
        <v>115</v>
      </c>
    </row>
    <row r="529" spans="1:15" s="30" customFormat="1" ht="15" hidden="1" customHeight="1" x14ac:dyDescent="0.25">
      <c r="B529" s="30" t="s">
        <v>168</v>
      </c>
      <c r="C529" s="30" t="s">
        <v>6</v>
      </c>
      <c r="D529" s="30" t="s">
        <v>10</v>
      </c>
      <c r="E529" s="30" t="s">
        <v>18</v>
      </c>
      <c r="F529" s="11"/>
      <c r="G529" s="19">
        <v>6</v>
      </c>
      <c r="H529" s="30" t="s">
        <v>389</v>
      </c>
      <c r="I529" s="21" t="s">
        <v>68</v>
      </c>
      <c r="J529" s="21" t="s">
        <v>360</v>
      </c>
      <c r="K529" s="30" t="s">
        <v>94</v>
      </c>
      <c r="L529" s="35">
        <v>0</v>
      </c>
      <c r="M529" s="22">
        <v>1.37</v>
      </c>
      <c r="N529" s="44">
        <v>44393</v>
      </c>
      <c r="O529" s="30" t="s">
        <v>115</v>
      </c>
    </row>
    <row r="530" spans="1:15" s="30" customFormat="1" ht="15" hidden="1" customHeight="1" x14ac:dyDescent="0.25">
      <c r="B530" s="30" t="s">
        <v>168</v>
      </c>
      <c r="C530" s="30" t="s">
        <v>6</v>
      </c>
      <c r="D530" s="30" t="s">
        <v>10</v>
      </c>
      <c r="E530" s="30" t="s">
        <v>18</v>
      </c>
      <c r="F530" s="11"/>
      <c r="G530" s="19">
        <v>6</v>
      </c>
      <c r="H530" s="30" t="s">
        <v>389</v>
      </c>
      <c r="I530" s="21" t="s">
        <v>68</v>
      </c>
      <c r="J530" s="21" t="s">
        <v>382</v>
      </c>
      <c r="K530" s="30" t="s">
        <v>94</v>
      </c>
      <c r="L530" s="35">
        <v>0</v>
      </c>
      <c r="M530" s="22">
        <v>1.74</v>
      </c>
      <c r="N530" s="44">
        <v>44393</v>
      </c>
      <c r="O530" s="30" t="s">
        <v>115</v>
      </c>
    </row>
    <row r="531" spans="1:15" s="30" customFormat="1" ht="15" hidden="1" customHeight="1" x14ac:dyDescent="0.25">
      <c r="B531" s="30" t="s">
        <v>168</v>
      </c>
      <c r="C531" s="30" t="s">
        <v>6</v>
      </c>
      <c r="D531" s="30" t="s">
        <v>10</v>
      </c>
      <c r="E531" s="30" t="s">
        <v>18</v>
      </c>
      <c r="F531" s="11"/>
      <c r="G531" s="19">
        <v>6</v>
      </c>
      <c r="H531" s="30" t="s">
        <v>390</v>
      </c>
      <c r="I531" s="21" t="s">
        <v>38</v>
      </c>
      <c r="J531" s="21" t="s">
        <v>353</v>
      </c>
      <c r="K531" s="30" t="s">
        <v>94</v>
      </c>
      <c r="L531" s="35">
        <v>0</v>
      </c>
      <c r="M531" s="22">
        <v>2.04</v>
      </c>
      <c r="N531" s="44">
        <v>44393</v>
      </c>
      <c r="O531" s="30" t="s">
        <v>115</v>
      </c>
    </row>
    <row r="532" spans="1:15" s="30" customFormat="1" ht="15" hidden="1" customHeight="1" x14ac:dyDescent="0.25">
      <c r="B532" s="30" t="s">
        <v>168</v>
      </c>
      <c r="C532" s="30" t="s">
        <v>6</v>
      </c>
      <c r="D532" s="30" t="s">
        <v>10</v>
      </c>
      <c r="E532" s="30" t="s">
        <v>18</v>
      </c>
      <c r="F532" s="11"/>
      <c r="G532" s="19">
        <v>6</v>
      </c>
      <c r="H532" s="30" t="s">
        <v>390</v>
      </c>
      <c r="I532" s="21" t="s">
        <v>38</v>
      </c>
      <c r="J532" s="21" t="s">
        <v>296</v>
      </c>
      <c r="K532" s="30" t="s">
        <v>94</v>
      </c>
      <c r="L532" s="35">
        <v>0</v>
      </c>
      <c r="M532" s="22">
        <v>8.74</v>
      </c>
      <c r="N532" s="44">
        <v>44393</v>
      </c>
      <c r="O532" s="30" t="s">
        <v>115</v>
      </c>
    </row>
    <row r="533" spans="1:15" s="30" customFormat="1" ht="15" customHeight="1" x14ac:dyDescent="0.25">
      <c r="B533" s="30" t="s">
        <v>165</v>
      </c>
      <c r="C533" s="30" t="s">
        <v>6</v>
      </c>
      <c r="D533" s="30" t="s">
        <v>11</v>
      </c>
      <c r="E533" s="30" t="s">
        <v>16</v>
      </c>
      <c r="F533" s="11"/>
      <c r="G533" s="30">
        <v>1</v>
      </c>
      <c r="H533" s="30" t="s">
        <v>24</v>
      </c>
      <c r="I533" s="21" t="s">
        <v>32</v>
      </c>
      <c r="J533" s="21" t="s">
        <v>247</v>
      </c>
      <c r="K533" s="30" t="s">
        <v>90</v>
      </c>
      <c r="L533" s="32">
        <v>15</v>
      </c>
      <c r="M533" s="22">
        <v>124.89</v>
      </c>
      <c r="N533" s="44"/>
      <c r="O533" s="30" t="s">
        <v>114</v>
      </c>
    </row>
    <row r="534" spans="1:15" s="30" customFormat="1" ht="30" x14ac:dyDescent="0.25">
      <c r="B534" s="30" t="s">
        <v>165</v>
      </c>
      <c r="C534" s="30" t="s">
        <v>6</v>
      </c>
      <c r="D534" s="30" t="s">
        <v>11</v>
      </c>
      <c r="E534" s="30" t="s">
        <v>16</v>
      </c>
      <c r="F534" s="11"/>
      <c r="G534" s="30">
        <v>1</v>
      </c>
      <c r="H534" s="30" t="s">
        <v>24</v>
      </c>
      <c r="I534" s="21" t="s">
        <v>32</v>
      </c>
      <c r="J534" s="21" t="s">
        <v>248</v>
      </c>
      <c r="K534" s="30" t="s">
        <v>90</v>
      </c>
      <c r="L534" s="32">
        <v>10</v>
      </c>
      <c r="M534" s="22">
        <v>33.07</v>
      </c>
      <c r="N534" s="44"/>
      <c r="O534" s="30" t="s">
        <v>114</v>
      </c>
    </row>
    <row r="535" spans="1:15" s="30" customFormat="1" ht="15" hidden="1" customHeight="1" x14ac:dyDescent="0.25">
      <c r="B535" s="30" t="s">
        <v>170</v>
      </c>
      <c r="C535" s="30" t="s">
        <v>6</v>
      </c>
      <c r="D535" s="30" t="s">
        <v>11</v>
      </c>
      <c r="E535" s="30" t="s">
        <v>16</v>
      </c>
      <c r="F535" s="11"/>
      <c r="G535" s="30">
        <v>1</v>
      </c>
      <c r="H535" s="30" t="s">
        <v>190</v>
      </c>
      <c r="I535" s="21" t="s">
        <v>32</v>
      </c>
      <c r="J535" s="21" t="s">
        <v>249</v>
      </c>
      <c r="K535" s="30" t="s">
        <v>107</v>
      </c>
      <c r="L535" s="32">
        <v>0</v>
      </c>
      <c r="M535" s="234">
        <v>4.68</v>
      </c>
      <c r="N535" s="44"/>
      <c r="O535" s="30" t="s">
        <v>115</v>
      </c>
    </row>
    <row r="536" spans="1:15" s="30" customFormat="1" ht="15" customHeight="1" x14ac:dyDescent="0.25">
      <c r="B536" s="30" t="s">
        <v>165</v>
      </c>
      <c r="C536" s="30" t="s">
        <v>6</v>
      </c>
      <c r="D536" s="30" t="s">
        <v>11</v>
      </c>
      <c r="E536" s="30" t="s">
        <v>16</v>
      </c>
      <c r="F536" s="11"/>
      <c r="G536" s="30">
        <v>1</v>
      </c>
      <c r="H536" s="30" t="s">
        <v>24</v>
      </c>
      <c r="I536" s="21" t="s">
        <v>32</v>
      </c>
      <c r="J536" s="21" t="s">
        <v>425</v>
      </c>
      <c r="K536" s="30" t="s">
        <v>90</v>
      </c>
      <c r="L536" s="32">
        <v>30</v>
      </c>
      <c r="M536" s="22">
        <v>91.48</v>
      </c>
      <c r="N536" s="44"/>
      <c r="O536" s="30" t="s">
        <v>114</v>
      </c>
    </row>
    <row r="537" spans="1:15" s="30" customFormat="1" ht="15" customHeight="1" x14ac:dyDescent="0.25">
      <c r="B537" s="30" t="s">
        <v>165</v>
      </c>
      <c r="C537" s="30" t="s">
        <v>6</v>
      </c>
      <c r="D537" s="30" t="s">
        <v>11</v>
      </c>
      <c r="E537" s="30" t="s">
        <v>16</v>
      </c>
      <c r="F537" s="11"/>
      <c r="G537" s="30">
        <v>1</v>
      </c>
      <c r="H537" s="30" t="s">
        <v>24</v>
      </c>
      <c r="I537" s="21" t="s">
        <v>32</v>
      </c>
      <c r="J537" s="21" t="s">
        <v>419</v>
      </c>
      <c r="K537" s="30" t="s">
        <v>90</v>
      </c>
      <c r="L537" s="32">
        <v>5</v>
      </c>
      <c r="M537" s="22">
        <v>24.79</v>
      </c>
      <c r="N537" s="44"/>
      <c r="O537" s="30" t="s">
        <v>114</v>
      </c>
    </row>
    <row r="538" spans="1:15" s="69" customFormat="1" ht="15" customHeight="1" x14ac:dyDescent="0.25">
      <c r="A538" s="30"/>
      <c r="B538" s="30" t="s">
        <v>169</v>
      </c>
      <c r="C538" s="30" t="s">
        <v>6</v>
      </c>
      <c r="D538" s="30" t="s">
        <v>11</v>
      </c>
      <c r="E538" s="30" t="s">
        <v>16</v>
      </c>
      <c r="F538" s="11"/>
      <c r="G538" s="30">
        <v>1</v>
      </c>
      <c r="H538" s="30" t="s">
        <v>391</v>
      </c>
      <c r="I538" s="21" t="s">
        <v>32</v>
      </c>
      <c r="J538" s="21" t="s">
        <v>250</v>
      </c>
      <c r="K538" s="30" t="s">
        <v>90</v>
      </c>
      <c r="L538" s="32">
        <v>10</v>
      </c>
      <c r="M538" s="22">
        <v>24.79</v>
      </c>
      <c r="N538" s="44"/>
      <c r="O538" s="30" t="s">
        <v>114</v>
      </c>
    </row>
    <row r="539" spans="1:15" s="69" customFormat="1" ht="15" hidden="1" customHeight="1" x14ac:dyDescent="0.25">
      <c r="A539" s="30"/>
      <c r="B539" s="30" t="s">
        <v>167</v>
      </c>
      <c r="C539" s="30" t="s">
        <v>6</v>
      </c>
      <c r="D539" s="30" t="s">
        <v>11</v>
      </c>
      <c r="E539" s="30" t="s">
        <v>17</v>
      </c>
      <c r="F539" s="11"/>
      <c r="G539" s="30">
        <v>1</v>
      </c>
      <c r="H539" s="30" t="s">
        <v>22</v>
      </c>
      <c r="I539" s="21" t="s">
        <v>129</v>
      </c>
      <c r="J539" s="21" t="s">
        <v>251</v>
      </c>
      <c r="K539" s="30" t="s">
        <v>107</v>
      </c>
      <c r="L539" s="32">
        <v>1500</v>
      </c>
      <c r="M539" s="22">
        <v>982</v>
      </c>
      <c r="N539" s="44"/>
      <c r="O539" s="30" t="s">
        <v>115</v>
      </c>
    </row>
    <row r="540" spans="1:15" s="30" customFormat="1" ht="15" customHeight="1" x14ac:dyDescent="0.25">
      <c r="B540" s="30" t="s">
        <v>165</v>
      </c>
      <c r="C540" s="30" t="s">
        <v>6</v>
      </c>
      <c r="D540" s="30" t="s">
        <v>11</v>
      </c>
      <c r="E540" s="30" t="s">
        <v>16</v>
      </c>
      <c r="F540" s="11"/>
      <c r="G540" s="30">
        <v>1</v>
      </c>
      <c r="H540" s="30" t="s">
        <v>258</v>
      </c>
      <c r="I540" s="21" t="s">
        <v>69</v>
      </c>
      <c r="J540" s="21" t="s">
        <v>801</v>
      </c>
      <c r="K540" s="30" t="s">
        <v>90</v>
      </c>
      <c r="L540" s="32">
        <v>30</v>
      </c>
      <c r="M540" s="234">
        <v>24.1</v>
      </c>
      <c r="N540" s="44"/>
      <c r="O540" s="30" t="s">
        <v>114</v>
      </c>
    </row>
    <row r="541" spans="1:15" s="30" customFormat="1" ht="15" customHeight="1" x14ac:dyDescent="0.25">
      <c r="B541" s="30" t="s">
        <v>169</v>
      </c>
      <c r="C541" s="30" t="s">
        <v>6</v>
      </c>
      <c r="D541" s="30" t="s">
        <v>10</v>
      </c>
      <c r="E541" s="30" t="s">
        <v>14</v>
      </c>
      <c r="F541" s="11"/>
      <c r="G541" s="30">
        <v>1</v>
      </c>
      <c r="H541" s="30" t="s">
        <v>24</v>
      </c>
      <c r="I541" s="21" t="s">
        <v>32</v>
      </c>
      <c r="J541" s="21" t="s">
        <v>252</v>
      </c>
      <c r="K541" s="30" t="s">
        <v>90</v>
      </c>
      <c r="L541" s="32">
        <v>30</v>
      </c>
      <c r="M541" s="22">
        <v>725.25</v>
      </c>
      <c r="N541" s="44"/>
      <c r="O541" s="30" t="s">
        <v>114</v>
      </c>
    </row>
    <row r="542" spans="1:15" s="30" customFormat="1" ht="15" customHeight="1" x14ac:dyDescent="0.25">
      <c r="B542" s="30" t="s">
        <v>169</v>
      </c>
      <c r="C542" s="30" t="s">
        <v>6</v>
      </c>
      <c r="D542" s="30" t="s">
        <v>11</v>
      </c>
      <c r="E542" s="30" t="s">
        <v>14</v>
      </c>
      <c r="F542" s="11"/>
      <c r="G542" s="30">
        <v>1</v>
      </c>
      <c r="H542" s="30" t="s">
        <v>24</v>
      </c>
      <c r="I542" s="21" t="s">
        <v>32</v>
      </c>
      <c r="J542" s="21" t="s">
        <v>253</v>
      </c>
      <c r="K542" s="30" t="s">
        <v>90</v>
      </c>
      <c r="L542" s="32">
        <v>30</v>
      </c>
      <c r="M542" s="22">
        <v>938.76</v>
      </c>
      <c r="N542" s="44"/>
      <c r="O542" s="30" t="s">
        <v>114</v>
      </c>
    </row>
    <row r="543" spans="1:15" s="30" customFormat="1" ht="15" customHeight="1" x14ac:dyDescent="0.25">
      <c r="B543" s="30" t="s">
        <v>169</v>
      </c>
      <c r="C543" s="30" t="s">
        <v>6</v>
      </c>
      <c r="D543" s="30" t="s">
        <v>11</v>
      </c>
      <c r="E543" s="30" t="s">
        <v>14</v>
      </c>
      <c r="F543" s="11"/>
      <c r="G543" s="30">
        <v>1</v>
      </c>
      <c r="H543" s="30" t="s">
        <v>24</v>
      </c>
      <c r="I543" s="21" t="s">
        <v>32</v>
      </c>
      <c r="J543" s="21" t="s">
        <v>254</v>
      </c>
      <c r="K543" s="30" t="s">
        <v>90</v>
      </c>
      <c r="L543" s="32">
        <v>30</v>
      </c>
      <c r="M543" s="22">
        <v>781.46</v>
      </c>
      <c r="N543" s="44"/>
      <c r="O543" s="30" t="s">
        <v>114</v>
      </c>
    </row>
    <row r="544" spans="1:15" s="30" customFormat="1" ht="15" customHeight="1" x14ac:dyDescent="0.25">
      <c r="B544" s="30" t="s">
        <v>169</v>
      </c>
      <c r="C544" s="30" t="s">
        <v>6</v>
      </c>
      <c r="D544" s="30" t="s">
        <v>11</v>
      </c>
      <c r="E544" s="30" t="s">
        <v>14</v>
      </c>
      <c r="F544" s="11"/>
      <c r="G544" s="30">
        <v>1</v>
      </c>
      <c r="H544" s="30" t="s">
        <v>24</v>
      </c>
      <c r="I544" s="21" t="s">
        <v>32</v>
      </c>
      <c r="J544" s="21" t="s">
        <v>466</v>
      </c>
      <c r="K544" s="30" t="s">
        <v>90</v>
      </c>
      <c r="L544" s="32">
        <v>2</v>
      </c>
      <c r="M544" s="22">
        <v>377.47</v>
      </c>
      <c r="N544" s="44"/>
      <c r="O544" s="30" t="s">
        <v>114</v>
      </c>
    </row>
    <row r="545" spans="1:15" s="30" customFormat="1" ht="15" hidden="1" customHeight="1" x14ac:dyDescent="0.25">
      <c r="B545" s="30" t="s">
        <v>170</v>
      </c>
      <c r="C545" s="30" t="s">
        <v>6</v>
      </c>
      <c r="D545" s="30" t="s">
        <v>11</v>
      </c>
      <c r="E545" s="30" t="s">
        <v>14</v>
      </c>
      <c r="F545" s="11"/>
      <c r="G545" s="30">
        <v>1</v>
      </c>
      <c r="H545" s="30" t="s">
        <v>190</v>
      </c>
      <c r="I545" s="21" t="s">
        <v>32</v>
      </c>
      <c r="J545" s="21" t="s">
        <v>420</v>
      </c>
      <c r="K545" s="30" t="s">
        <v>107</v>
      </c>
      <c r="L545" s="32">
        <v>0</v>
      </c>
      <c r="M545" s="22">
        <v>7.2</v>
      </c>
      <c r="N545" s="44"/>
      <c r="O545" s="30" t="s">
        <v>115</v>
      </c>
    </row>
    <row r="546" spans="1:15" s="30" customFormat="1" ht="28.5" customHeight="1" x14ac:dyDescent="0.25">
      <c r="B546" s="30" t="s">
        <v>170</v>
      </c>
      <c r="C546" s="30" t="s">
        <v>6</v>
      </c>
      <c r="D546" s="30" t="s">
        <v>11</v>
      </c>
      <c r="E546" s="30" t="s">
        <v>14</v>
      </c>
      <c r="F546" s="11"/>
      <c r="G546" s="30">
        <v>1</v>
      </c>
      <c r="H546" s="30" t="s">
        <v>400</v>
      </c>
      <c r="I546" s="21" t="s">
        <v>68</v>
      </c>
      <c r="J546" s="21" t="s">
        <v>467</v>
      </c>
      <c r="K546" s="30" t="s">
        <v>107</v>
      </c>
      <c r="L546" s="32">
        <v>0</v>
      </c>
      <c r="M546" s="22">
        <v>168.59</v>
      </c>
      <c r="N546" s="44"/>
      <c r="O546" s="30" t="s">
        <v>114</v>
      </c>
    </row>
    <row r="547" spans="1:15" s="30" customFormat="1" ht="15" customHeight="1" x14ac:dyDescent="0.25">
      <c r="B547" s="30" t="s">
        <v>168</v>
      </c>
      <c r="C547" s="30" t="s">
        <v>6</v>
      </c>
      <c r="D547" s="30" t="s">
        <v>11</v>
      </c>
      <c r="E547" s="30" t="s">
        <v>14</v>
      </c>
      <c r="F547" s="11"/>
      <c r="G547" s="30">
        <v>1</v>
      </c>
      <c r="H547" s="30" t="s">
        <v>185</v>
      </c>
      <c r="I547" s="21" t="s">
        <v>68</v>
      </c>
      <c r="J547" s="21" t="s">
        <v>863</v>
      </c>
      <c r="K547" s="30" t="s">
        <v>94</v>
      </c>
      <c r="L547" s="32">
        <v>0</v>
      </c>
      <c r="M547" s="22">
        <v>13.49</v>
      </c>
      <c r="N547" s="44"/>
      <c r="O547" s="30" t="s">
        <v>114</v>
      </c>
    </row>
    <row r="548" spans="1:15" s="30" customFormat="1" ht="15" hidden="1" customHeight="1" x14ac:dyDescent="0.25">
      <c r="A548" s="43"/>
      <c r="B548" s="43" t="s">
        <v>165</v>
      </c>
      <c r="C548" s="43" t="s">
        <v>6</v>
      </c>
      <c r="D548" s="43" t="s">
        <v>11</v>
      </c>
      <c r="E548" s="43" t="s">
        <v>20</v>
      </c>
      <c r="F548" s="49" t="s">
        <v>307</v>
      </c>
      <c r="G548" s="43">
        <v>2</v>
      </c>
      <c r="H548" s="43" t="s">
        <v>26</v>
      </c>
      <c r="I548" s="50" t="s">
        <v>79</v>
      </c>
      <c r="J548" s="50" t="s">
        <v>138</v>
      </c>
      <c r="K548" s="43" t="s">
        <v>90</v>
      </c>
      <c r="L548" s="51">
        <v>20</v>
      </c>
      <c r="M548" s="52">
        <v>23.53</v>
      </c>
      <c r="N548" s="235"/>
      <c r="O548" s="43" t="s">
        <v>115</v>
      </c>
    </row>
    <row r="549" spans="1:15" s="30" customFormat="1" ht="30" hidden="1" x14ac:dyDescent="0.25">
      <c r="B549" s="30" t="s">
        <v>165</v>
      </c>
      <c r="C549" s="30" t="s">
        <v>6</v>
      </c>
      <c r="D549" s="30" t="s">
        <v>11</v>
      </c>
      <c r="E549" s="30" t="s">
        <v>20</v>
      </c>
      <c r="F549" s="11" t="s">
        <v>308</v>
      </c>
      <c r="G549" s="30">
        <v>2</v>
      </c>
      <c r="H549" s="30" t="s">
        <v>26</v>
      </c>
      <c r="I549" s="21" t="s">
        <v>79</v>
      </c>
      <c r="J549" s="21" t="s">
        <v>138</v>
      </c>
      <c r="K549" s="30" t="s">
        <v>90</v>
      </c>
      <c r="L549" s="32">
        <v>20</v>
      </c>
      <c r="M549" s="53">
        <v>22.63</v>
      </c>
      <c r="N549" s="44"/>
      <c r="O549" s="30" t="s">
        <v>115</v>
      </c>
    </row>
    <row r="550" spans="1:15" s="30" customFormat="1" ht="30" hidden="1" x14ac:dyDescent="0.25">
      <c r="B550" s="30" t="s">
        <v>165</v>
      </c>
      <c r="C550" s="30" t="s">
        <v>6</v>
      </c>
      <c r="D550" s="30" t="s">
        <v>11</v>
      </c>
      <c r="E550" s="30" t="s">
        <v>20</v>
      </c>
      <c r="F550" s="11" t="s">
        <v>306</v>
      </c>
      <c r="G550" s="30">
        <v>2</v>
      </c>
      <c r="H550" s="30" t="s">
        <v>26</v>
      </c>
      <c r="I550" s="21" t="s">
        <v>79</v>
      </c>
      <c r="J550" s="21" t="s">
        <v>227</v>
      </c>
      <c r="K550" s="30" t="s">
        <v>90</v>
      </c>
      <c r="L550" s="32">
        <v>53</v>
      </c>
      <c r="M550" s="53">
        <v>73.5</v>
      </c>
      <c r="N550" s="44"/>
      <c r="O550" s="30" t="s">
        <v>115</v>
      </c>
    </row>
    <row r="551" spans="1:15" s="30" customFormat="1" ht="30" hidden="1" x14ac:dyDescent="0.25">
      <c r="B551" s="30" t="s">
        <v>165</v>
      </c>
      <c r="C551" s="30" t="s">
        <v>6</v>
      </c>
      <c r="D551" s="30" t="s">
        <v>11</v>
      </c>
      <c r="E551" s="30" t="s">
        <v>20</v>
      </c>
      <c r="F551" s="11" t="s">
        <v>309</v>
      </c>
      <c r="G551" s="30">
        <v>2</v>
      </c>
      <c r="H551" s="30" t="s">
        <v>26</v>
      </c>
      <c r="I551" s="21" t="s">
        <v>79</v>
      </c>
      <c r="J551" s="21" t="s">
        <v>227</v>
      </c>
      <c r="K551" s="30" t="s">
        <v>90</v>
      </c>
      <c r="L551" s="32">
        <v>29</v>
      </c>
      <c r="M551" s="53">
        <v>41.88</v>
      </c>
      <c r="N551" s="44"/>
      <c r="O551" s="30" t="s">
        <v>115</v>
      </c>
    </row>
    <row r="552" spans="1:15" s="30" customFormat="1" ht="30" hidden="1" x14ac:dyDescent="0.25">
      <c r="B552" s="30" t="s">
        <v>165</v>
      </c>
      <c r="C552" s="30" t="s">
        <v>6</v>
      </c>
      <c r="D552" s="30" t="s">
        <v>11</v>
      </c>
      <c r="E552" s="30" t="s">
        <v>20</v>
      </c>
      <c r="F552" s="11" t="s">
        <v>310</v>
      </c>
      <c r="G552" s="30">
        <v>2</v>
      </c>
      <c r="H552" s="30" t="s">
        <v>26</v>
      </c>
      <c r="I552" s="21" t="s">
        <v>79</v>
      </c>
      <c r="J552" s="21" t="s">
        <v>227</v>
      </c>
      <c r="K552" s="30" t="s">
        <v>90</v>
      </c>
      <c r="L552" s="32">
        <v>23</v>
      </c>
      <c r="M552" s="53">
        <v>39.119999999999997</v>
      </c>
      <c r="N552" s="44"/>
      <c r="O552" s="30" t="s">
        <v>115</v>
      </c>
    </row>
    <row r="553" spans="1:15" s="30" customFormat="1" ht="30" hidden="1" x14ac:dyDescent="0.25">
      <c r="B553" s="30" t="s">
        <v>165</v>
      </c>
      <c r="C553" s="30" t="s">
        <v>6</v>
      </c>
      <c r="D553" s="30" t="s">
        <v>11</v>
      </c>
      <c r="E553" s="30" t="s">
        <v>20</v>
      </c>
      <c r="F553" s="11" t="s">
        <v>311</v>
      </c>
      <c r="G553" s="30">
        <v>2</v>
      </c>
      <c r="H553" s="30" t="s">
        <v>26</v>
      </c>
      <c r="I553" s="21" t="s">
        <v>79</v>
      </c>
      <c r="J553" s="21" t="s">
        <v>227</v>
      </c>
      <c r="K553" s="30" t="s">
        <v>90</v>
      </c>
      <c r="L553" s="32">
        <v>36</v>
      </c>
      <c r="M553" s="53">
        <v>47.04</v>
      </c>
      <c r="N553" s="44"/>
      <c r="O553" s="30" t="s">
        <v>115</v>
      </c>
    </row>
    <row r="554" spans="1:15" s="30" customFormat="1" ht="30" hidden="1" x14ac:dyDescent="0.25">
      <c r="B554" s="30" t="s">
        <v>165</v>
      </c>
      <c r="C554" s="30" t="s">
        <v>6</v>
      </c>
      <c r="D554" s="30" t="s">
        <v>11</v>
      </c>
      <c r="E554" s="30" t="s">
        <v>20</v>
      </c>
      <c r="F554" s="11" t="s">
        <v>314</v>
      </c>
      <c r="G554" s="30">
        <v>2</v>
      </c>
      <c r="H554" s="30" t="s">
        <v>26</v>
      </c>
      <c r="I554" s="21" t="s">
        <v>79</v>
      </c>
      <c r="J554" s="21" t="s">
        <v>227</v>
      </c>
      <c r="K554" s="30" t="s">
        <v>90</v>
      </c>
      <c r="L554" s="32">
        <v>55</v>
      </c>
      <c r="M554" s="53">
        <v>82.25</v>
      </c>
      <c r="N554" s="44"/>
      <c r="O554" s="30" t="s">
        <v>115</v>
      </c>
    </row>
    <row r="555" spans="1:15" s="30" customFormat="1" ht="30" hidden="1" x14ac:dyDescent="0.25">
      <c r="B555" s="30" t="s">
        <v>168</v>
      </c>
      <c r="C555" s="30" t="s">
        <v>6</v>
      </c>
      <c r="D555" s="30" t="s">
        <v>11</v>
      </c>
      <c r="E555" s="30" t="s">
        <v>20</v>
      </c>
      <c r="F555" s="11"/>
      <c r="G555" s="30">
        <v>2</v>
      </c>
      <c r="H555" s="30" t="s">
        <v>23</v>
      </c>
      <c r="I555" s="21" t="s">
        <v>79</v>
      </c>
      <c r="J555" s="21" t="s">
        <v>468</v>
      </c>
      <c r="K555" s="30" t="s">
        <v>90</v>
      </c>
      <c r="L555" s="32">
        <v>1</v>
      </c>
      <c r="M555" s="53">
        <v>15.78</v>
      </c>
      <c r="N555" s="44"/>
      <c r="O555" s="30" t="s">
        <v>115</v>
      </c>
    </row>
    <row r="556" spans="1:15" s="30" customFormat="1" ht="30" hidden="1" x14ac:dyDescent="0.25">
      <c r="B556" s="30" t="s">
        <v>168</v>
      </c>
      <c r="C556" s="30" t="s">
        <v>6</v>
      </c>
      <c r="D556" s="30" t="s">
        <v>11</v>
      </c>
      <c r="E556" s="30" t="s">
        <v>20</v>
      </c>
      <c r="F556" s="11"/>
      <c r="G556" s="30">
        <v>2</v>
      </c>
      <c r="H556" s="30" t="s">
        <v>23</v>
      </c>
      <c r="I556" s="21" t="s">
        <v>79</v>
      </c>
      <c r="J556" s="21" t="s">
        <v>312</v>
      </c>
      <c r="K556" s="30" t="s">
        <v>90</v>
      </c>
      <c r="L556" s="32">
        <v>1</v>
      </c>
      <c r="M556" s="53">
        <v>15.78</v>
      </c>
      <c r="N556" s="44"/>
      <c r="O556" s="30" t="s">
        <v>115</v>
      </c>
    </row>
    <row r="557" spans="1:15" s="30" customFormat="1" ht="30" hidden="1" x14ac:dyDescent="0.25">
      <c r="B557" s="30" t="s">
        <v>165</v>
      </c>
      <c r="C557" s="30" t="s">
        <v>6</v>
      </c>
      <c r="D557" s="30" t="s">
        <v>11</v>
      </c>
      <c r="E557" s="30" t="s">
        <v>20</v>
      </c>
      <c r="F557" s="11"/>
      <c r="G557" s="30">
        <v>2</v>
      </c>
      <c r="H557" s="30" t="s">
        <v>30</v>
      </c>
      <c r="I557" s="21" t="s">
        <v>79</v>
      </c>
      <c r="J557" s="21" t="s">
        <v>313</v>
      </c>
      <c r="K557" s="30" t="s">
        <v>116</v>
      </c>
      <c r="L557" s="32">
        <v>11</v>
      </c>
      <c r="M557" s="53">
        <v>23.53</v>
      </c>
      <c r="N557" s="44"/>
      <c r="O557" s="30" t="s">
        <v>115</v>
      </c>
    </row>
    <row r="558" spans="1:15" s="30" customFormat="1" ht="30" hidden="1" x14ac:dyDescent="0.25">
      <c r="A558" s="69"/>
      <c r="B558" s="69" t="s">
        <v>165</v>
      </c>
      <c r="C558" s="69" t="s">
        <v>6</v>
      </c>
      <c r="D558" s="69" t="s">
        <v>11</v>
      </c>
      <c r="E558" s="69" t="s">
        <v>20</v>
      </c>
      <c r="F558" s="70"/>
      <c r="G558" s="69">
        <v>2</v>
      </c>
      <c r="H558" s="69" t="s">
        <v>393</v>
      </c>
      <c r="I558" s="71" t="s">
        <v>79</v>
      </c>
      <c r="J558" s="71" t="s">
        <v>315</v>
      </c>
      <c r="K558" s="69" t="s">
        <v>90</v>
      </c>
      <c r="L558" s="72">
        <v>12</v>
      </c>
      <c r="M558" s="75">
        <v>24.97</v>
      </c>
      <c r="N558" s="236"/>
      <c r="O558" s="69" t="s">
        <v>115</v>
      </c>
    </row>
    <row r="559" spans="1:15" s="30" customFormat="1" ht="30" hidden="1" x14ac:dyDescent="0.25">
      <c r="A559" s="69"/>
      <c r="B559" s="69" t="s">
        <v>165</v>
      </c>
      <c r="C559" s="69" t="s">
        <v>6</v>
      </c>
      <c r="D559" s="69" t="s">
        <v>11</v>
      </c>
      <c r="E559" s="69" t="s">
        <v>20</v>
      </c>
      <c r="F559" s="70" t="s">
        <v>317</v>
      </c>
      <c r="G559" s="69">
        <v>2</v>
      </c>
      <c r="H559" s="69" t="s">
        <v>393</v>
      </c>
      <c r="I559" s="71" t="s">
        <v>79</v>
      </c>
      <c r="J559" s="71" t="s">
        <v>316</v>
      </c>
      <c r="K559" s="69" t="s">
        <v>90</v>
      </c>
      <c r="L559" s="72">
        <v>14</v>
      </c>
      <c r="M559" s="75">
        <v>23.53</v>
      </c>
      <c r="N559" s="236"/>
      <c r="O559" s="69" t="s">
        <v>115</v>
      </c>
    </row>
    <row r="560" spans="1:15" s="30" customFormat="1" ht="30" hidden="1" x14ac:dyDescent="0.25">
      <c r="B560" s="30" t="s">
        <v>169</v>
      </c>
      <c r="C560" s="30" t="s">
        <v>6</v>
      </c>
      <c r="D560" s="30" t="s">
        <v>11</v>
      </c>
      <c r="E560" s="30" t="s">
        <v>20</v>
      </c>
      <c r="F560" s="11"/>
      <c r="G560" s="30">
        <v>2</v>
      </c>
      <c r="H560" s="30" t="s">
        <v>399</v>
      </c>
      <c r="I560" s="21" t="s">
        <v>79</v>
      </c>
      <c r="J560" s="21" t="s">
        <v>305</v>
      </c>
      <c r="K560" s="30" t="s">
        <v>94</v>
      </c>
      <c r="L560" s="32">
        <v>2</v>
      </c>
      <c r="M560" s="53">
        <v>9.16</v>
      </c>
      <c r="N560" s="44"/>
      <c r="O560" s="30" t="s">
        <v>115</v>
      </c>
    </row>
    <row r="561" spans="1:15" s="30" customFormat="1" ht="30" hidden="1" x14ac:dyDescent="0.25">
      <c r="B561" s="30" t="s">
        <v>169</v>
      </c>
      <c r="C561" s="30" t="s">
        <v>6</v>
      </c>
      <c r="D561" s="30" t="s">
        <v>11</v>
      </c>
      <c r="E561" s="30" t="s">
        <v>20</v>
      </c>
      <c r="F561" s="11"/>
      <c r="G561" s="30">
        <v>2</v>
      </c>
      <c r="H561" s="30" t="s">
        <v>399</v>
      </c>
      <c r="I561" s="21" t="s">
        <v>79</v>
      </c>
      <c r="J561" s="21" t="s">
        <v>303</v>
      </c>
      <c r="K561" s="30" t="s">
        <v>94</v>
      </c>
      <c r="L561" s="32">
        <v>2</v>
      </c>
      <c r="M561" s="53">
        <v>9.16</v>
      </c>
      <c r="N561" s="44"/>
      <c r="O561" s="30" t="s">
        <v>115</v>
      </c>
    </row>
    <row r="562" spans="1:15" s="30" customFormat="1" ht="30" hidden="1" x14ac:dyDescent="0.25">
      <c r="B562" s="30" t="s">
        <v>169</v>
      </c>
      <c r="C562" s="30" t="s">
        <v>6</v>
      </c>
      <c r="D562" s="30" t="s">
        <v>11</v>
      </c>
      <c r="E562" s="30" t="s">
        <v>20</v>
      </c>
      <c r="F562" s="11"/>
      <c r="G562" s="30">
        <v>3</v>
      </c>
      <c r="H562" s="30" t="s">
        <v>386</v>
      </c>
      <c r="I562" s="21" t="s">
        <v>68</v>
      </c>
      <c r="J562" s="21" t="s">
        <v>469</v>
      </c>
      <c r="K562" s="30" t="s">
        <v>107</v>
      </c>
      <c r="L562" s="32">
        <v>42</v>
      </c>
      <c r="M562" s="53">
        <v>73.28</v>
      </c>
      <c r="N562" s="44"/>
      <c r="O562" s="30" t="s">
        <v>115</v>
      </c>
    </row>
    <row r="563" spans="1:15" s="30" customFormat="1" ht="30" hidden="1" x14ac:dyDescent="0.25">
      <c r="B563" s="30" t="s">
        <v>169</v>
      </c>
      <c r="C563" s="30" t="s">
        <v>6</v>
      </c>
      <c r="D563" s="30" t="s">
        <v>11</v>
      </c>
      <c r="E563" s="30" t="s">
        <v>20</v>
      </c>
      <c r="F563" s="11"/>
      <c r="G563" s="30">
        <v>3</v>
      </c>
      <c r="H563" s="30" t="s">
        <v>391</v>
      </c>
      <c r="I563" s="21" t="s">
        <v>79</v>
      </c>
      <c r="J563" s="21" t="s">
        <v>318</v>
      </c>
      <c r="K563" s="30" t="s">
        <v>107</v>
      </c>
      <c r="L563" s="32">
        <v>0</v>
      </c>
      <c r="M563" s="53">
        <v>221.24</v>
      </c>
      <c r="N563" s="44"/>
      <c r="O563" s="30" t="s">
        <v>115</v>
      </c>
    </row>
    <row r="564" spans="1:15" s="30" customFormat="1" ht="30" hidden="1" x14ac:dyDescent="0.25">
      <c r="B564" s="30" t="s">
        <v>165</v>
      </c>
      <c r="C564" s="30" t="s">
        <v>6</v>
      </c>
      <c r="D564" s="30" t="s">
        <v>11</v>
      </c>
      <c r="E564" s="30" t="s">
        <v>20</v>
      </c>
      <c r="F564" s="11"/>
      <c r="G564" s="30">
        <v>2</v>
      </c>
      <c r="H564" s="30" t="s">
        <v>21</v>
      </c>
      <c r="I564" s="21" t="s">
        <v>79</v>
      </c>
      <c r="J564" s="21" t="s">
        <v>319</v>
      </c>
      <c r="K564" s="30" t="s">
        <v>90</v>
      </c>
      <c r="L564" s="32">
        <v>8</v>
      </c>
      <c r="M564" s="53">
        <v>46.7</v>
      </c>
      <c r="N564" s="44"/>
      <c r="O564" s="30" t="s">
        <v>115</v>
      </c>
    </row>
    <row r="565" spans="1:15" s="30" customFormat="1" ht="30" hidden="1" x14ac:dyDescent="0.25">
      <c r="B565" s="30" t="s">
        <v>168</v>
      </c>
      <c r="C565" s="30" t="s">
        <v>6</v>
      </c>
      <c r="D565" s="30" t="s">
        <v>11</v>
      </c>
      <c r="E565" s="30" t="s">
        <v>16</v>
      </c>
      <c r="F565" s="11"/>
      <c r="G565" s="30">
        <v>1</v>
      </c>
      <c r="H565" s="30" t="s">
        <v>258</v>
      </c>
      <c r="I565" s="21" t="s">
        <v>68</v>
      </c>
      <c r="J565" s="21" t="s">
        <v>361</v>
      </c>
      <c r="K565" s="30" t="s">
        <v>94</v>
      </c>
      <c r="L565" s="32">
        <v>0</v>
      </c>
      <c r="M565" s="234">
        <v>18.39</v>
      </c>
      <c r="N565" s="44"/>
      <c r="O565" s="30" t="s">
        <v>115</v>
      </c>
    </row>
    <row r="566" spans="1:15" s="30" customFormat="1" ht="45" hidden="1" x14ac:dyDescent="0.25">
      <c r="B566" s="30" t="s">
        <v>168</v>
      </c>
      <c r="C566" s="30" t="s">
        <v>6</v>
      </c>
      <c r="D566" s="30" t="s">
        <v>11</v>
      </c>
      <c r="E566" s="30" t="s">
        <v>20</v>
      </c>
      <c r="F566" s="11"/>
      <c r="G566" s="30">
        <v>2</v>
      </c>
      <c r="H566" s="30" t="s">
        <v>390</v>
      </c>
      <c r="I566" s="21" t="s">
        <v>79</v>
      </c>
      <c r="J566" s="21" t="s">
        <v>409</v>
      </c>
      <c r="K566" s="30" t="s">
        <v>94</v>
      </c>
      <c r="L566" s="32">
        <v>1</v>
      </c>
      <c r="M566" s="53">
        <v>6.46</v>
      </c>
      <c r="N566" s="44"/>
      <c r="O566" s="30" t="s">
        <v>115</v>
      </c>
    </row>
    <row r="567" spans="1:15" s="30" customFormat="1" ht="30" hidden="1" x14ac:dyDescent="0.25">
      <c r="B567" s="30" t="s">
        <v>168</v>
      </c>
      <c r="C567" s="30" t="s">
        <v>6</v>
      </c>
      <c r="D567" s="30" t="s">
        <v>11</v>
      </c>
      <c r="E567" s="30" t="s">
        <v>20</v>
      </c>
      <c r="F567" s="11"/>
      <c r="G567" s="30">
        <v>1</v>
      </c>
      <c r="H567" s="30" t="s">
        <v>177</v>
      </c>
      <c r="I567" s="21" t="s">
        <v>79</v>
      </c>
      <c r="J567" s="21" t="s">
        <v>490</v>
      </c>
      <c r="K567" s="30" t="s">
        <v>107</v>
      </c>
      <c r="L567" s="32">
        <v>1</v>
      </c>
      <c r="M567" s="53">
        <v>25.2</v>
      </c>
      <c r="N567" s="44"/>
      <c r="O567" s="30" t="s">
        <v>115</v>
      </c>
    </row>
    <row r="568" spans="1:15" s="30" customFormat="1" ht="30" hidden="1" x14ac:dyDescent="0.25">
      <c r="B568" s="30" t="s">
        <v>169</v>
      </c>
      <c r="C568" s="30" t="s">
        <v>6</v>
      </c>
      <c r="D568" s="30" t="s">
        <v>11</v>
      </c>
      <c r="E568" s="30" t="s">
        <v>20</v>
      </c>
      <c r="F568" s="11"/>
      <c r="G568" s="30">
        <v>2</v>
      </c>
      <c r="H568" s="30" t="s">
        <v>391</v>
      </c>
      <c r="I568" s="21" t="s">
        <v>79</v>
      </c>
      <c r="J568" s="21" t="s">
        <v>25</v>
      </c>
      <c r="K568" s="30" t="s">
        <v>107</v>
      </c>
      <c r="L568" s="32">
        <v>0</v>
      </c>
      <c r="M568" s="53">
        <v>130.29</v>
      </c>
      <c r="N568" s="44"/>
      <c r="O568" s="30" t="s">
        <v>115</v>
      </c>
    </row>
    <row r="569" spans="1:15" s="30" customFormat="1" ht="30" x14ac:dyDescent="0.25">
      <c r="B569" s="30" t="s">
        <v>167</v>
      </c>
      <c r="C569" s="30" t="s">
        <v>6</v>
      </c>
      <c r="D569" s="30" t="s">
        <v>10</v>
      </c>
      <c r="E569" s="30" t="s">
        <v>298</v>
      </c>
      <c r="F569" s="11"/>
      <c r="G569" s="30">
        <v>1</v>
      </c>
      <c r="H569" s="30" t="s">
        <v>22</v>
      </c>
      <c r="I569" s="21" t="s">
        <v>68</v>
      </c>
      <c r="J569" s="30" t="s">
        <v>618</v>
      </c>
      <c r="K569" s="21" t="s">
        <v>107</v>
      </c>
      <c r="L569" s="35">
        <v>30</v>
      </c>
      <c r="M569" s="19">
        <v>74.66</v>
      </c>
      <c r="N569" s="42">
        <v>44706</v>
      </c>
      <c r="O569" s="30" t="s">
        <v>114</v>
      </c>
    </row>
    <row r="570" spans="1:15" s="30" customFormat="1" ht="30" x14ac:dyDescent="0.25">
      <c r="B570" s="30" t="s">
        <v>167</v>
      </c>
      <c r="C570" s="30" t="s">
        <v>6</v>
      </c>
      <c r="D570" s="30" t="s">
        <v>10</v>
      </c>
      <c r="E570" s="30" t="s">
        <v>298</v>
      </c>
      <c r="F570" s="11"/>
      <c r="G570" s="30">
        <v>1</v>
      </c>
      <c r="H570" s="30" t="s">
        <v>389</v>
      </c>
      <c r="I570" s="21" t="s">
        <v>68</v>
      </c>
      <c r="J570" s="30" t="s">
        <v>619</v>
      </c>
      <c r="K570" s="21" t="s">
        <v>94</v>
      </c>
      <c r="L570" s="35">
        <v>0</v>
      </c>
      <c r="M570" s="19">
        <v>5.61</v>
      </c>
      <c r="N570" s="42">
        <v>44706</v>
      </c>
      <c r="O570" s="30" t="s">
        <v>114</v>
      </c>
    </row>
    <row r="571" spans="1:15" s="30" customFormat="1" ht="30" x14ac:dyDescent="0.25">
      <c r="B571" s="30" t="s">
        <v>167</v>
      </c>
      <c r="C571" s="30" t="s">
        <v>6</v>
      </c>
      <c r="D571" s="30" t="s">
        <v>10</v>
      </c>
      <c r="E571" s="30" t="s">
        <v>298</v>
      </c>
      <c r="F571" s="11"/>
      <c r="G571" s="30">
        <v>1</v>
      </c>
      <c r="H571" s="30" t="s">
        <v>389</v>
      </c>
      <c r="I571" s="21" t="s">
        <v>68</v>
      </c>
      <c r="J571" s="30" t="s">
        <v>620</v>
      </c>
      <c r="K571" s="21" t="s">
        <v>94</v>
      </c>
      <c r="L571" s="35">
        <v>0</v>
      </c>
      <c r="M571" s="19">
        <v>8.34</v>
      </c>
      <c r="N571" s="42">
        <v>44706</v>
      </c>
      <c r="O571" s="30" t="s">
        <v>114</v>
      </c>
    </row>
    <row r="572" spans="1:15" s="30" customFormat="1" ht="30" x14ac:dyDescent="0.25">
      <c r="B572" s="30" t="s">
        <v>167</v>
      </c>
      <c r="C572" s="30" t="s">
        <v>6</v>
      </c>
      <c r="D572" s="30" t="s">
        <v>10</v>
      </c>
      <c r="E572" s="30" t="s">
        <v>298</v>
      </c>
      <c r="F572" s="11"/>
      <c r="G572" s="30">
        <v>1</v>
      </c>
      <c r="H572" s="30" t="s">
        <v>390</v>
      </c>
      <c r="I572" s="21" t="s">
        <v>68</v>
      </c>
      <c r="J572" s="30" t="s">
        <v>621</v>
      </c>
      <c r="K572" s="21" t="s">
        <v>94</v>
      </c>
      <c r="L572" s="35">
        <v>0</v>
      </c>
      <c r="M572" s="19">
        <v>4.2300000000000004</v>
      </c>
      <c r="N572" s="42">
        <v>44706</v>
      </c>
      <c r="O572" s="30" t="s">
        <v>114</v>
      </c>
    </row>
    <row r="573" spans="1:15" s="69" customFormat="1" ht="30" x14ac:dyDescent="0.25">
      <c r="A573" s="30"/>
      <c r="B573" s="30" t="s">
        <v>167</v>
      </c>
      <c r="C573" s="30" t="s">
        <v>6</v>
      </c>
      <c r="D573" s="30" t="s">
        <v>10</v>
      </c>
      <c r="E573" s="30" t="s">
        <v>298</v>
      </c>
      <c r="F573" s="11"/>
      <c r="G573" s="30">
        <v>1</v>
      </c>
      <c r="H573" s="30" t="s">
        <v>390</v>
      </c>
      <c r="I573" s="21" t="s">
        <v>68</v>
      </c>
      <c r="J573" s="30" t="s">
        <v>622</v>
      </c>
      <c r="K573" s="21" t="s">
        <v>94</v>
      </c>
      <c r="L573" s="35">
        <v>0</v>
      </c>
      <c r="M573" s="19">
        <v>25.87</v>
      </c>
      <c r="N573" s="42">
        <v>44706</v>
      </c>
      <c r="O573" s="30" t="s">
        <v>114</v>
      </c>
    </row>
    <row r="574" spans="1:15" s="30" customFormat="1" ht="30" x14ac:dyDescent="0.25">
      <c r="B574" s="30" t="s">
        <v>167</v>
      </c>
      <c r="C574" s="30" t="s">
        <v>6</v>
      </c>
      <c r="D574" s="30" t="s">
        <v>10</v>
      </c>
      <c r="E574" s="30" t="s">
        <v>298</v>
      </c>
      <c r="F574" s="11"/>
      <c r="G574" s="30">
        <v>1</v>
      </c>
      <c r="H574" s="30" t="s">
        <v>22</v>
      </c>
      <c r="I574" s="21" t="s">
        <v>68</v>
      </c>
      <c r="J574" s="30" t="s">
        <v>623</v>
      </c>
      <c r="K574" s="21" t="s">
        <v>107</v>
      </c>
      <c r="L574" s="35">
        <v>0</v>
      </c>
      <c r="M574" s="19">
        <v>112.26</v>
      </c>
      <c r="N574" s="42">
        <v>44706</v>
      </c>
      <c r="O574" s="30" t="s">
        <v>114</v>
      </c>
    </row>
    <row r="575" spans="1:15" s="30" customFormat="1" ht="30" x14ac:dyDescent="0.25">
      <c r="B575" s="30" t="s">
        <v>167</v>
      </c>
      <c r="C575" s="30" t="s">
        <v>6</v>
      </c>
      <c r="D575" s="30" t="s">
        <v>10</v>
      </c>
      <c r="E575" s="30" t="s">
        <v>298</v>
      </c>
      <c r="F575" s="11"/>
      <c r="G575" s="30">
        <v>1</v>
      </c>
      <c r="H575" s="30" t="s">
        <v>390</v>
      </c>
      <c r="I575" s="21" t="s">
        <v>68</v>
      </c>
      <c r="J575" s="30" t="s">
        <v>624</v>
      </c>
      <c r="K575" s="21" t="s">
        <v>94</v>
      </c>
      <c r="L575" s="35">
        <v>0</v>
      </c>
      <c r="M575" s="19">
        <v>19.77</v>
      </c>
      <c r="N575" s="42">
        <v>44706</v>
      </c>
      <c r="O575" s="30" t="s">
        <v>114</v>
      </c>
    </row>
    <row r="576" spans="1:15" s="30" customFormat="1" ht="30" x14ac:dyDescent="0.25">
      <c r="B576" s="30" t="s">
        <v>167</v>
      </c>
      <c r="C576" s="30" t="s">
        <v>6</v>
      </c>
      <c r="D576" s="30" t="s">
        <v>10</v>
      </c>
      <c r="E576" s="30" t="s">
        <v>298</v>
      </c>
      <c r="F576" s="11"/>
      <c r="G576" s="30">
        <v>1</v>
      </c>
      <c r="H576" s="30" t="s">
        <v>389</v>
      </c>
      <c r="I576" s="21" t="s">
        <v>68</v>
      </c>
      <c r="J576" s="30" t="s">
        <v>625</v>
      </c>
      <c r="K576" s="21" t="s">
        <v>94</v>
      </c>
      <c r="L576" s="35">
        <v>0</v>
      </c>
      <c r="M576" s="19">
        <v>18.89</v>
      </c>
      <c r="N576" s="42">
        <v>44706</v>
      </c>
      <c r="O576" s="30" t="s">
        <v>114</v>
      </c>
    </row>
    <row r="577" spans="2:15" s="30" customFormat="1" ht="30" x14ac:dyDescent="0.25">
      <c r="B577" s="30" t="s">
        <v>167</v>
      </c>
      <c r="C577" s="30" t="s">
        <v>6</v>
      </c>
      <c r="D577" s="30" t="s">
        <v>10</v>
      </c>
      <c r="E577" s="30" t="s">
        <v>298</v>
      </c>
      <c r="F577" s="11"/>
      <c r="G577" s="30">
        <v>1</v>
      </c>
      <c r="H577" s="30" t="s">
        <v>389</v>
      </c>
      <c r="I577" s="21" t="s">
        <v>68</v>
      </c>
      <c r="J577" s="30" t="s">
        <v>626</v>
      </c>
      <c r="K577" s="21" t="s">
        <v>94</v>
      </c>
      <c r="L577" s="35">
        <v>0</v>
      </c>
      <c r="M577" s="19">
        <v>4.8899999999999997</v>
      </c>
      <c r="N577" s="42">
        <v>44706</v>
      </c>
      <c r="O577" s="30" t="s">
        <v>114</v>
      </c>
    </row>
    <row r="578" spans="2:15" s="30" customFormat="1" ht="30" x14ac:dyDescent="0.25">
      <c r="B578" s="30" t="s">
        <v>167</v>
      </c>
      <c r="C578" s="30" t="s">
        <v>6</v>
      </c>
      <c r="D578" s="30" t="s">
        <v>10</v>
      </c>
      <c r="E578" s="30" t="s">
        <v>298</v>
      </c>
      <c r="F578" s="11"/>
      <c r="G578" s="30">
        <v>1</v>
      </c>
      <c r="H578" s="30" t="s">
        <v>399</v>
      </c>
      <c r="I578" s="21" t="s">
        <v>68</v>
      </c>
      <c r="J578" s="30" t="s">
        <v>627</v>
      </c>
      <c r="K578" s="21" t="s">
        <v>94</v>
      </c>
      <c r="L578" s="35">
        <v>8</v>
      </c>
      <c r="M578" s="19">
        <v>44.76</v>
      </c>
      <c r="N578" s="42">
        <v>44706</v>
      </c>
      <c r="O578" s="30" t="s">
        <v>114</v>
      </c>
    </row>
    <row r="579" spans="2:15" s="30" customFormat="1" ht="30" x14ac:dyDescent="0.25">
      <c r="B579" s="30" t="s">
        <v>167</v>
      </c>
      <c r="C579" s="30" t="s">
        <v>6</v>
      </c>
      <c r="D579" s="30" t="s">
        <v>10</v>
      </c>
      <c r="E579" s="30" t="s">
        <v>298</v>
      </c>
      <c r="F579" s="11"/>
      <c r="G579" s="30">
        <v>1</v>
      </c>
      <c r="H579" s="30" t="s">
        <v>394</v>
      </c>
      <c r="I579" s="21" t="s">
        <v>68</v>
      </c>
      <c r="J579" s="30" t="s">
        <v>628</v>
      </c>
      <c r="K579" s="21" t="s">
        <v>94</v>
      </c>
      <c r="L579" s="35">
        <v>0</v>
      </c>
      <c r="M579" s="19">
        <v>53.33</v>
      </c>
      <c r="N579" s="42">
        <v>44706</v>
      </c>
      <c r="O579" s="30" t="s">
        <v>114</v>
      </c>
    </row>
    <row r="580" spans="2:15" s="30" customFormat="1" ht="30" x14ac:dyDescent="0.25">
      <c r="B580" s="30" t="s">
        <v>167</v>
      </c>
      <c r="C580" s="30" t="s">
        <v>6</v>
      </c>
      <c r="D580" s="30" t="s">
        <v>10</v>
      </c>
      <c r="E580" s="30" t="s">
        <v>298</v>
      </c>
      <c r="F580" s="11"/>
      <c r="G580" s="30">
        <v>2</v>
      </c>
      <c r="H580" s="30" t="s">
        <v>390</v>
      </c>
      <c r="I580" s="21" t="s">
        <v>68</v>
      </c>
      <c r="J580" s="30" t="s">
        <v>629</v>
      </c>
      <c r="K580" s="21" t="s">
        <v>94</v>
      </c>
      <c r="L580" s="35">
        <v>0</v>
      </c>
      <c r="M580" s="19">
        <v>18.600000000000001</v>
      </c>
      <c r="N580" s="42">
        <v>44706</v>
      </c>
      <c r="O580" s="30" t="s">
        <v>114</v>
      </c>
    </row>
    <row r="581" spans="2:15" s="30" customFormat="1" ht="30" x14ac:dyDescent="0.25">
      <c r="B581" s="30" t="s">
        <v>167</v>
      </c>
      <c r="C581" s="30" t="s">
        <v>6</v>
      </c>
      <c r="D581" s="30" t="s">
        <v>10</v>
      </c>
      <c r="E581" s="30" t="s">
        <v>298</v>
      </c>
      <c r="F581" s="11"/>
      <c r="G581" s="30">
        <v>2</v>
      </c>
      <c r="H581" s="30" t="s">
        <v>399</v>
      </c>
      <c r="I581" s="21" t="s">
        <v>68</v>
      </c>
      <c r="J581" s="30" t="s">
        <v>630</v>
      </c>
      <c r="K581" s="21" t="s">
        <v>94</v>
      </c>
      <c r="L581" s="35">
        <v>6</v>
      </c>
      <c r="M581" s="19">
        <v>28.83</v>
      </c>
      <c r="N581" s="42">
        <v>44706</v>
      </c>
      <c r="O581" s="30" t="s">
        <v>114</v>
      </c>
    </row>
    <row r="582" spans="2:15" s="30" customFormat="1" ht="30" x14ac:dyDescent="0.25">
      <c r="B582" s="30" t="s">
        <v>167</v>
      </c>
      <c r="C582" s="30" t="s">
        <v>6</v>
      </c>
      <c r="D582" s="30" t="s">
        <v>10</v>
      </c>
      <c r="E582" s="30" t="s">
        <v>298</v>
      </c>
      <c r="F582" s="11"/>
      <c r="G582" s="30">
        <v>2</v>
      </c>
      <c r="H582" s="30" t="s">
        <v>399</v>
      </c>
      <c r="I582" s="21" t="s">
        <v>68</v>
      </c>
      <c r="J582" s="30" t="s">
        <v>631</v>
      </c>
      <c r="K582" s="21" t="s">
        <v>94</v>
      </c>
      <c r="L582" s="35">
        <v>1</v>
      </c>
      <c r="M582" s="19">
        <v>8.5299999999999994</v>
      </c>
      <c r="N582" s="42">
        <v>44706</v>
      </c>
      <c r="O582" s="30" t="s">
        <v>114</v>
      </c>
    </row>
    <row r="583" spans="2:15" s="30" customFormat="1" ht="30" x14ac:dyDescent="0.25">
      <c r="B583" s="30" t="s">
        <v>167</v>
      </c>
      <c r="C583" s="30" t="s">
        <v>6</v>
      </c>
      <c r="D583" s="30" t="s">
        <v>10</v>
      </c>
      <c r="E583" s="30" t="s">
        <v>298</v>
      </c>
      <c r="F583" s="11"/>
      <c r="G583" s="30">
        <v>2</v>
      </c>
      <c r="H583" s="30" t="s">
        <v>399</v>
      </c>
      <c r="I583" s="21" t="s">
        <v>68</v>
      </c>
      <c r="J583" s="30" t="s">
        <v>632</v>
      </c>
      <c r="K583" s="21" t="s">
        <v>94</v>
      </c>
      <c r="L583" s="35">
        <v>6</v>
      </c>
      <c r="M583" s="19">
        <v>28.66</v>
      </c>
      <c r="N583" s="42">
        <v>44706</v>
      </c>
      <c r="O583" s="30" t="s">
        <v>114</v>
      </c>
    </row>
    <row r="584" spans="2:15" s="30" customFormat="1" ht="30" x14ac:dyDescent="0.25">
      <c r="B584" s="30" t="s">
        <v>167</v>
      </c>
      <c r="C584" s="30" t="s">
        <v>6</v>
      </c>
      <c r="D584" s="30" t="s">
        <v>10</v>
      </c>
      <c r="E584" s="30" t="s">
        <v>298</v>
      </c>
      <c r="F584" s="11"/>
      <c r="G584" s="30">
        <v>2</v>
      </c>
      <c r="H584" s="30" t="s">
        <v>399</v>
      </c>
      <c r="I584" s="21" t="s">
        <v>68</v>
      </c>
      <c r="J584" s="30" t="s">
        <v>633</v>
      </c>
      <c r="K584" s="21" t="s">
        <v>94</v>
      </c>
      <c r="L584" s="35">
        <v>1</v>
      </c>
      <c r="M584" s="19">
        <v>9.91</v>
      </c>
      <c r="N584" s="42">
        <v>44706</v>
      </c>
      <c r="O584" s="30" t="s">
        <v>114</v>
      </c>
    </row>
    <row r="585" spans="2:15" s="30" customFormat="1" ht="30" x14ac:dyDescent="0.25">
      <c r="B585" s="30" t="s">
        <v>167</v>
      </c>
      <c r="C585" s="30" t="s">
        <v>6</v>
      </c>
      <c r="D585" s="30" t="s">
        <v>10</v>
      </c>
      <c r="E585" s="30" t="s">
        <v>298</v>
      </c>
      <c r="F585" s="11"/>
      <c r="G585" s="30">
        <v>2</v>
      </c>
      <c r="H585" s="30" t="s">
        <v>390</v>
      </c>
      <c r="I585" s="21" t="s">
        <v>68</v>
      </c>
      <c r="J585" s="30" t="s">
        <v>634</v>
      </c>
      <c r="K585" s="21" t="s">
        <v>94</v>
      </c>
      <c r="L585" s="35">
        <v>0</v>
      </c>
      <c r="M585" s="19">
        <v>5.26</v>
      </c>
      <c r="N585" s="42">
        <v>44706</v>
      </c>
      <c r="O585" s="30" t="s">
        <v>114</v>
      </c>
    </row>
    <row r="586" spans="2:15" s="30" customFormat="1" ht="30" x14ac:dyDescent="0.25">
      <c r="B586" s="30" t="s">
        <v>167</v>
      </c>
      <c r="C586" s="30" t="s">
        <v>6</v>
      </c>
      <c r="D586" s="30" t="s">
        <v>10</v>
      </c>
      <c r="E586" s="30" t="s">
        <v>298</v>
      </c>
      <c r="F586" s="11"/>
      <c r="G586" s="30">
        <v>2</v>
      </c>
      <c r="H586" s="30" t="s">
        <v>389</v>
      </c>
      <c r="I586" s="21" t="s">
        <v>68</v>
      </c>
      <c r="J586" s="30" t="s">
        <v>635</v>
      </c>
      <c r="K586" s="21" t="s">
        <v>94</v>
      </c>
      <c r="L586" s="35">
        <v>0</v>
      </c>
      <c r="M586" s="19">
        <v>5</v>
      </c>
      <c r="N586" s="42">
        <v>44706</v>
      </c>
      <c r="O586" s="30" t="s">
        <v>114</v>
      </c>
    </row>
    <row r="587" spans="2:15" s="30" customFormat="1" ht="30" x14ac:dyDescent="0.25">
      <c r="B587" s="30" t="s">
        <v>167</v>
      </c>
      <c r="C587" s="30" t="s">
        <v>6</v>
      </c>
      <c r="D587" s="30" t="s">
        <v>10</v>
      </c>
      <c r="E587" s="30" t="s">
        <v>298</v>
      </c>
      <c r="F587" s="11"/>
      <c r="G587" s="30">
        <v>2</v>
      </c>
      <c r="H587" s="30" t="s">
        <v>390</v>
      </c>
      <c r="I587" s="21" t="s">
        <v>68</v>
      </c>
      <c r="J587" s="30" t="s">
        <v>634</v>
      </c>
      <c r="K587" s="21" t="s">
        <v>94</v>
      </c>
      <c r="L587" s="35">
        <v>0</v>
      </c>
      <c r="M587" s="19">
        <v>5.6</v>
      </c>
      <c r="N587" s="42">
        <v>44706</v>
      </c>
      <c r="O587" s="30" t="s">
        <v>114</v>
      </c>
    </row>
    <row r="588" spans="2:15" s="30" customFormat="1" ht="30" x14ac:dyDescent="0.25">
      <c r="B588" s="30" t="s">
        <v>167</v>
      </c>
      <c r="C588" s="30" t="s">
        <v>6</v>
      </c>
      <c r="D588" s="30" t="s">
        <v>10</v>
      </c>
      <c r="E588" s="30" t="s">
        <v>298</v>
      </c>
      <c r="F588" s="11"/>
      <c r="G588" s="30">
        <v>2</v>
      </c>
      <c r="H588" s="30" t="s">
        <v>390</v>
      </c>
      <c r="I588" s="21" t="s">
        <v>68</v>
      </c>
      <c r="J588" s="30" t="s">
        <v>635</v>
      </c>
      <c r="K588" s="21" t="s">
        <v>94</v>
      </c>
      <c r="L588" s="35">
        <v>0</v>
      </c>
      <c r="M588" s="19">
        <v>2.79</v>
      </c>
      <c r="N588" s="42">
        <v>44706</v>
      </c>
      <c r="O588" s="30" t="s">
        <v>114</v>
      </c>
    </row>
    <row r="589" spans="2:15" s="30" customFormat="1" ht="30" x14ac:dyDescent="0.25">
      <c r="B589" s="30" t="s">
        <v>167</v>
      </c>
      <c r="C589" s="30" t="s">
        <v>6</v>
      </c>
      <c r="D589" s="30" t="s">
        <v>10</v>
      </c>
      <c r="E589" s="30" t="s">
        <v>298</v>
      </c>
      <c r="F589" s="11"/>
      <c r="G589" s="30">
        <v>2</v>
      </c>
      <c r="H589" s="30" t="s">
        <v>390</v>
      </c>
      <c r="I589" s="21" t="s">
        <v>68</v>
      </c>
      <c r="J589" s="30" t="s">
        <v>636</v>
      </c>
      <c r="K589" s="21" t="s">
        <v>94</v>
      </c>
      <c r="L589" s="35">
        <v>0</v>
      </c>
      <c r="M589" s="19">
        <v>6.86</v>
      </c>
      <c r="N589" s="42">
        <v>44706</v>
      </c>
      <c r="O589" s="30" t="s">
        <v>114</v>
      </c>
    </row>
    <row r="590" spans="2:15" s="30" customFormat="1" ht="30" x14ac:dyDescent="0.25">
      <c r="B590" s="30" t="s">
        <v>165</v>
      </c>
      <c r="C590" s="30" t="s">
        <v>6</v>
      </c>
      <c r="D590" s="30" t="s">
        <v>10</v>
      </c>
      <c r="E590" s="30" t="s">
        <v>298</v>
      </c>
      <c r="F590" s="11"/>
      <c r="G590" s="30">
        <v>2</v>
      </c>
      <c r="H590" s="30" t="s">
        <v>26</v>
      </c>
      <c r="I590" s="21" t="s">
        <v>68</v>
      </c>
      <c r="J590" s="30" t="s">
        <v>637</v>
      </c>
      <c r="K590" s="21" t="s">
        <v>94</v>
      </c>
      <c r="L590" s="35">
        <v>41</v>
      </c>
      <c r="M590" s="19">
        <v>91.09</v>
      </c>
      <c r="N590" s="42">
        <v>44706</v>
      </c>
      <c r="O590" s="30" t="s">
        <v>114</v>
      </c>
    </row>
    <row r="591" spans="2:15" s="30" customFormat="1" ht="30" x14ac:dyDescent="0.25">
      <c r="B591" s="30" t="s">
        <v>165</v>
      </c>
      <c r="C591" s="30" t="s">
        <v>6</v>
      </c>
      <c r="D591" s="30" t="s">
        <v>10</v>
      </c>
      <c r="E591" s="30" t="s">
        <v>298</v>
      </c>
      <c r="F591" s="11"/>
      <c r="G591" s="30">
        <v>2</v>
      </c>
      <c r="H591" s="30" t="s">
        <v>26</v>
      </c>
      <c r="I591" s="21" t="s">
        <v>68</v>
      </c>
      <c r="J591" s="30" t="s">
        <v>638</v>
      </c>
      <c r="K591" s="21" t="s">
        <v>94</v>
      </c>
      <c r="L591" s="35">
        <v>51</v>
      </c>
      <c r="M591" s="19">
        <v>120.3</v>
      </c>
      <c r="N591" s="42">
        <v>44706</v>
      </c>
      <c r="O591" s="30" t="s">
        <v>114</v>
      </c>
    </row>
    <row r="592" spans="2:15" s="30" customFormat="1" ht="30" x14ac:dyDescent="0.25">
      <c r="B592" s="30" t="s">
        <v>165</v>
      </c>
      <c r="C592" s="30" t="s">
        <v>6</v>
      </c>
      <c r="D592" s="30" t="s">
        <v>10</v>
      </c>
      <c r="E592" s="30" t="s">
        <v>298</v>
      </c>
      <c r="F592" s="11"/>
      <c r="G592" s="30">
        <v>2</v>
      </c>
      <c r="H592" s="30" t="s">
        <v>26</v>
      </c>
      <c r="I592" s="21" t="s">
        <v>68</v>
      </c>
      <c r="J592" s="30" t="s">
        <v>638</v>
      </c>
      <c r="K592" s="21" t="s">
        <v>94</v>
      </c>
      <c r="L592" s="35">
        <v>41</v>
      </c>
      <c r="M592" s="19">
        <v>120</v>
      </c>
      <c r="N592" s="42">
        <v>44706</v>
      </c>
      <c r="O592" s="30" t="s">
        <v>114</v>
      </c>
    </row>
    <row r="593" spans="1:15" s="30" customFormat="1" ht="30" x14ac:dyDescent="0.25">
      <c r="A593" s="69"/>
      <c r="B593" s="69" t="s">
        <v>165</v>
      </c>
      <c r="C593" s="69" t="s">
        <v>6</v>
      </c>
      <c r="D593" s="69" t="s">
        <v>10</v>
      </c>
      <c r="E593" s="69" t="s">
        <v>298</v>
      </c>
      <c r="F593" s="70"/>
      <c r="G593" s="69">
        <v>2</v>
      </c>
      <c r="H593" s="69" t="s">
        <v>393</v>
      </c>
      <c r="I593" s="71" t="s">
        <v>68</v>
      </c>
      <c r="J593" s="69" t="s">
        <v>488</v>
      </c>
      <c r="K593" s="71" t="s">
        <v>94</v>
      </c>
      <c r="L593" s="74">
        <v>51</v>
      </c>
      <c r="M593" s="76">
        <v>156.06</v>
      </c>
      <c r="N593" s="237">
        <v>44706</v>
      </c>
      <c r="O593" s="69" t="s">
        <v>114</v>
      </c>
    </row>
    <row r="594" spans="1:15" s="30" customFormat="1" ht="30" x14ac:dyDescent="0.25">
      <c r="B594" s="30" t="s">
        <v>168</v>
      </c>
      <c r="C594" s="30" t="s">
        <v>6</v>
      </c>
      <c r="D594" s="30" t="s">
        <v>10</v>
      </c>
      <c r="E594" s="30" t="s">
        <v>298</v>
      </c>
      <c r="F594" s="11"/>
      <c r="G594" s="30">
        <v>2</v>
      </c>
      <c r="H594" s="30" t="s">
        <v>30</v>
      </c>
      <c r="I594" s="21" t="s">
        <v>68</v>
      </c>
      <c r="J594" s="30" t="s">
        <v>796</v>
      </c>
      <c r="K594" s="21" t="s">
        <v>94</v>
      </c>
      <c r="L594" s="35">
        <v>41</v>
      </c>
      <c r="M594" s="19">
        <v>99.4</v>
      </c>
      <c r="N594" s="42">
        <v>44706</v>
      </c>
      <c r="O594" s="30" t="s">
        <v>114</v>
      </c>
    </row>
    <row r="595" spans="1:15" s="30" customFormat="1" ht="30" x14ac:dyDescent="0.25">
      <c r="B595" s="30" t="s">
        <v>165</v>
      </c>
      <c r="C595" s="30" t="s">
        <v>6</v>
      </c>
      <c r="D595" s="30" t="s">
        <v>10</v>
      </c>
      <c r="E595" s="30" t="s">
        <v>298</v>
      </c>
      <c r="F595" s="11"/>
      <c r="G595" s="30">
        <v>2</v>
      </c>
      <c r="H595" s="30" t="s">
        <v>21</v>
      </c>
      <c r="I595" s="21" t="s">
        <v>68</v>
      </c>
      <c r="J595" s="30" t="s">
        <v>639</v>
      </c>
      <c r="K595" s="21" t="s">
        <v>90</v>
      </c>
      <c r="L595" s="35">
        <v>3</v>
      </c>
      <c r="M595" s="19">
        <v>11.5</v>
      </c>
      <c r="N595" s="42">
        <v>44706</v>
      </c>
      <c r="O595" s="30" t="s">
        <v>114</v>
      </c>
    </row>
    <row r="596" spans="1:15" s="30" customFormat="1" ht="30" x14ac:dyDescent="0.25">
      <c r="B596" s="30" t="s">
        <v>165</v>
      </c>
      <c r="C596" s="30" t="s">
        <v>6</v>
      </c>
      <c r="D596" s="30" t="s">
        <v>10</v>
      </c>
      <c r="E596" s="30" t="s">
        <v>298</v>
      </c>
      <c r="F596" s="11"/>
      <c r="G596" s="30">
        <v>2</v>
      </c>
      <c r="H596" s="30" t="s">
        <v>21</v>
      </c>
      <c r="I596" s="21" t="s">
        <v>68</v>
      </c>
      <c r="J596" s="30" t="s">
        <v>640</v>
      </c>
      <c r="K596" s="21" t="s">
        <v>90</v>
      </c>
      <c r="L596" s="35">
        <v>3</v>
      </c>
      <c r="M596" s="19">
        <v>11.34</v>
      </c>
      <c r="N596" s="42">
        <v>44706</v>
      </c>
      <c r="O596" s="30" t="s">
        <v>114</v>
      </c>
    </row>
    <row r="597" spans="1:15" s="30" customFormat="1" ht="30" x14ac:dyDescent="0.25">
      <c r="B597" s="30" t="s">
        <v>165</v>
      </c>
      <c r="C597" s="30" t="s">
        <v>6</v>
      </c>
      <c r="D597" s="30" t="s">
        <v>10</v>
      </c>
      <c r="E597" s="30" t="s">
        <v>298</v>
      </c>
      <c r="F597" s="11"/>
      <c r="G597" s="30">
        <v>2</v>
      </c>
      <c r="H597" s="30" t="s">
        <v>21</v>
      </c>
      <c r="I597" s="21" t="s">
        <v>68</v>
      </c>
      <c r="J597" s="30" t="s">
        <v>641</v>
      </c>
      <c r="K597" s="21" t="s">
        <v>90</v>
      </c>
      <c r="L597" s="35">
        <v>3</v>
      </c>
      <c r="M597" s="19">
        <v>12.17</v>
      </c>
      <c r="N597" s="42">
        <v>44706</v>
      </c>
      <c r="O597" s="30" t="s">
        <v>114</v>
      </c>
    </row>
    <row r="598" spans="1:15" s="30" customFormat="1" ht="30" x14ac:dyDescent="0.25">
      <c r="B598" s="30" t="s">
        <v>165</v>
      </c>
      <c r="C598" s="30" t="s">
        <v>6</v>
      </c>
      <c r="D598" s="30" t="s">
        <v>10</v>
      </c>
      <c r="E598" s="30" t="s">
        <v>298</v>
      </c>
      <c r="F598" s="11"/>
      <c r="G598" s="30">
        <v>2</v>
      </c>
      <c r="H598" s="30" t="s">
        <v>21</v>
      </c>
      <c r="I598" s="21" t="s">
        <v>68</v>
      </c>
      <c r="J598" s="30" t="s">
        <v>642</v>
      </c>
      <c r="K598" s="21" t="s">
        <v>90</v>
      </c>
      <c r="L598" s="35">
        <v>3</v>
      </c>
      <c r="M598" s="19">
        <v>11.85</v>
      </c>
      <c r="N598" s="42">
        <v>44706</v>
      </c>
      <c r="O598" s="30" t="s">
        <v>114</v>
      </c>
    </row>
    <row r="599" spans="1:15" s="30" customFormat="1" ht="30" x14ac:dyDescent="0.25">
      <c r="B599" s="30" t="s">
        <v>165</v>
      </c>
      <c r="C599" s="30" t="s">
        <v>6</v>
      </c>
      <c r="D599" s="30" t="s">
        <v>10</v>
      </c>
      <c r="E599" s="30" t="s">
        <v>298</v>
      </c>
      <c r="F599" s="11"/>
      <c r="G599" s="30">
        <v>2</v>
      </c>
      <c r="H599" s="30" t="s">
        <v>21</v>
      </c>
      <c r="I599" s="21" t="s">
        <v>68</v>
      </c>
      <c r="J599" s="30" t="s">
        <v>643</v>
      </c>
      <c r="K599" s="21" t="s">
        <v>90</v>
      </c>
      <c r="L599" s="35">
        <v>3</v>
      </c>
      <c r="M599" s="19">
        <v>12</v>
      </c>
      <c r="N599" s="42">
        <v>44706</v>
      </c>
      <c r="O599" s="30" t="s">
        <v>114</v>
      </c>
    </row>
    <row r="600" spans="1:15" s="30" customFormat="1" ht="30" x14ac:dyDescent="0.25">
      <c r="B600" s="30" t="s">
        <v>165</v>
      </c>
      <c r="C600" s="30" t="s">
        <v>6</v>
      </c>
      <c r="D600" s="30" t="s">
        <v>10</v>
      </c>
      <c r="E600" s="30" t="s">
        <v>298</v>
      </c>
      <c r="F600" s="11"/>
      <c r="G600" s="30">
        <v>2</v>
      </c>
      <c r="H600" s="30" t="s">
        <v>21</v>
      </c>
      <c r="I600" s="21" t="s">
        <v>68</v>
      </c>
      <c r="J600" s="30" t="s">
        <v>644</v>
      </c>
      <c r="K600" s="21" t="s">
        <v>90</v>
      </c>
      <c r="L600" s="35">
        <v>3</v>
      </c>
      <c r="M600" s="19">
        <v>12.2</v>
      </c>
      <c r="N600" s="42">
        <v>44706</v>
      </c>
      <c r="O600" s="30" t="s">
        <v>114</v>
      </c>
    </row>
    <row r="601" spans="1:15" s="30" customFormat="1" ht="30" x14ac:dyDescent="0.25">
      <c r="B601" s="30" t="s">
        <v>165</v>
      </c>
      <c r="C601" s="30" t="s">
        <v>6</v>
      </c>
      <c r="D601" s="30" t="s">
        <v>10</v>
      </c>
      <c r="E601" s="30" t="s">
        <v>298</v>
      </c>
      <c r="F601" s="11"/>
      <c r="G601" s="30">
        <v>2</v>
      </c>
      <c r="H601" s="30" t="s">
        <v>21</v>
      </c>
      <c r="I601" s="21" t="s">
        <v>68</v>
      </c>
      <c r="J601" s="30" t="s">
        <v>645</v>
      </c>
      <c r="K601" s="21" t="s">
        <v>90</v>
      </c>
      <c r="L601" s="35">
        <v>3</v>
      </c>
      <c r="M601" s="19">
        <v>11.74</v>
      </c>
      <c r="N601" s="42">
        <v>44706</v>
      </c>
      <c r="O601" s="30" t="s">
        <v>114</v>
      </c>
    </row>
    <row r="602" spans="1:15" s="30" customFormat="1" ht="30" x14ac:dyDescent="0.25">
      <c r="B602" s="30" t="s">
        <v>165</v>
      </c>
      <c r="C602" s="30" t="s">
        <v>6</v>
      </c>
      <c r="D602" s="30" t="s">
        <v>10</v>
      </c>
      <c r="E602" s="30" t="s">
        <v>298</v>
      </c>
      <c r="F602" s="11"/>
      <c r="G602" s="30">
        <v>2</v>
      </c>
      <c r="H602" s="30" t="s">
        <v>21</v>
      </c>
      <c r="I602" s="21" t="s">
        <v>68</v>
      </c>
      <c r="J602" s="30" t="s">
        <v>646</v>
      </c>
      <c r="K602" s="21" t="s">
        <v>90</v>
      </c>
      <c r="L602" s="35">
        <v>3</v>
      </c>
      <c r="M602" s="19">
        <v>12.2</v>
      </c>
      <c r="N602" s="42">
        <v>44706</v>
      </c>
      <c r="O602" s="30" t="s">
        <v>114</v>
      </c>
    </row>
    <row r="603" spans="1:15" s="30" customFormat="1" ht="30" x14ac:dyDescent="0.25">
      <c r="B603" s="30" t="s">
        <v>165</v>
      </c>
      <c r="C603" s="30" t="s">
        <v>6</v>
      </c>
      <c r="D603" s="30" t="s">
        <v>10</v>
      </c>
      <c r="E603" s="30" t="s">
        <v>298</v>
      </c>
      <c r="F603" s="11"/>
      <c r="G603" s="30">
        <v>2</v>
      </c>
      <c r="H603" s="30" t="s">
        <v>21</v>
      </c>
      <c r="I603" s="21" t="s">
        <v>68</v>
      </c>
      <c r="J603" s="30" t="s">
        <v>647</v>
      </c>
      <c r="K603" s="21" t="s">
        <v>90</v>
      </c>
      <c r="L603" s="35">
        <v>3</v>
      </c>
      <c r="M603" s="19">
        <v>13.3</v>
      </c>
      <c r="N603" s="42">
        <v>44706</v>
      </c>
      <c r="O603" s="30" t="s">
        <v>114</v>
      </c>
    </row>
    <row r="604" spans="1:15" s="30" customFormat="1" ht="30" x14ac:dyDescent="0.25">
      <c r="B604" s="30" t="s">
        <v>165</v>
      </c>
      <c r="C604" s="30" t="s">
        <v>6</v>
      </c>
      <c r="D604" s="30" t="s">
        <v>10</v>
      </c>
      <c r="E604" s="30" t="s">
        <v>298</v>
      </c>
      <c r="F604" s="11"/>
      <c r="G604" s="30">
        <v>2</v>
      </c>
      <c r="H604" s="30" t="s">
        <v>21</v>
      </c>
      <c r="I604" s="21" t="s">
        <v>68</v>
      </c>
      <c r="J604" s="30" t="s">
        <v>648</v>
      </c>
      <c r="K604" s="21" t="s">
        <v>90</v>
      </c>
      <c r="L604" s="35">
        <v>3</v>
      </c>
      <c r="M604" s="19">
        <v>12.23</v>
      </c>
      <c r="N604" s="42">
        <v>44706</v>
      </c>
      <c r="O604" s="30" t="s">
        <v>114</v>
      </c>
    </row>
    <row r="605" spans="1:15" s="30" customFormat="1" ht="30" x14ac:dyDescent="0.25">
      <c r="B605" s="30" t="s">
        <v>165</v>
      </c>
      <c r="C605" s="30" t="s">
        <v>6</v>
      </c>
      <c r="D605" s="30" t="s">
        <v>10</v>
      </c>
      <c r="E605" s="30" t="s">
        <v>298</v>
      </c>
      <c r="F605" s="11"/>
      <c r="G605" s="30">
        <v>2</v>
      </c>
      <c r="H605" s="30" t="s">
        <v>21</v>
      </c>
      <c r="I605" s="21" t="s">
        <v>68</v>
      </c>
      <c r="J605" s="30" t="s">
        <v>649</v>
      </c>
      <c r="K605" s="21" t="s">
        <v>90</v>
      </c>
      <c r="L605" s="35">
        <v>3</v>
      </c>
      <c r="M605" s="19">
        <v>12.23</v>
      </c>
      <c r="N605" s="42">
        <v>44706</v>
      </c>
      <c r="O605" s="30" t="s">
        <v>114</v>
      </c>
    </row>
    <row r="606" spans="1:15" s="30" customFormat="1" ht="30" x14ac:dyDescent="0.25">
      <c r="B606" s="30" t="s">
        <v>165</v>
      </c>
      <c r="C606" s="30" t="s">
        <v>6</v>
      </c>
      <c r="D606" s="30" t="s">
        <v>10</v>
      </c>
      <c r="E606" s="30" t="s">
        <v>298</v>
      </c>
      <c r="F606" s="11"/>
      <c r="G606" s="30">
        <v>2</v>
      </c>
      <c r="H606" s="30" t="s">
        <v>21</v>
      </c>
      <c r="I606" s="21" t="s">
        <v>68</v>
      </c>
      <c r="J606" s="30" t="s">
        <v>650</v>
      </c>
      <c r="K606" s="21" t="s">
        <v>90</v>
      </c>
      <c r="L606" s="35">
        <v>3</v>
      </c>
      <c r="M606" s="19">
        <v>10.87</v>
      </c>
      <c r="N606" s="42">
        <v>44706</v>
      </c>
      <c r="O606" s="30" t="s">
        <v>114</v>
      </c>
    </row>
    <row r="607" spans="1:15" s="30" customFormat="1" ht="30" x14ac:dyDescent="0.25">
      <c r="B607" s="30" t="s">
        <v>165</v>
      </c>
      <c r="C607" s="30" t="s">
        <v>6</v>
      </c>
      <c r="D607" s="30" t="s">
        <v>10</v>
      </c>
      <c r="E607" s="30" t="s">
        <v>298</v>
      </c>
      <c r="F607" s="11"/>
      <c r="G607" s="30">
        <v>2</v>
      </c>
      <c r="H607" s="30" t="s">
        <v>21</v>
      </c>
      <c r="I607" s="21" t="s">
        <v>68</v>
      </c>
      <c r="J607" s="30" t="s">
        <v>651</v>
      </c>
      <c r="K607" s="21" t="s">
        <v>90</v>
      </c>
      <c r="L607" s="35">
        <v>3</v>
      </c>
      <c r="M607" s="19">
        <v>199</v>
      </c>
      <c r="N607" s="42">
        <v>44706</v>
      </c>
      <c r="O607" s="30" t="s">
        <v>114</v>
      </c>
    </row>
    <row r="608" spans="1:15" s="30" customFormat="1" ht="30" x14ac:dyDescent="0.25">
      <c r="B608" s="30" t="s">
        <v>170</v>
      </c>
      <c r="C608" s="30" t="s">
        <v>6</v>
      </c>
      <c r="D608" s="30" t="s">
        <v>10</v>
      </c>
      <c r="E608" s="30" t="s">
        <v>298</v>
      </c>
      <c r="F608" s="11"/>
      <c r="G608" s="30">
        <v>2</v>
      </c>
      <c r="H608" s="30" t="s">
        <v>394</v>
      </c>
      <c r="I608" s="21" t="s">
        <v>68</v>
      </c>
      <c r="J608" s="30" t="s">
        <v>652</v>
      </c>
      <c r="K608" s="21" t="s">
        <v>107</v>
      </c>
      <c r="L608" s="35">
        <v>0</v>
      </c>
      <c r="M608" s="19">
        <v>654.84</v>
      </c>
      <c r="N608" s="42">
        <v>44706</v>
      </c>
      <c r="O608" s="30" t="s">
        <v>114</v>
      </c>
    </row>
    <row r="609" spans="1:15" s="59" customFormat="1" ht="30" x14ac:dyDescent="0.25">
      <c r="A609" s="30"/>
      <c r="B609" s="30" t="s">
        <v>168</v>
      </c>
      <c r="C609" s="30" t="s">
        <v>6</v>
      </c>
      <c r="D609" s="30" t="s">
        <v>10</v>
      </c>
      <c r="E609" s="30" t="s">
        <v>298</v>
      </c>
      <c r="F609" s="11"/>
      <c r="G609" s="30">
        <v>3</v>
      </c>
      <c r="H609" s="30" t="s">
        <v>390</v>
      </c>
      <c r="I609" s="21" t="s">
        <v>68</v>
      </c>
      <c r="J609" s="30" t="s">
        <v>653</v>
      </c>
      <c r="K609" s="21" t="s">
        <v>107</v>
      </c>
      <c r="L609" s="35">
        <v>0</v>
      </c>
      <c r="M609" s="19">
        <v>19.09</v>
      </c>
      <c r="N609" s="42">
        <v>44706</v>
      </c>
      <c r="O609" s="30" t="s">
        <v>114</v>
      </c>
    </row>
    <row r="610" spans="1:15" s="30" customFormat="1" ht="30" x14ac:dyDescent="0.25">
      <c r="B610" s="30" t="s">
        <v>167</v>
      </c>
      <c r="C610" s="30" t="s">
        <v>6</v>
      </c>
      <c r="D610" s="30" t="s">
        <v>10</v>
      </c>
      <c r="E610" s="30" t="s">
        <v>298</v>
      </c>
      <c r="F610" s="11"/>
      <c r="G610" s="30">
        <v>3</v>
      </c>
      <c r="H610" s="30" t="s">
        <v>399</v>
      </c>
      <c r="I610" s="21" t="s">
        <v>68</v>
      </c>
      <c r="J610" s="30" t="s">
        <v>654</v>
      </c>
      <c r="K610" s="21" t="s">
        <v>94</v>
      </c>
      <c r="L610" s="35">
        <v>6</v>
      </c>
      <c r="M610" s="19">
        <v>28.83</v>
      </c>
      <c r="N610" s="42">
        <v>44706</v>
      </c>
      <c r="O610" s="30" t="s">
        <v>114</v>
      </c>
    </row>
    <row r="611" spans="1:15" s="30" customFormat="1" ht="30" x14ac:dyDescent="0.25">
      <c r="B611" s="30" t="s">
        <v>167</v>
      </c>
      <c r="C611" s="30" t="s">
        <v>6</v>
      </c>
      <c r="D611" s="30" t="s">
        <v>10</v>
      </c>
      <c r="E611" s="30" t="s">
        <v>298</v>
      </c>
      <c r="F611" s="11"/>
      <c r="G611" s="30">
        <v>3</v>
      </c>
      <c r="H611" s="30" t="s">
        <v>399</v>
      </c>
      <c r="I611" s="21" t="s">
        <v>68</v>
      </c>
      <c r="J611" s="30" t="s">
        <v>655</v>
      </c>
      <c r="K611" s="21" t="s">
        <v>94</v>
      </c>
      <c r="L611" s="35">
        <v>1</v>
      </c>
      <c r="M611" s="19">
        <v>8.5299999999999994</v>
      </c>
      <c r="N611" s="42">
        <v>44706</v>
      </c>
      <c r="O611" s="30" t="s">
        <v>114</v>
      </c>
    </row>
    <row r="612" spans="1:15" s="30" customFormat="1" ht="30" x14ac:dyDescent="0.25">
      <c r="B612" s="30" t="s">
        <v>167</v>
      </c>
      <c r="C612" s="30" t="s">
        <v>6</v>
      </c>
      <c r="D612" s="30" t="s">
        <v>10</v>
      </c>
      <c r="E612" s="30" t="s">
        <v>298</v>
      </c>
      <c r="F612" s="11"/>
      <c r="G612" s="30">
        <v>3</v>
      </c>
      <c r="H612" s="30" t="s">
        <v>399</v>
      </c>
      <c r="I612" s="21" t="s">
        <v>68</v>
      </c>
      <c r="J612" s="30" t="s">
        <v>656</v>
      </c>
      <c r="K612" s="21" t="s">
        <v>94</v>
      </c>
      <c r="L612" s="35">
        <v>6</v>
      </c>
      <c r="M612" s="19">
        <v>28.66</v>
      </c>
      <c r="N612" s="42">
        <v>44706</v>
      </c>
      <c r="O612" s="30" t="s">
        <v>114</v>
      </c>
    </row>
    <row r="613" spans="1:15" s="30" customFormat="1" ht="30" x14ac:dyDescent="0.25">
      <c r="B613" s="30" t="s">
        <v>167</v>
      </c>
      <c r="C613" s="30" t="s">
        <v>6</v>
      </c>
      <c r="D613" s="30" t="s">
        <v>10</v>
      </c>
      <c r="E613" s="30" t="s">
        <v>298</v>
      </c>
      <c r="F613" s="11"/>
      <c r="G613" s="30">
        <v>3</v>
      </c>
      <c r="H613" s="30" t="s">
        <v>399</v>
      </c>
      <c r="I613" s="21" t="s">
        <v>68</v>
      </c>
      <c r="J613" s="30" t="s">
        <v>657</v>
      </c>
      <c r="K613" s="21" t="s">
        <v>94</v>
      </c>
      <c r="L613" s="35">
        <v>1</v>
      </c>
      <c r="M613" s="19">
        <v>9.91</v>
      </c>
      <c r="N613" s="42">
        <v>44706</v>
      </c>
      <c r="O613" s="30" t="s">
        <v>114</v>
      </c>
    </row>
    <row r="614" spans="1:15" s="30" customFormat="1" ht="30" x14ac:dyDescent="0.25">
      <c r="B614" s="30" t="s">
        <v>168</v>
      </c>
      <c r="C614" s="30" t="s">
        <v>6</v>
      </c>
      <c r="D614" s="30" t="s">
        <v>10</v>
      </c>
      <c r="E614" s="30" t="s">
        <v>298</v>
      </c>
      <c r="F614" s="11"/>
      <c r="G614" s="30">
        <v>3</v>
      </c>
      <c r="H614" s="30" t="s">
        <v>390</v>
      </c>
      <c r="I614" s="21" t="s">
        <v>68</v>
      </c>
      <c r="J614" s="30" t="s">
        <v>658</v>
      </c>
      <c r="K614" s="21" t="s">
        <v>94</v>
      </c>
      <c r="L614" s="35">
        <v>0</v>
      </c>
      <c r="M614" s="19">
        <v>5.26</v>
      </c>
      <c r="N614" s="42">
        <v>44706</v>
      </c>
      <c r="O614" s="30" t="s">
        <v>114</v>
      </c>
    </row>
    <row r="615" spans="1:15" s="30" customFormat="1" ht="30" x14ac:dyDescent="0.25">
      <c r="B615" s="30" t="s">
        <v>168</v>
      </c>
      <c r="C615" s="30" t="s">
        <v>6</v>
      </c>
      <c r="D615" s="30" t="s">
        <v>10</v>
      </c>
      <c r="E615" s="30" t="s">
        <v>298</v>
      </c>
      <c r="F615" s="11"/>
      <c r="G615" s="30">
        <v>3</v>
      </c>
      <c r="H615" s="30" t="s">
        <v>389</v>
      </c>
      <c r="I615" s="21" t="s">
        <v>68</v>
      </c>
      <c r="J615" s="30" t="s">
        <v>659</v>
      </c>
      <c r="K615" s="21" t="s">
        <v>94</v>
      </c>
      <c r="L615" s="35">
        <v>0</v>
      </c>
      <c r="M615" s="19">
        <v>7.35</v>
      </c>
      <c r="N615" s="42">
        <v>44706</v>
      </c>
      <c r="O615" s="30" t="s">
        <v>114</v>
      </c>
    </row>
    <row r="616" spans="1:15" s="30" customFormat="1" ht="30" x14ac:dyDescent="0.25">
      <c r="B616" s="30" t="s">
        <v>168</v>
      </c>
      <c r="C616" s="30" t="s">
        <v>6</v>
      </c>
      <c r="D616" s="30" t="s">
        <v>10</v>
      </c>
      <c r="E616" s="30" t="s">
        <v>298</v>
      </c>
      <c r="F616" s="11"/>
      <c r="G616" s="30">
        <v>3</v>
      </c>
      <c r="H616" s="30" t="s">
        <v>390</v>
      </c>
      <c r="I616" s="21" t="s">
        <v>68</v>
      </c>
      <c r="J616" s="30" t="s">
        <v>658</v>
      </c>
      <c r="K616" s="21" t="s">
        <v>94</v>
      </c>
      <c r="L616" s="35">
        <v>0</v>
      </c>
      <c r="M616" s="19">
        <v>6.21</v>
      </c>
      <c r="N616" s="42">
        <v>44706</v>
      </c>
      <c r="O616" s="30" t="s">
        <v>114</v>
      </c>
    </row>
    <row r="617" spans="1:15" s="30" customFormat="1" ht="30" x14ac:dyDescent="0.25">
      <c r="B617" s="30" t="s">
        <v>168</v>
      </c>
      <c r="C617" s="30" t="s">
        <v>6</v>
      </c>
      <c r="D617" s="30" t="s">
        <v>10</v>
      </c>
      <c r="E617" s="30" t="s">
        <v>298</v>
      </c>
      <c r="F617" s="11"/>
      <c r="G617" s="30">
        <v>3</v>
      </c>
      <c r="H617" s="30" t="s">
        <v>389</v>
      </c>
      <c r="I617" s="21" t="s">
        <v>68</v>
      </c>
      <c r="J617" s="30" t="s">
        <v>660</v>
      </c>
      <c r="K617" s="21" t="s">
        <v>94</v>
      </c>
      <c r="L617" s="35">
        <v>0</v>
      </c>
      <c r="M617" s="19">
        <v>2.79</v>
      </c>
      <c r="N617" s="42">
        <v>44706</v>
      </c>
      <c r="O617" s="30" t="s">
        <v>114</v>
      </c>
    </row>
    <row r="618" spans="1:15" s="30" customFormat="1" ht="30" x14ac:dyDescent="0.25">
      <c r="B618" s="30" t="s">
        <v>168</v>
      </c>
      <c r="C618" s="30" t="s">
        <v>6</v>
      </c>
      <c r="D618" s="30" t="s">
        <v>10</v>
      </c>
      <c r="E618" s="30" t="s">
        <v>298</v>
      </c>
      <c r="F618" s="11"/>
      <c r="G618" s="30">
        <v>3</v>
      </c>
      <c r="H618" s="30" t="s">
        <v>390</v>
      </c>
      <c r="I618" s="21" t="s">
        <v>68</v>
      </c>
      <c r="J618" s="30" t="s">
        <v>661</v>
      </c>
      <c r="K618" s="21" t="s">
        <v>94</v>
      </c>
      <c r="L618" s="35">
        <v>0</v>
      </c>
      <c r="M618" s="19">
        <v>6.86</v>
      </c>
      <c r="N618" s="42">
        <v>44706</v>
      </c>
      <c r="O618" s="30" t="s">
        <v>114</v>
      </c>
    </row>
    <row r="619" spans="1:15" s="30" customFormat="1" ht="30" x14ac:dyDescent="0.25">
      <c r="B619" s="30" t="s">
        <v>165</v>
      </c>
      <c r="C619" s="30" t="s">
        <v>6</v>
      </c>
      <c r="D619" s="30" t="s">
        <v>10</v>
      </c>
      <c r="E619" s="30" t="s">
        <v>298</v>
      </c>
      <c r="F619" s="11"/>
      <c r="G619" s="30">
        <v>3</v>
      </c>
      <c r="H619" s="30" t="s">
        <v>26</v>
      </c>
      <c r="I619" s="21" t="s">
        <v>68</v>
      </c>
      <c r="J619" s="30" t="s">
        <v>662</v>
      </c>
      <c r="K619" s="21" t="s">
        <v>90</v>
      </c>
      <c r="L619" s="35">
        <v>41</v>
      </c>
      <c r="M619" s="19">
        <v>92.07</v>
      </c>
      <c r="N619" s="42">
        <v>44706</v>
      </c>
      <c r="O619" s="30" t="s">
        <v>114</v>
      </c>
    </row>
    <row r="620" spans="1:15" s="30" customFormat="1" ht="30" x14ac:dyDescent="0.25">
      <c r="B620" s="30" t="s">
        <v>165</v>
      </c>
      <c r="C620" s="30" t="s">
        <v>6</v>
      </c>
      <c r="D620" s="30" t="s">
        <v>10</v>
      </c>
      <c r="E620" s="30" t="s">
        <v>298</v>
      </c>
      <c r="F620" s="11"/>
      <c r="G620" s="30">
        <v>3</v>
      </c>
      <c r="H620" s="30" t="s">
        <v>26</v>
      </c>
      <c r="I620" s="21" t="s">
        <v>68</v>
      </c>
      <c r="J620" s="30" t="s">
        <v>663</v>
      </c>
      <c r="K620" s="21" t="s">
        <v>90</v>
      </c>
      <c r="L620" s="35">
        <v>51</v>
      </c>
      <c r="M620" s="19">
        <v>121.68</v>
      </c>
      <c r="N620" s="42">
        <v>44706</v>
      </c>
      <c r="O620" s="30" t="s">
        <v>114</v>
      </c>
    </row>
    <row r="621" spans="1:15" s="30" customFormat="1" ht="30" x14ac:dyDescent="0.25">
      <c r="B621" s="30" t="s">
        <v>165</v>
      </c>
      <c r="C621" s="30" t="s">
        <v>6</v>
      </c>
      <c r="D621" s="30" t="s">
        <v>10</v>
      </c>
      <c r="E621" s="30" t="s">
        <v>298</v>
      </c>
      <c r="F621" s="11"/>
      <c r="G621" s="30">
        <v>3</v>
      </c>
      <c r="H621" s="30" t="s">
        <v>26</v>
      </c>
      <c r="I621" s="21" t="s">
        <v>68</v>
      </c>
      <c r="J621" s="30" t="s">
        <v>663</v>
      </c>
      <c r="K621" s="21" t="s">
        <v>90</v>
      </c>
      <c r="L621" s="35">
        <v>51</v>
      </c>
      <c r="M621" s="19">
        <v>122.68</v>
      </c>
      <c r="N621" s="42">
        <v>44706</v>
      </c>
      <c r="O621" s="30" t="s">
        <v>114</v>
      </c>
    </row>
    <row r="622" spans="1:15" s="30" customFormat="1" ht="30" x14ac:dyDescent="0.25">
      <c r="B622" s="30" t="s">
        <v>165</v>
      </c>
      <c r="C622" s="30" t="s">
        <v>6</v>
      </c>
      <c r="D622" s="30" t="s">
        <v>10</v>
      </c>
      <c r="E622" s="30" t="s">
        <v>298</v>
      </c>
      <c r="F622" s="11"/>
      <c r="G622" s="30">
        <v>3</v>
      </c>
      <c r="H622" s="30" t="s">
        <v>26</v>
      </c>
      <c r="I622" s="21" t="s">
        <v>68</v>
      </c>
      <c r="J622" s="30" t="s">
        <v>663</v>
      </c>
      <c r="K622" s="21" t="s">
        <v>90</v>
      </c>
      <c r="L622" s="35">
        <v>51</v>
      </c>
      <c r="M622" s="19">
        <v>122.68</v>
      </c>
      <c r="N622" s="42">
        <v>44706</v>
      </c>
      <c r="O622" s="30" t="s">
        <v>114</v>
      </c>
    </row>
    <row r="623" spans="1:15" s="30" customFormat="1" ht="30" x14ac:dyDescent="0.25">
      <c r="B623" s="30" t="s">
        <v>165</v>
      </c>
      <c r="C623" s="30" t="s">
        <v>6</v>
      </c>
      <c r="D623" s="30" t="s">
        <v>10</v>
      </c>
      <c r="E623" s="30" t="s">
        <v>298</v>
      </c>
      <c r="F623" s="11"/>
      <c r="G623" s="30">
        <v>3</v>
      </c>
      <c r="H623" s="30" t="s">
        <v>26</v>
      </c>
      <c r="I623" s="21" t="s">
        <v>68</v>
      </c>
      <c r="J623" s="30" t="s">
        <v>664</v>
      </c>
      <c r="K623" s="21" t="s">
        <v>90</v>
      </c>
      <c r="L623" s="35">
        <v>51</v>
      </c>
      <c r="M623" s="19">
        <v>110.28</v>
      </c>
      <c r="N623" s="42">
        <v>44706</v>
      </c>
      <c r="O623" s="30" t="s">
        <v>114</v>
      </c>
    </row>
    <row r="624" spans="1:15" s="30" customFormat="1" ht="30" x14ac:dyDescent="0.25">
      <c r="B624" s="30" t="s">
        <v>165</v>
      </c>
      <c r="C624" s="30" t="s">
        <v>6</v>
      </c>
      <c r="D624" s="30" t="s">
        <v>10</v>
      </c>
      <c r="E624" s="30" t="s">
        <v>298</v>
      </c>
      <c r="F624" s="11"/>
      <c r="G624" s="30">
        <v>3</v>
      </c>
      <c r="H624" s="30" t="s">
        <v>26</v>
      </c>
      <c r="I624" s="21" t="s">
        <v>68</v>
      </c>
      <c r="J624" s="30" t="s">
        <v>665</v>
      </c>
      <c r="K624" s="21" t="s">
        <v>90</v>
      </c>
      <c r="L624" s="35">
        <v>31</v>
      </c>
      <c r="M624" s="19">
        <v>76.05</v>
      </c>
      <c r="N624" s="42">
        <v>44706</v>
      </c>
      <c r="O624" s="30" t="s">
        <v>114</v>
      </c>
    </row>
    <row r="625" spans="1:15" s="30" customFormat="1" ht="30" x14ac:dyDescent="0.25">
      <c r="B625" s="30" t="s">
        <v>165</v>
      </c>
      <c r="C625" s="30" t="s">
        <v>6</v>
      </c>
      <c r="D625" s="30" t="s">
        <v>10</v>
      </c>
      <c r="E625" s="30" t="s">
        <v>298</v>
      </c>
      <c r="F625" s="11"/>
      <c r="G625" s="30">
        <v>3</v>
      </c>
      <c r="H625" s="30" t="s">
        <v>26</v>
      </c>
      <c r="I625" s="21" t="s">
        <v>68</v>
      </c>
      <c r="J625" s="30" t="s">
        <v>665</v>
      </c>
      <c r="K625" s="21" t="s">
        <v>90</v>
      </c>
      <c r="L625" s="35">
        <v>31</v>
      </c>
      <c r="M625" s="19">
        <v>76.05</v>
      </c>
      <c r="N625" s="42">
        <v>44706</v>
      </c>
      <c r="O625" s="30" t="s">
        <v>114</v>
      </c>
    </row>
    <row r="626" spans="1:15" s="30" customFormat="1" ht="30" x14ac:dyDescent="0.25">
      <c r="B626" s="30" t="s">
        <v>165</v>
      </c>
      <c r="C626" s="30" t="s">
        <v>6</v>
      </c>
      <c r="D626" s="30" t="s">
        <v>10</v>
      </c>
      <c r="E626" s="30" t="s">
        <v>298</v>
      </c>
      <c r="F626" s="11"/>
      <c r="G626" s="30">
        <v>3</v>
      </c>
      <c r="H626" s="30" t="s">
        <v>26</v>
      </c>
      <c r="I626" s="21" t="s">
        <v>68</v>
      </c>
      <c r="J626" s="30" t="s">
        <v>665</v>
      </c>
      <c r="K626" s="21" t="s">
        <v>90</v>
      </c>
      <c r="L626" s="35">
        <v>31</v>
      </c>
      <c r="M626" s="19">
        <v>78.19</v>
      </c>
      <c r="N626" s="42">
        <v>44706</v>
      </c>
      <c r="O626" s="30" t="s">
        <v>114</v>
      </c>
    </row>
    <row r="627" spans="1:15" s="30" customFormat="1" ht="30" x14ac:dyDescent="0.25">
      <c r="B627" s="30" t="s">
        <v>165</v>
      </c>
      <c r="C627" s="30" t="s">
        <v>6</v>
      </c>
      <c r="D627" s="30" t="s">
        <v>10</v>
      </c>
      <c r="E627" s="30" t="s">
        <v>298</v>
      </c>
      <c r="F627" s="11"/>
      <c r="G627" s="30">
        <v>3</v>
      </c>
      <c r="H627" s="30" t="s">
        <v>26</v>
      </c>
      <c r="I627" s="21" t="s">
        <v>68</v>
      </c>
      <c r="J627" s="30" t="s">
        <v>665</v>
      </c>
      <c r="K627" s="21" t="s">
        <v>90</v>
      </c>
      <c r="L627" s="35">
        <v>31</v>
      </c>
      <c r="M627" s="19">
        <v>78.64</v>
      </c>
      <c r="N627" s="42">
        <v>44706</v>
      </c>
      <c r="O627" s="30" t="s">
        <v>114</v>
      </c>
    </row>
    <row r="628" spans="1:15" s="30" customFormat="1" ht="30" x14ac:dyDescent="0.25">
      <c r="B628" s="30" t="s">
        <v>165</v>
      </c>
      <c r="C628" s="30" t="s">
        <v>6</v>
      </c>
      <c r="D628" s="30" t="s">
        <v>10</v>
      </c>
      <c r="E628" s="30" t="s">
        <v>298</v>
      </c>
      <c r="F628" s="11"/>
      <c r="G628" s="30">
        <v>3</v>
      </c>
      <c r="H628" s="30" t="s">
        <v>26</v>
      </c>
      <c r="I628" s="21" t="s">
        <v>68</v>
      </c>
      <c r="J628" s="30" t="s">
        <v>665</v>
      </c>
      <c r="K628" s="21" t="s">
        <v>90</v>
      </c>
      <c r="L628" s="35">
        <v>31</v>
      </c>
      <c r="M628" s="19">
        <v>75.12</v>
      </c>
      <c r="N628" s="42">
        <v>44706</v>
      </c>
      <c r="O628" s="30" t="s">
        <v>114</v>
      </c>
    </row>
    <row r="629" spans="1:15" s="30" customFormat="1" ht="30" x14ac:dyDescent="0.25">
      <c r="A629" s="59"/>
      <c r="B629" s="59" t="s">
        <v>165</v>
      </c>
      <c r="C629" s="59" t="s">
        <v>6</v>
      </c>
      <c r="D629" s="59" t="s">
        <v>10</v>
      </c>
      <c r="E629" s="59" t="s">
        <v>298</v>
      </c>
      <c r="F629" s="61"/>
      <c r="G629" s="59">
        <v>3</v>
      </c>
      <c r="H629" s="59" t="s">
        <v>26</v>
      </c>
      <c r="I629" s="62" t="s">
        <v>68</v>
      </c>
      <c r="J629" s="59" t="s">
        <v>832</v>
      </c>
      <c r="K629" s="62" t="s">
        <v>90</v>
      </c>
      <c r="L629" s="63">
        <v>6</v>
      </c>
      <c r="M629" s="64">
        <v>62.34</v>
      </c>
      <c r="N629" s="65">
        <v>44706</v>
      </c>
      <c r="O629" s="59" t="s">
        <v>114</v>
      </c>
    </row>
    <row r="630" spans="1:15" s="30" customFormat="1" ht="30" x14ac:dyDescent="0.25">
      <c r="B630" s="30" t="s">
        <v>168</v>
      </c>
      <c r="C630" s="30" t="s">
        <v>6</v>
      </c>
      <c r="D630" s="30" t="s">
        <v>10</v>
      </c>
      <c r="E630" s="30" t="s">
        <v>298</v>
      </c>
      <c r="F630" s="11"/>
      <c r="G630" s="30">
        <v>3</v>
      </c>
      <c r="H630" s="30" t="s">
        <v>23</v>
      </c>
      <c r="I630" s="21" t="s">
        <v>68</v>
      </c>
      <c r="J630" s="30" t="s">
        <v>666</v>
      </c>
      <c r="K630" s="21" t="s">
        <v>94</v>
      </c>
      <c r="L630" s="35">
        <v>0</v>
      </c>
      <c r="M630" s="19">
        <v>9.56</v>
      </c>
      <c r="N630" s="42">
        <v>44706</v>
      </c>
      <c r="O630" s="30" t="s">
        <v>114</v>
      </c>
    </row>
    <row r="631" spans="1:15" s="30" customFormat="1" ht="30" x14ac:dyDescent="0.25">
      <c r="B631" s="30" t="s">
        <v>165</v>
      </c>
      <c r="C631" s="30" t="s">
        <v>6</v>
      </c>
      <c r="D631" s="30" t="s">
        <v>10</v>
      </c>
      <c r="E631" s="30" t="s">
        <v>298</v>
      </c>
      <c r="F631" s="11"/>
      <c r="G631" s="30">
        <v>3</v>
      </c>
      <c r="H631" s="30" t="s">
        <v>26</v>
      </c>
      <c r="I631" s="21" t="s">
        <v>68</v>
      </c>
      <c r="J631" s="30" t="s">
        <v>833</v>
      </c>
      <c r="K631" s="21" t="s">
        <v>90</v>
      </c>
      <c r="L631" s="35">
        <v>0</v>
      </c>
      <c r="M631" s="19">
        <v>114.36</v>
      </c>
      <c r="N631" s="42">
        <v>44706</v>
      </c>
      <c r="O631" s="30" t="s">
        <v>114</v>
      </c>
    </row>
    <row r="632" spans="1:15" s="30" customFormat="1" ht="30" x14ac:dyDescent="0.25">
      <c r="B632" s="30" t="s">
        <v>170</v>
      </c>
      <c r="C632" s="30" t="s">
        <v>6</v>
      </c>
      <c r="D632" s="30" t="s">
        <v>10</v>
      </c>
      <c r="E632" s="30" t="s">
        <v>298</v>
      </c>
      <c r="F632" s="11"/>
      <c r="G632" s="30">
        <v>3</v>
      </c>
      <c r="H632" s="30" t="s">
        <v>394</v>
      </c>
      <c r="I632" s="21" t="s">
        <v>68</v>
      </c>
      <c r="J632" s="30" t="s">
        <v>667</v>
      </c>
      <c r="K632" s="21" t="s">
        <v>94</v>
      </c>
      <c r="L632" s="35">
        <v>0</v>
      </c>
      <c r="M632" s="19">
        <v>600.74</v>
      </c>
      <c r="N632" s="42">
        <v>44706</v>
      </c>
      <c r="O632" s="30" t="s">
        <v>114</v>
      </c>
    </row>
    <row r="633" spans="1:15" s="30" customFormat="1" ht="30" x14ac:dyDescent="0.25">
      <c r="B633" s="30" t="s">
        <v>168</v>
      </c>
      <c r="C633" s="30" t="s">
        <v>6</v>
      </c>
      <c r="D633" s="30" t="s">
        <v>10</v>
      </c>
      <c r="E633" s="30" t="s">
        <v>298</v>
      </c>
      <c r="F633" s="11"/>
      <c r="G633" s="30">
        <v>4</v>
      </c>
      <c r="H633" s="30" t="s">
        <v>390</v>
      </c>
      <c r="I633" s="21" t="s">
        <v>68</v>
      </c>
      <c r="J633" s="30" t="s">
        <v>668</v>
      </c>
      <c r="K633" s="21" t="s">
        <v>94</v>
      </c>
      <c r="L633" s="35">
        <v>0</v>
      </c>
      <c r="M633" s="19">
        <v>19.09</v>
      </c>
      <c r="N633" s="42">
        <v>44706</v>
      </c>
      <c r="O633" s="30" t="s">
        <v>114</v>
      </c>
    </row>
    <row r="634" spans="1:15" s="30" customFormat="1" ht="30" x14ac:dyDescent="0.25">
      <c r="B634" s="30" t="s">
        <v>169</v>
      </c>
      <c r="C634" s="30" t="s">
        <v>6</v>
      </c>
      <c r="D634" s="30" t="s">
        <v>10</v>
      </c>
      <c r="E634" s="30" t="s">
        <v>298</v>
      </c>
      <c r="F634" s="11"/>
      <c r="G634" s="30">
        <v>4</v>
      </c>
      <c r="H634" s="30" t="s">
        <v>399</v>
      </c>
      <c r="I634" s="21" t="s">
        <v>68</v>
      </c>
      <c r="J634" s="30" t="s">
        <v>669</v>
      </c>
      <c r="K634" s="21" t="s">
        <v>94</v>
      </c>
      <c r="L634" s="35">
        <v>6</v>
      </c>
      <c r="M634" s="19">
        <v>28.83</v>
      </c>
      <c r="N634" s="42">
        <v>44706</v>
      </c>
      <c r="O634" s="30" t="s">
        <v>114</v>
      </c>
    </row>
    <row r="635" spans="1:15" s="30" customFormat="1" ht="30" x14ac:dyDescent="0.25">
      <c r="B635" s="30" t="s">
        <v>169</v>
      </c>
      <c r="C635" s="30" t="s">
        <v>6</v>
      </c>
      <c r="D635" s="30" t="s">
        <v>10</v>
      </c>
      <c r="E635" s="30" t="s">
        <v>298</v>
      </c>
      <c r="F635" s="11"/>
      <c r="G635" s="30">
        <v>4</v>
      </c>
      <c r="H635" s="30" t="s">
        <v>398</v>
      </c>
      <c r="I635" s="21" t="s">
        <v>68</v>
      </c>
      <c r="J635" s="30" t="s">
        <v>764</v>
      </c>
      <c r="K635" s="21" t="s">
        <v>94</v>
      </c>
      <c r="L635" s="35">
        <v>1</v>
      </c>
      <c r="M635" s="19">
        <v>8.5299999999999994</v>
      </c>
      <c r="N635" s="42">
        <v>44706</v>
      </c>
      <c r="O635" s="30" t="s">
        <v>114</v>
      </c>
    </row>
    <row r="636" spans="1:15" s="30" customFormat="1" ht="30" x14ac:dyDescent="0.25">
      <c r="B636" s="30" t="s">
        <v>169</v>
      </c>
      <c r="C636" s="30" t="s">
        <v>6</v>
      </c>
      <c r="D636" s="30" t="s">
        <v>10</v>
      </c>
      <c r="E636" s="30" t="s">
        <v>298</v>
      </c>
      <c r="F636" s="11"/>
      <c r="G636" s="30">
        <v>4</v>
      </c>
      <c r="H636" s="30" t="s">
        <v>398</v>
      </c>
      <c r="I636" s="21" t="s">
        <v>68</v>
      </c>
      <c r="J636" s="30" t="s">
        <v>671</v>
      </c>
      <c r="K636" s="21" t="s">
        <v>94</v>
      </c>
      <c r="L636" s="35">
        <v>6</v>
      </c>
      <c r="M636" s="19">
        <v>28.66</v>
      </c>
      <c r="N636" s="42">
        <v>44706</v>
      </c>
      <c r="O636" s="30" t="s">
        <v>114</v>
      </c>
    </row>
    <row r="637" spans="1:15" s="30" customFormat="1" ht="30" x14ac:dyDescent="0.25">
      <c r="B637" s="30" t="s">
        <v>169</v>
      </c>
      <c r="C637" s="30" t="s">
        <v>6</v>
      </c>
      <c r="D637" s="30" t="s">
        <v>10</v>
      </c>
      <c r="E637" s="30" t="s">
        <v>298</v>
      </c>
      <c r="F637" s="11"/>
      <c r="G637" s="30">
        <v>4</v>
      </c>
      <c r="H637" s="30" t="s">
        <v>399</v>
      </c>
      <c r="I637" s="21" t="s">
        <v>68</v>
      </c>
      <c r="J637" s="30" t="s">
        <v>765</v>
      </c>
      <c r="K637" s="21" t="s">
        <v>94</v>
      </c>
      <c r="L637" s="35">
        <v>1</v>
      </c>
      <c r="M637" s="19">
        <v>9.91</v>
      </c>
      <c r="N637" s="42">
        <v>44706</v>
      </c>
      <c r="O637" s="30" t="s">
        <v>114</v>
      </c>
    </row>
    <row r="638" spans="1:15" s="30" customFormat="1" ht="30" x14ac:dyDescent="0.25">
      <c r="B638" s="30" t="s">
        <v>168</v>
      </c>
      <c r="C638" s="30" t="s">
        <v>6</v>
      </c>
      <c r="D638" s="30" t="s">
        <v>10</v>
      </c>
      <c r="E638" s="30" t="s">
        <v>298</v>
      </c>
      <c r="F638" s="11"/>
      <c r="G638" s="30">
        <v>4</v>
      </c>
      <c r="H638" s="30" t="s">
        <v>390</v>
      </c>
      <c r="I638" s="21" t="s">
        <v>68</v>
      </c>
      <c r="J638" s="30" t="s">
        <v>673</v>
      </c>
      <c r="K638" s="21" t="s">
        <v>94</v>
      </c>
      <c r="L638" s="35">
        <v>0</v>
      </c>
      <c r="M638" s="19">
        <v>5.26</v>
      </c>
      <c r="N638" s="42">
        <v>44706</v>
      </c>
      <c r="O638" s="30" t="s">
        <v>114</v>
      </c>
    </row>
    <row r="639" spans="1:15" s="30" customFormat="1" ht="30" x14ac:dyDescent="0.25">
      <c r="B639" s="30" t="s">
        <v>168</v>
      </c>
      <c r="C639" s="30" t="s">
        <v>6</v>
      </c>
      <c r="D639" s="30" t="s">
        <v>10</v>
      </c>
      <c r="E639" s="30" t="s">
        <v>298</v>
      </c>
      <c r="F639" s="11"/>
      <c r="G639" s="30">
        <v>4</v>
      </c>
      <c r="H639" s="30" t="s">
        <v>389</v>
      </c>
      <c r="I639" s="21" t="s">
        <v>68</v>
      </c>
      <c r="J639" s="30" t="s">
        <v>674</v>
      </c>
      <c r="K639" s="21" t="s">
        <v>94</v>
      </c>
      <c r="L639" s="35">
        <v>0</v>
      </c>
      <c r="M639" s="19">
        <v>7.35</v>
      </c>
      <c r="N639" s="42">
        <v>44706</v>
      </c>
      <c r="O639" s="30" t="s">
        <v>114</v>
      </c>
    </row>
    <row r="640" spans="1:15" s="30" customFormat="1" ht="30" x14ac:dyDescent="0.25">
      <c r="B640" s="30" t="s">
        <v>168</v>
      </c>
      <c r="C640" s="30" t="s">
        <v>6</v>
      </c>
      <c r="D640" s="30" t="s">
        <v>10</v>
      </c>
      <c r="E640" s="30" t="s">
        <v>298</v>
      </c>
      <c r="F640" s="11"/>
      <c r="G640" s="30">
        <v>4</v>
      </c>
      <c r="H640" s="30" t="s">
        <v>390</v>
      </c>
      <c r="I640" s="21" t="s">
        <v>68</v>
      </c>
      <c r="J640" s="30" t="s">
        <v>673</v>
      </c>
      <c r="K640" s="21" t="s">
        <v>94</v>
      </c>
      <c r="L640" s="35">
        <v>0</v>
      </c>
      <c r="M640" s="19">
        <v>6.21</v>
      </c>
      <c r="N640" s="42">
        <v>44706</v>
      </c>
      <c r="O640" s="30" t="s">
        <v>114</v>
      </c>
    </row>
    <row r="641" spans="2:15" s="30" customFormat="1" ht="30" x14ac:dyDescent="0.25">
      <c r="B641" s="30" t="s">
        <v>168</v>
      </c>
      <c r="C641" s="30" t="s">
        <v>6</v>
      </c>
      <c r="D641" s="30" t="s">
        <v>10</v>
      </c>
      <c r="E641" s="30" t="s">
        <v>298</v>
      </c>
      <c r="F641" s="11"/>
      <c r="G641" s="30">
        <v>4</v>
      </c>
      <c r="H641" s="30" t="s">
        <v>389</v>
      </c>
      <c r="I641" s="21" t="s">
        <v>68</v>
      </c>
      <c r="J641" s="30" t="s">
        <v>675</v>
      </c>
      <c r="K641" s="21" t="s">
        <v>94</v>
      </c>
      <c r="L641" s="35">
        <v>0</v>
      </c>
      <c r="M641" s="19">
        <v>2.79</v>
      </c>
      <c r="N641" s="42">
        <v>44706</v>
      </c>
      <c r="O641" s="30" t="s">
        <v>114</v>
      </c>
    </row>
    <row r="642" spans="2:15" s="30" customFormat="1" ht="30" x14ac:dyDescent="0.25">
      <c r="B642" s="30" t="s">
        <v>168</v>
      </c>
      <c r="C642" s="30" t="s">
        <v>6</v>
      </c>
      <c r="D642" s="30" t="s">
        <v>10</v>
      </c>
      <c r="E642" s="30" t="s">
        <v>298</v>
      </c>
      <c r="F642" s="11"/>
      <c r="G642" s="30">
        <v>4</v>
      </c>
      <c r="H642" s="30" t="s">
        <v>390</v>
      </c>
      <c r="I642" s="21" t="s">
        <v>68</v>
      </c>
      <c r="J642" s="30" t="s">
        <v>676</v>
      </c>
      <c r="K642" s="21" t="s">
        <v>94</v>
      </c>
      <c r="L642" s="35">
        <v>0</v>
      </c>
      <c r="M642" s="19">
        <v>6.86</v>
      </c>
      <c r="N642" s="42">
        <v>44706</v>
      </c>
      <c r="O642" s="30" t="s">
        <v>114</v>
      </c>
    </row>
    <row r="643" spans="2:15" s="30" customFormat="1" ht="30" x14ac:dyDescent="0.25">
      <c r="B643" s="30" t="s">
        <v>165</v>
      </c>
      <c r="C643" s="30" t="s">
        <v>6</v>
      </c>
      <c r="D643" s="30" t="s">
        <v>10</v>
      </c>
      <c r="E643" s="30" t="s">
        <v>298</v>
      </c>
      <c r="F643" s="11"/>
      <c r="G643" s="30">
        <v>4</v>
      </c>
      <c r="H643" s="30" t="s">
        <v>26</v>
      </c>
      <c r="I643" s="21" t="s">
        <v>68</v>
      </c>
      <c r="J643" s="30" t="s">
        <v>677</v>
      </c>
      <c r="K643" s="21" t="s">
        <v>90</v>
      </c>
      <c r="L643" s="35">
        <v>41</v>
      </c>
      <c r="M643" s="19">
        <v>92.07</v>
      </c>
      <c r="N643" s="42">
        <v>44706</v>
      </c>
      <c r="O643" s="30" t="s">
        <v>114</v>
      </c>
    </row>
    <row r="644" spans="2:15" s="30" customFormat="1" ht="30" x14ac:dyDescent="0.25">
      <c r="B644" s="30" t="s">
        <v>165</v>
      </c>
      <c r="C644" s="30" t="s">
        <v>6</v>
      </c>
      <c r="D644" s="30" t="s">
        <v>10</v>
      </c>
      <c r="E644" s="30" t="s">
        <v>298</v>
      </c>
      <c r="F644" s="11"/>
      <c r="G644" s="30">
        <v>4</v>
      </c>
      <c r="H644" s="30" t="s">
        <v>26</v>
      </c>
      <c r="I644" s="21" t="s">
        <v>68</v>
      </c>
      <c r="J644" s="30" t="s">
        <v>678</v>
      </c>
      <c r="K644" s="21" t="s">
        <v>90</v>
      </c>
      <c r="L644" s="35">
        <v>51</v>
      </c>
      <c r="M644" s="19">
        <v>121.68</v>
      </c>
      <c r="N644" s="42">
        <v>44706</v>
      </c>
      <c r="O644" s="30" t="s">
        <v>114</v>
      </c>
    </row>
    <row r="645" spans="2:15" s="30" customFormat="1" ht="30" x14ac:dyDescent="0.25">
      <c r="B645" s="30" t="s">
        <v>165</v>
      </c>
      <c r="C645" s="30" t="s">
        <v>6</v>
      </c>
      <c r="D645" s="30" t="s">
        <v>10</v>
      </c>
      <c r="E645" s="30" t="s">
        <v>298</v>
      </c>
      <c r="F645" s="11"/>
      <c r="G645" s="30">
        <v>4</v>
      </c>
      <c r="H645" s="30" t="s">
        <v>26</v>
      </c>
      <c r="I645" s="21" t="s">
        <v>68</v>
      </c>
      <c r="J645" s="30" t="s">
        <v>678</v>
      </c>
      <c r="K645" s="21" t="s">
        <v>90</v>
      </c>
      <c r="L645" s="35">
        <v>51</v>
      </c>
      <c r="M645" s="19">
        <v>121.68</v>
      </c>
      <c r="N645" s="42">
        <v>44706</v>
      </c>
      <c r="O645" s="30" t="s">
        <v>114</v>
      </c>
    </row>
    <row r="646" spans="2:15" s="30" customFormat="1" ht="30" x14ac:dyDescent="0.25">
      <c r="B646" s="30" t="s">
        <v>165</v>
      </c>
      <c r="C646" s="30" t="s">
        <v>6</v>
      </c>
      <c r="D646" s="30" t="s">
        <v>10</v>
      </c>
      <c r="E646" s="30" t="s">
        <v>298</v>
      </c>
      <c r="F646" s="11"/>
      <c r="G646" s="30">
        <v>4</v>
      </c>
      <c r="H646" s="30" t="s">
        <v>26</v>
      </c>
      <c r="I646" s="21" t="s">
        <v>68</v>
      </c>
      <c r="J646" s="30" t="s">
        <v>678</v>
      </c>
      <c r="K646" s="21" t="s">
        <v>90</v>
      </c>
      <c r="L646" s="35">
        <v>51</v>
      </c>
      <c r="M646" s="19">
        <v>122.68</v>
      </c>
      <c r="N646" s="42">
        <v>44706</v>
      </c>
      <c r="O646" s="30" t="s">
        <v>114</v>
      </c>
    </row>
    <row r="647" spans="2:15" s="30" customFormat="1" ht="30" x14ac:dyDescent="0.25">
      <c r="B647" s="30" t="s">
        <v>165</v>
      </c>
      <c r="C647" s="30" t="s">
        <v>6</v>
      </c>
      <c r="D647" s="30" t="s">
        <v>10</v>
      </c>
      <c r="E647" s="30" t="s">
        <v>298</v>
      </c>
      <c r="F647" s="11"/>
      <c r="G647" s="30">
        <v>4</v>
      </c>
      <c r="H647" s="30" t="s">
        <v>26</v>
      </c>
      <c r="I647" s="21" t="s">
        <v>68</v>
      </c>
      <c r="J647" s="30" t="s">
        <v>678</v>
      </c>
      <c r="K647" s="21" t="s">
        <v>90</v>
      </c>
      <c r="L647" s="35">
        <v>51</v>
      </c>
      <c r="M647" s="19">
        <v>110.28</v>
      </c>
      <c r="N647" s="42">
        <v>44706</v>
      </c>
      <c r="O647" s="30" t="s">
        <v>114</v>
      </c>
    </row>
    <row r="648" spans="2:15" s="30" customFormat="1" ht="30" x14ac:dyDescent="0.25">
      <c r="B648" s="30" t="s">
        <v>165</v>
      </c>
      <c r="C648" s="30" t="s">
        <v>6</v>
      </c>
      <c r="D648" s="30" t="s">
        <v>10</v>
      </c>
      <c r="E648" s="30" t="s">
        <v>298</v>
      </c>
      <c r="F648" s="11"/>
      <c r="G648" s="30">
        <v>4</v>
      </c>
      <c r="H648" s="30" t="s">
        <v>26</v>
      </c>
      <c r="I648" s="21" t="s">
        <v>68</v>
      </c>
      <c r="J648" s="30" t="s">
        <v>679</v>
      </c>
      <c r="K648" s="21" t="s">
        <v>90</v>
      </c>
      <c r="L648" s="35">
        <v>31</v>
      </c>
      <c r="M648" s="19">
        <v>76.05</v>
      </c>
      <c r="N648" s="42">
        <v>44706</v>
      </c>
      <c r="O648" s="30" t="s">
        <v>114</v>
      </c>
    </row>
    <row r="649" spans="2:15" s="30" customFormat="1" ht="30" x14ac:dyDescent="0.25">
      <c r="B649" s="30" t="s">
        <v>165</v>
      </c>
      <c r="C649" s="30" t="s">
        <v>6</v>
      </c>
      <c r="D649" s="30" t="s">
        <v>10</v>
      </c>
      <c r="E649" s="30" t="s">
        <v>298</v>
      </c>
      <c r="F649" s="11"/>
      <c r="G649" s="30">
        <v>4</v>
      </c>
      <c r="H649" s="30" t="s">
        <v>26</v>
      </c>
      <c r="I649" s="21" t="s">
        <v>68</v>
      </c>
      <c r="J649" s="30" t="s">
        <v>679</v>
      </c>
      <c r="K649" s="21" t="s">
        <v>90</v>
      </c>
      <c r="L649" s="35">
        <v>31</v>
      </c>
      <c r="M649" s="19">
        <v>77.53</v>
      </c>
      <c r="N649" s="42">
        <v>44706</v>
      </c>
      <c r="O649" s="30" t="s">
        <v>114</v>
      </c>
    </row>
    <row r="650" spans="2:15" s="30" customFormat="1" ht="30" x14ac:dyDescent="0.25">
      <c r="B650" s="30" t="s">
        <v>165</v>
      </c>
      <c r="C650" s="30" t="s">
        <v>6</v>
      </c>
      <c r="D650" s="30" t="s">
        <v>10</v>
      </c>
      <c r="E650" s="30" t="s">
        <v>298</v>
      </c>
      <c r="F650" s="11"/>
      <c r="G650" s="30">
        <v>4</v>
      </c>
      <c r="H650" s="30" t="s">
        <v>26</v>
      </c>
      <c r="I650" s="21" t="s">
        <v>68</v>
      </c>
      <c r="J650" s="30" t="s">
        <v>679</v>
      </c>
      <c r="K650" s="21" t="s">
        <v>90</v>
      </c>
      <c r="L650" s="35">
        <v>31</v>
      </c>
      <c r="M650" s="19">
        <v>78.19</v>
      </c>
      <c r="N650" s="42">
        <v>44706</v>
      </c>
      <c r="O650" s="30" t="s">
        <v>114</v>
      </c>
    </row>
    <row r="651" spans="2:15" s="30" customFormat="1" ht="30" x14ac:dyDescent="0.25">
      <c r="B651" s="30" t="s">
        <v>165</v>
      </c>
      <c r="C651" s="30" t="s">
        <v>6</v>
      </c>
      <c r="D651" s="30" t="s">
        <v>10</v>
      </c>
      <c r="E651" s="30" t="s">
        <v>298</v>
      </c>
      <c r="F651" s="11"/>
      <c r="G651" s="30">
        <v>4</v>
      </c>
      <c r="H651" s="30" t="s">
        <v>26</v>
      </c>
      <c r="I651" s="21" t="s">
        <v>68</v>
      </c>
      <c r="J651" s="30" t="s">
        <v>679</v>
      </c>
      <c r="K651" s="21" t="s">
        <v>90</v>
      </c>
      <c r="L651" s="35">
        <v>31</v>
      </c>
      <c r="M651" s="19">
        <v>78.64</v>
      </c>
      <c r="N651" s="42">
        <v>44706</v>
      </c>
      <c r="O651" s="30" t="s">
        <v>114</v>
      </c>
    </row>
    <row r="652" spans="2:15" s="30" customFormat="1" ht="30" x14ac:dyDescent="0.25">
      <c r="B652" s="30" t="s">
        <v>165</v>
      </c>
      <c r="C652" s="30" t="s">
        <v>6</v>
      </c>
      <c r="D652" s="30" t="s">
        <v>10</v>
      </c>
      <c r="E652" s="30" t="s">
        <v>298</v>
      </c>
      <c r="F652" s="11"/>
      <c r="G652" s="30">
        <v>4</v>
      </c>
      <c r="H652" s="30" t="s">
        <v>26</v>
      </c>
      <c r="I652" s="21" t="s">
        <v>68</v>
      </c>
      <c r="J652" s="30" t="s">
        <v>679</v>
      </c>
      <c r="K652" s="21" t="s">
        <v>90</v>
      </c>
      <c r="L652" s="35">
        <v>31</v>
      </c>
      <c r="M652" s="19">
        <v>75.12</v>
      </c>
      <c r="N652" s="42">
        <v>44706</v>
      </c>
      <c r="O652" s="30" t="s">
        <v>114</v>
      </c>
    </row>
    <row r="653" spans="2:15" s="30" customFormat="1" ht="30" x14ac:dyDescent="0.25">
      <c r="B653" s="30" t="s">
        <v>165</v>
      </c>
      <c r="C653" s="30" t="s">
        <v>6</v>
      </c>
      <c r="D653" s="30" t="s">
        <v>10</v>
      </c>
      <c r="E653" s="30" t="s">
        <v>298</v>
      </c>
      <c r="F653" s="11"/>
      <c r="G653" s="30">
        <v>4</v>
      </c>
      <c r="H653" s="30" t="s">
        <v>23</v>
      </c>
      <c r="I653" s="21" t="s">
        <v>68</v>
      </c>
      <c r="J653" s="30" t="s">
        <v>761</v>
      </c>
      <c r="K653" s="21" t="s">
        <v>90</v>
      </c>
      <c r="L653" s="35">
        <v>6</v>
      </c>
      <c r="M653" s="19">
        <v>62.34</v>
      </c>
      <c r="N653" s="42">
        <v>44706</v>
      </c>
      <c r="O653" s="30" t="s">
        <v>114</v>
      </c>
    </row>
    <row r="654" spans="2:15" s="30" customFormat="1" ht="30" x14ac:dyDescent="0.25">
      <c r="B654" s="30" t="s">
        <v>170</v>
      </c>
      <c r="C654" s="30" t="s">
        <v>6</v>
      </c>
      <c r="D654" s="30" t="s">
        <v>10</v>
      </c>
      <c r="E654" s="30" t="s">
        <v>298</v>
      </c>
      <c r="F654" s="11"/>
      <c r="G654" s="30">
        <v>4</v>
      </c>
      <c r="H654" s="30" t="s">
        <v>394</v>
      </c>
      <c r="I654" s="21" t="s">
        <v>68</v>
      </c>
      <c r="J654" s="30" t="s">
        <v>680</v>
      </c>
      <c r="K654" s="21" t="s">
        <v>94</v>
      </c>
      <c r="L654" s="35">
        <v>0</v>
      </c>
      <c r="M654" s="19">
        <v>569.33000000000004</v>
      </c>
      <c r="N654" s="42">
        <v>44706</v>
      </c>
      <c r="O654" s="30" t="s">
        <v>114</v>
      </c>
    </row>
    <row r="655" spans="2:15" s="30" customFormat="1" ht="30" x14ac:dyDescent="0.25">
      <c r="B655" s="30" t="s">
        <v>168</v>
      </c>
      <c r="C655" s="30" t="s">
        <v>6</v>
      </c>
      <c r="D655" s="30" t="s">
        <v>10</v>
      </c>
      <c r="E655" s="30" t="s">
        <v>298</v>
      </c>
      <c r="F655" s="11"/>
      <c r="G655" s="30">
        <v>5</v>
      </c>
      <c r="H655" s="30" t="s">
        <v>390</v>
      </c>
      <c r="I655" s="21" t="s">
        <v>68</v>
      </c>
      <c r="J655" s="30" t="s">
        <v>668</v>
      </c>
      <c r="K655" s="21" t="s">
        <v>94</v>
      </c>
      <c r="L655" s="35">
        <v>0</v>
      </c>
      <c r="M655" s="19">
        <v>19.09</v>
      </c>
      <c r="N655" s="42">
        <v>44706</v>
      </c>
      <c r="O655" s="30" t="s">
        <v>114</v>
      </c>
    </row>
    <row r="656" spans="2:15" s="30" customFormat="1" ht="30" x14ac:dyDescent="0.25">
      <c r="B656" s="30" t="s">
        <v>169</v>
      </c>
      <c r="C656" s="30" t="s">
        <v>6</v>
      </c>
      <c r="D656" s="30" t="s">
        <v>10</v>
      </c>
      <c r="E656" s="30" t="s">
        <v>298</v>
      </c>
      <c r="F656" s="11"/>
      <c r="G656" s="30">
        <v>5</v>
      </c>
      <c r="H656" s="30" t="s">
        <v>398</v>
      </c>
      <c r="I656" s="21" t="s">
        <v>68</v>
      </c>
      <c r="J656" s="30" t="s">
        <v>669</v>
      </c>
      <c r="K656" s="21" t="s">
        <v>94</v>
      </c>
      <c r="L656" s="35">
        <v>6</v>
      </c>
      <c r="M656" s="19">
        <v>28.83</v>
      </c>
      <c r="N656" s="42">
        <v>44706</v>
      </c>
      <c r="O656" s="30" t="s">
        <v>114</v>
      </c>
    </row>
    <row r="657" spans="2:15" s="30" customFormat="1" ht="30" x14ac:dyDescent="0.25">
      <c r="B657" s="30" t="s">
        <v>169</v>
      </c>
      <c r="C657" s="30" t="s">
        <v>6</v>
      </c>
      <c r="D657" s="30" t="s">
        <v>10</v>
      </c>
      <c r="E657" s="30" t="s">
        <v>298</v>
      </c>
      <c r="F657" s="11"/>
      <c r="G657" s="30">
        <v>5</v>
      </c>
      <c r="H657" s="30" t="s">
        <v>398</v>
      </c>
      <c r="I657" s="21" t="s">
        <v>68</v>
      </c>
      <c r="J657" s="30" t="s">
        <v>670</v>
      </c>
      <c r="K657" s="21" t="s">
        <v>94</v>
      </c>
      <c r="L657" s="35">
        <v>1</v>
      </c>
      <c r="M657" s="19">
        <v>8.5299999999999994</v>
      </c>
      <c r="N657" s="42">
        <v>44706</v>
      </c>
      <c r="O657" s="30" t="s">
        <v>114</v>
      </c>
    </row>
    <row r="658" spans="2:15" s="30" customFormat="1" ht="30" x14ac:dyDescent="0.25">
      <c r="B658" s="30" t="s">
        <v>169</v>
      </c>
      <c r="C658" s="30" t="s">
        <v>6</v>
      </c>
      <c r="D658" s="30" t="s">
        <v>10</v>
      </c>
      <c r="E658" s="30" t="s">
        <v>298</v>
      </c>
      <c r="F658" s="11"/>
      <c r="G658" s="30">
        <v>5</v>
      </c>
      <c r="H658" s="30" t="s">
        <v>399</v>
      </c>
      <c r="I658" s="21" t="s">
        <v>68</v>
      </c>
      <c r="J658" s="30" t="s">
        <v>671</v>
      </c>
      <c r="K658" s="21" t="s">
        <v>94</v>
      </c>
      <c r="L658" s="35">
        <v>6</v>
      </c>
      <c r="M658" s="19">
        <v>28.66</v>
      </c>
      <c r="N658" s="42">
        <v>44706</v>
      </c>
      <c r="O658" s="30" t="s">
        <v>114</v>
      </c>
    </row>
    <row r="659" spans="2:15" s="30" customFormat="1" ht="30" x14ac:dyDescent="0.25">
      <c r="B659" s="30" t="s">
        <v>169</v>
      </c>
      <c r="C659" s="30" t="s">
        <v>6</v>
      </c>
      <c r="D659" s="30" t="s">
        <v>10</v>
      </c>
      <c r="E659" s="30" t="s">
        <v>298</v>
      </c>
      <c r="F659" s="11"/>
      <c r="G659" s="30">
        <v>5</v>
      </c>
      <c r="H659" s="30" t="s">
        <v>399</v>
      </c>
      <c r="I659" s="21" t="s">
        <v>68</v>
      </c>
      <c r="J659" s="30" t="s">
        <v>672</v>
      </c>
      <c r="K659" s="21" t="s">
        <v>94</v>
      </c>
      <c r="L659" s="35">
        <v>1</v>
      </c>
      <c r="M659" s="19">
        <v>9.91</v>
      </c>
      <c r="N659" s="42">
        <v>44706</v>
      </c>
      <c r="O659" s="30" t="s">
        <v>114</v>
      </c>
    </row>
    <row r="660" spans="2:15" s="30" customFormat="1" ht="30" x14ac:dyDescent="0.25">
      <c r="B660" s="30" t="s">
        <v>168</v>
      </c>
      <c r="C660" s="30" t="s">
        <v>6</v>
      </c>
      <c r="D660" s="30" t="s">
        <v>10</v>
      </c>
      <c r="E660" s="30" t="s">
        <v>298</v>
      </c>
      <c r="F660" s="11"/>
      <c r="G660" s="30">
        <v>5</v>
      </c>
      <c r="H660" s="30" t="s">
        <v>390</v>
      </c>
      <c r="I660" s="21" t="s">
        <v>68</v>
      </c>
      <c r="J660" s="30" t="s">
        <v>673</v>
      </c>
      <c r="K660" s="21" t="s">
        <v>94</v>
      </c>
      <c r="L660" s="35">
        <v>0</v>
      </c>
      <c r="M660" s="19">
        <v>5.26</v>
      </c>
      <c r="N660" s="42">
        <v>44706</v>
      </c>
      <c r="O660" s="30" t="s">
        <v>114</v>
      </c>
    </row>
    <row r="661" spans="2:15" s="30" customFormat="1" ht="30" x14ac:dyDescent="0.25">
      <c r="B661" s="30" t="s">
        <v>169</v>
      </c>
      <c r="C661" s="30" t="s">
        <v>6</v>
      </c>
      <c r="D661" s="30" t="s">
        <v>10</v>
      </c>
      <c r="E661" s="30" t="s">
        <v>298</v>
      </c>
      <c r="F661" s="11"/>
      <c r="G661" s="30">
        <v>5</v>
      </c>
      <c r="H661" s="30" t="s">
        <v>389</v>
      </c>
      <c r="I661" s="21" t="s">
        <v>68</v>
      </c>
      <c r="J661" s="30" t="s">
        <v>674</v>
      </c>
      <c r="K661" s="21" t="s">
        <v>94</v>
      </c>
      <c r="L661" s="35">
        <v>0</v>
      </c>
      <c r="M661" s="19">
        <v>7.35</v>
      </c>
      <c r="N661" s="42">
        <v>44706</v>
      </c>
      <c r="O661" s="30" t="s">
        <v>114</v>
      </c>
    </row>
    <row r="662" spans="2:15" s="30" customFormat="1" ht="30" x14ac:dyDescent="0.25">
      <c r="B662" s="30" t="s">
        <v>168</v>
      </c>
      <c r="C662" s="30" t="s">
        <v>6</v>
      </c>
      <c r="D662" s="30" t="s">
        <v>10</v>
      </c>
      <c r="E662" s="30" t="s">
        <v>298</v>
      </c>
      <c r="F662" s="11"/>
      <c r="G662" s="30">
        <v>5</v>
      </c>
      <c r="H662" s="30" t="s">
        <v>390</v>
      </c>
      <c r="I662" s="21" t="s">
        <v>68</v>
      </c>
      <c r="J662" s="30" t="s">
        <v>673</v>
      </c>
      <c r="K662" s="21" t="s">
        <v>94</v>
      </c>
      <c r="L662" s="35">
        <v>0</v>
      </c>
      <c r="M662" s="19">
        <v>6.21</v>
      </c>
      <c r="N662" s="42">
        <v>44706</v>
      </c>
      <c r="O662" s="30" t="s">
        <v>114</v>
      </c>
    </row>
    <row r="663" spans="2:15" s="30" customFormat="1" ht="30" x14ac:dyDescent="0.25">
      <c r="B663" s="30" t="s">
        <v>169</v>
      </c>
      <c r="C663" s="30" t="s">
        <v>6</v>
      </c>
      <c r="D663" s="30" t="s">
        <v>10</v>
      </c>
      <c r="E663" s="30" t="s">
        <v>298</v>
      </c>
      <c r="F663" s="11"/>
      <c r="G663" s="30">
        <v>5</v>
      </c>
      <c r="H663" s="30" t="s">
        <v>389</v>
      </c>
      <c r="I663" s="21" t="s">
        <v>68</v>
      </c>
      <c r="J663" s="30" t="s">
        <v>675</v>
      </c>
      <c r="K663" s="21" t="s">
        <v>94</v>
      </c>
      <c r="L663" s="35">
        <v>0</v>
      </c>
      <c r="M663" s="19">
        <v>2.79</v>
      </c>
      <c r="N663" s="42">
        <v>44706</v>
      </c>
      <c r="O663" s="30" t="s">
        <v>114</v>
      </c>
    </row>
    <row r="664" spans="2:15" s="30" customFormat="1" ht="30" x14ac:dyDescent="0.25">
      <c r="B664" s="30" t="s">
        <v>168</v>
      </c>
      <c r="C664" s="30" t="s">
        <v>6</v>
      </c>
      <c r="D664" s="30" t="s">
        <v>10</v>
      </c>
      <c r="E664" s="30" t="s">
        <v>298</v>
      </c>
      <c r="F664" s="11"/>
      <c r="G664" s="30">
        <v>5</v>
      </c>
      <c r="H664" s="30" t="s">
        <v>390</v>
      </c>
      <c r="I664" s="21" t="s">
        <v>68</v>
      </c>
      <c r="J664" s="30" t="s">
        <v>676</v>
      </c>
      <c r="K664" s="21" t="s">
        <v>94</v>
      </c>
      <c r="L664" s="35">
        <v>0</v>
      </c>
      <c r="M664" s="19">
        <v>6.86</v>
      </c>
      <c r="N664" s="42">
        <v>44706</v>
      </c>
      <c r="O664" s="30" t="s">
        <v>114</v>
      </c>
    </row>
    <row r="665" spans="2:15" s="30" customFormat="1" ht="30" x14ac:dyDescent="0.25">
      <c r="B665" s="30" t="s">
        <v>165</v>
      </c>
      <c r="C665" s="30" t="s">
        <v>6</v>
      </c>
      <c r="D665" s="30" t="s">
        <v>10</v>
      </c>
      <c r="E665" s="30" t="s">
        <v>298</v>
      </c>
      <c r="F665" s="11"/>
      <c r="G665" s="30">
        <v>5</v>
      </c>
      <c r="H665" s="30" t="s">
        <v>396</v>
      </c>
      <c r="I665" s="21" t="s">
        <v>68</v>
      </c>
      <c r="J665" s="30" t="s">
        <v>762</v>
      </c>
      <c r="K665" s="21" t="s">
        <v>90</v>
      </c>
      <c r="L665" s="35">
        <v>39</v>
      </c>
      <c r="M665" s="19">
        <v>92.07</v>
      </c>
      <c r="N665" s="42">
        <v>44706</v>
      </c>
      <c r="O665" s="30" t="s">
        <v>114</v>
      </c>
    </row>
    <row r="666" spans="2:15" s="30" customFormat="1" ht="30" x14ac:dyDescent="0.25">
      <c r="B666" s="30" t="s">
        <v>165</v>
      </c>
      <c r="C666" s="30" t="s">
        <v>6</v>
      </c>
      <c r="D666" s="30" t="s">
        <v>10</v>
      </c>
      <c r="E666" s="30" t="s">
        <v>298</v>
      </c>
      <c r="F666" s="11"/>
      <c r="G666" s="30">
        <v>5</v>
      </c>
      <c r="H666" s="30" t="s">
        <v>26</v>
      </c>
      <c r="I666" s="21" t="s">
        <v>68</v>
      </c>
      <c r="J666" s="30" t="s">
        <v>678</v>
      </c>
      <c r="K666" s="21" t="s">
        <v>90</v>
      </c>
      <c r="L666" s="35">
        <v>51</v>
      </c>
      <c r="M666" s="19">
        <v>121.68</v>
      </c>
      <c r="N666" s="42">
        <v>44706</v>
      </c>
      <c r="O666" s="30" t="s">
        <v>114</v>
      </c>
    </row>
    <row r="667" spans="2:15" s="30" customFormat="1" ht="30" x14ac:dyDescent="0.25">
      <c r="B667" s="30" t="s">
        <v>165</v>
      </c>
      <c r="C667" s="30" t="s">
        <v>6</v>
      </c>
      <c r="D667" s="30" t="s">
        <v>10</v>
      </c>
      <c r="E667" s="30" t="s">
        <v>298</v>
      </c>
      <c r="F667" s="11"/>
      <c r="G667" s="30">
        <v>5</v>
      </c>
      <c r="H667" s="30" t="s">
        <v>26</v>
      </c>
      <c r="I667" s="21" t="s">
        <v>68</v>
      </c>
      <c r="J667" s="30" t="s">
        <v>678</v>
      </c>
      <c r="K667" s="21" t="s">
        <v>90</v>
      </c>
      <c r="L667" s="35">
        <v>51</v>
      </c>
      <c r="M667" s="19">
        <v>121.68</v>
      </c>
      <c r="N667" s="42">
        <v>44706</v>
      </c>
      <c r="O667" s="30" t="s">
        <v>114</v>
      </c>
    </row>
    <row r="668" spans="2:15" s="30" customFormat="1" ht="30" x14ac:dyDescent="0.25">
      <c r="B668" s="30" t="s">
        <v>165</v>
      </c>
      <c r="C668" s="30" t="s">
        <v>6</v>
      </c>
      <c r="D668" s="30" t="s">
        <v>10</v>
      </c>
      <c r="E668" s="30" t="s">
        <v>298</v>
      </c>
      <c r="F668" s="11"/>
      <c r="G668" s="30">
        <v>5</v>
      </c>
      <c r="H668" s="30" t="s">
        <v>26</v>
      </c>
      <c r="I668" s="21" t="s">
        <v>68</v>
      </c>
      <c r="J668" s="30" t="s">
        <v>678</v>
      </c>
      <c r="K668" s="21" t="s">
        <v>90</v>
      </c>
      <c r="L668" s="35">
        <v>51</v>
      </c>
      <c r="M668" s="19">
        <v>122.68</v>
      </c>
      <c r="N668" s="42">
        <v>44706</v>
      </c>
      <c r="O668" s="30" t="s">
        <v>114</v>
      </c>
    </row>
    <row r="669" spans="2:15" s="30" customFormat="1" ht="30" x14ac:dyDescent="0.25">
      <c r="B669" s="30" t="s">
        <v>165</v>
      </c>
      <c r="C669" s="30" t="s">
        <v>6</v>
      </c>
      <c r="D669" s="30" t="s">
        <v>10</v>
      </c>
      <c r="E669" s="30" t="s">
        <v>298</v>
      </c>
      <c r="F669" s="11"/>
      <c r="G669" s="30">
        <v>5</v>
      </c>
      <c r="H669" s="30" t="s">
        <v>396</v>
      </c>
      <c r="I669" s="21" t="s">
        <v>68</v>
      </c>
      <c r="J669" s="30" t="s">
        <v>763</v>
      </c>
      <c r="K669" s="21" t="s">
        <v>90</v>
      </c>
      <c r="L669" s="35">
        <v>49</v>
      </c>
      <c r="M669" s="19">
        <v>110.28</v>
      </c>
      <c r="N669" s="42">
        <v>44706</v>
      </c>
      <c r="O669" s="30" t="s">
        <v>114</v>
      </c>
    </row>
    <row r="670" spans="2:15" s="30" customFormat="1" ht="30" x14ac:dyDescent="0.25">
      <c r="B670" s="30" t="s">
        <v>165</v>
      </c>
      <c r="C670" s="30" t="s">
        <v>6</v>
      </c>
      <c r="D670" s="30" t="s">
        <v>10</v>
      </c>
      <c r="E670" s="30" t="s">
        <v>298</v>
      </c>
      <c r="F670" s="11"/>
      <c r="G670" s="30">
        <v>5</v>
      </c>
      <c r="H670" s="30" t="s">
        <v>26</v>
      </c>
      <c r="I670" s="21" t="s">
        <v>68</v>
      </c>
      <c r="J670" s="30" t="s">
        <v>679</v>
      </c>
      <c r="K670" s="21" t="s">
        <v>90</v>
      </c>
      <c r="L670" s="35">
        <v>31</v>
      </c>
      <c r="M670" s="19">
        <v>76.05</v>
      </c>
      <c r="N670" s="42">
        <v>44706</v>
      </c>
      <c r="O670" s="30" t="s">
        <v>114</v>
      </c>
    </row>
    <row r="671" spans="2:15" s="30" customFormat="1" ht="30" x14ac:dyDescent="0.25">
      <c r="B671" s="30" t="s">
        <v>165</v>
      </c>
      <c r="C671" s="30" t="s">
        <v>6</v>
      </c>
      <c r="D671" s="30" t="s">
        <v>10</v>
      </c>
      <c r="E671" s="30" t="s">
        <v>298</v>
      </c>
      <c r="F671" s="11"/>
      <c r="G671" s="30">
        <v>5</v>
      </c>
      <c r="H671" s="30" t="s">
        <v>26</v>
      </c>
      <c r="I671" s="21" t="s">
        <v>68</v>
      </c>
      <c r="J671" s="30" t="s">
        <v>679</v>
      </c>
      <c r="K671" s="21" t="s">
        <v>90</v>
      </c>
      <c r="L671" s="35">
        <v>31</v>
      </c>
      <c r="M671" s="19">
        <v>77.53</v>
      </c>
      <c r="N671" s="42">
        <v>44706</v>
      </c>
      <c r="O671" s="30" t="s">
        <v>114</v>
      </c>
    </row>
    <row r="672" spans="2:15" s="30" customFormat="1" ht="30" x14ac:dyDescent="0.25">
      <c r="B672" s="30" t="s">
        <v>165</v>
      </c>
      <c r="C672" s="30" t="s">
        <v>6</v>
      </c>
      <c r="D672" s="30" t="s">
        <v>10</v>
      </c>
      <c r="E672" s="30" t="s">
        <v>298</v>
      </c>
      <c r="F672" s="11"/>
      <c r="G672" s="30">
        <v>5</v>
      </c>
      <c r="H672" s="30" t="s">
        <v>26</v>
      </c>
      <c r="I672" s="21" t="s">
        <v>68</v>
      </c>
      <c r="J672" s="30" t="s">
        <v>679</v>
      </c>
      <c r="K672" s="21" t="s">
        <v>90</v>
      </c>
      <c r="L672" s="35">
        <v>31</v>
      </c>
      <c r="M672" s="19">
        <v>78.19</v>
      </c>
      <c r="N672" s="42">
        <v>44706</v>
      </c>
      <c r="O672" s="30" t="s">
        <v>114</v>
      </c>
    </row>
    <row r="673" spans="2:15" s="30" customFormat="1" ht="30" x14ac:dyDescent="0.25">
      <c r="B673" s="30" t="s">
        <v>165</v>
      </c>
      <c r="C673" s="30" t="s">
        <v>6</v>
      </c>
      <c r="D673" s="30" t="s">
        <v>10</v>
      </c>
      <c r="E673" s="30" t="s">
        <v>298</v>
      </c>
      <c r="F673" s="11"/>
      <c r="G673" s="30">
        <v>5</v>
      </c>
      <c r="H673" s="30" t="s">
        <v>26</v>
      </c>
      <c r="I673" s="21" t="s">
        <v>68</v>
      </c>
      <c r="J673" s="30" t="s">
        <v>679</v>
      </c>
      <c r="K673" s="21" t="s">
        <v>90</v>
      </c>
      <c r="L673" s="35">
        <v>31</v>
      </c>
      <c r="M673" s="19">
        <v>78.64</v>
      </c>
      <c r="N673" s="42">
        <v>44706</v>
      </c>
      <c r="O673" s="30" t="s">
        <v>114</v>
      </c>
    </row>
    <row r="674" spans="2:15" s="30" customFormat="1" ht="30" x14ac:dyDescent="0.25">
      <c r="B674" s="30" t="s">
        <v>165</v>
      </c>
      <c r="C674" s="30" t="s">
        <v>6</v>
      </c>
      <c r="D674" s="30" t="s">
        <v>10</v>
      </c>
      <c r="E674" s="30" t="s">
        <v>298</v>
      </c>
      <c r="F674" s="11"/>
      <c r="G674" s="30">
        <v>5</v>
      </c>
      <c r="H674" s="30" t="s">
        <v>26</v>
      </c>
      <c r="I674" s="21" t="s">
        <v>68</v>
      </c>
      <c r="J674" s="30" t="s">
        <v>679</v>
      </c>
      <c r="K674" s="21" t="s">
        <v>90</v>
      </c>
      <c r="L674" s="35">
        <v>31</v>
      </c>
      <c r="M674" s="19">
        <v>75.12</v>
      </c>
      <c r="N674" s="42">
        <v>44706</v>
      </c>
      <c r="O674" s="30" t="s">
        <v>114</v>
      </c>
    </row>
    <row r="675" spans="2:15" s="30" customFormat="1" ht="30" x14ac:dyDescent="0.25">
      <c r="B675" s="30" t="s">
        <v>170</v>
      </c>
      <c r="C675" s="30" t="s">
        <v>6</v>
      </c>
      <c r="D675" s="30" t="s">
        <v>10</v>
      </c>
      <c r="E675" s="30" t="s">
        <v>298</v>
      </c>
      <c r="F675" s="11"/>
      <c r="G675" s="30">
        <v>5</v>
      </c>
      <c r="H675" s="30" t="s">
        <v>394</v>
      </c>
      <c r="I675" s="21" t="s">
        <v>68</v>
      </c>
      <c r="J675" s="30" t="s">
        <v>680</v>
      </c>
      <c r="K675" s="21" t="s">
        <v>94</v>
      </c>
      <c r="L675" s="35">
        <v>0</v>
      </c>
      <c r="M675" s="19">
        <v>569.33000000000004</v>
      </c>
      <c r="N675" s="42">
        <v>44706</v>
      </c>
      <c r="O675" s="30" t="s">
        <v>114</v>
      </c>
    </row>
    <row r="676" spans="2:15" s="30" customFormat="1" ht="30" x14ac:dyDescent="0.25">
      <c r="B676" s="30" t="s">
        <v>169</v>
      </c>
      <c r="C676" s="30" t="s">
        <v>6</v>
      </c>
      <c r="D676" s="30" t="s">
        <v>10</v>
      </c>
      <c r="E676" s="30" t="s">
        <v>298</v>
      </c>
      <c r="F676" s="11"/>
      <c r="G676" s="30">
        <v>6</v>
      </c>
      <c r="H676" s="30" t="s">
        <v>399</v>
      </c>
      <c r="I676" s="21" t="s">
        <v>68</v>
      </c>
      <c r="J676" s="30" t="s">
        <v>671</v>
      </c>
      <c r="K676" s="21" t="s">
        <v>94</v>
      </c>
      <c r="L676" s="35">
        <v>6</v>
      </c>
      <c r="M676" s="19">
        <v>28.66</v>
      </c>
      <c r="N676" s="42">
        <v>44706</v>
      </c>
      <c r="O676" s="30" t="s">
        <v>114</v>
      </c>
    </row>
    <row r="677" spans="2:15" s="30" customFormat="1" ht="30" x14ac:dyDescent="0.25">
      <c r="B677" s="30" t="s">
        <v>169</v>
      </c>
      <c r="C677" s="30" t="s">
        <v>6</v>
      </c>
      <c r="D677" s="30" t="s">
        <v>10</v>
      </c>
      <c r="E677" s="30" t="s">
        <v>298</v>
      </c>
      <c r="F677" s="11"/>
      <c r="G677" s="30">
        <v>6</v>
      </c>
      <c r="H677" s="30" t="s">
        <v>399</v>
      </c>
      <c r="I677" s="21" t="s">
        <v>68</v>
      </c>
      <c r="J677" s="30" t="s">
        <v>672</v>
      </c>
      <c r="K677" s="21" t="s">
        <v>94</v>
      </c>
      <c r="L677" s="35">
        <v>1</v>
      </c>
      <c r="M677" s="19">
        <v>9.91</v>
      </c>
      <c r="N677" s="42">
        <v>44706</v>
      </c>
      <c r="O677" s="30" t="s">
        <v>114</v>
      </c>
    </row>
    <row r="678" spans="2:15" s="30" customFormat="1" ht="30" x14ac:dyDescent="0.25">
      <c r="B678" s="30" t="s">
        <v>168</v>
      </c>
      <c r="C678" s="30" t="s">
        <v>6</v>
      </c>
      <c r="D678" s="30" t="s">
        <v>10</v>
      </c>
      <c r="E678" s="30" t="s">
        <v>298</v>
      </c>
      <c r="F678" s="11"/>
      <c r="G678" s="30">
        <v>6</v>
      </c>
      <c r="H678" s="30" t="s">
        <v>389</v>
      </c>
      <c r="I678" s="21" t="s">
        <v>68</v>
      </c>
      <c r="J678" s="30" t="s">
        <v>681</v>
      </c>
      <c r="K678" s="21" t="s">
        <v>94</v>
      </c>
      <c r="L678" s="35">
        <v>0</v>
      </c>
      <c r="M678" s="19">
        <v>2.11</v>
      </c>
      <c r="N678" s="42">
        <v>44706</v>
      </c>
      <c r="O678" s="30" t="s">
        <v>114</v>
      </c>
    </row>
    <row r="679" spans="2:15" s="30" customFormat="1" ht="30" x14ac:dyDescent="0.25">
      <c r="B679" s="30" t="s">
        <v>169</v>
      </c>
      <c r="C679" s="30" t="s">
        <v>6</v>
      </c>
      <c r="D679" s="30" t="s">
        <v>10</v>
      </c>
      <c r="E679" s="30" t="s">
        <v>298</v>
      </c>
      <c r="F679" s="11"/>
      <c r="G679" s="30">
        <v>6</v>
      </c>
      <c r="H679" s="30" t="s">
        <v>391</v>
      </c>
      <c r="I679" s="21" t="s">
        <v>68</v>
      </c>
      <c r="J679" s="30" t="s">
        <v>682</v>
      </c>
      <c r="K679" s="21" t="s">
        <v>94</v>
      </c>
      <c r="L679" s="35">
        <v>0</v>
      </c>
      <c r="M679" s="19">
        <v>27.28</v>
      </c>
      <c r="N679" s="42">
        <v>44706</v>
      </c>
      <c r="O679" s="30" t="s">
        <v>114</v>
      </c>
    </row>
    <row r="680" spans="2:15" s="30" customFormat="1" ht="30" x14ac:dyDescent="0.25">
      <c r="B680" s="30" t="s">
        <v>168</v>
      </c>
      <c r="C680" s="30" t="s">
        <v>6</v>
      </c>
      <c r="D680" s="30" t="s">
        <v>10</v>
      </c>
      <c r="E680" s="30" t="s">
        <v>298</v>
      </c>
      <c r="F680" s="11"/>
      <c r="G680" s="30">
        <v>6</v>
      </c>
      <c r="H680" s="30" t="s">
        <v>389</v>
      </c>
      <c r="I680" s="21" t="s">
        <v>68</v>
      </c>
      <c r="J680" s="30" t="s">
        <v>683</v>
      </c>
      <c r="K680" s="21" t="s">
        <v>94</v>
      </c>
      <c r="L680" s="35">
        <v>0</v>
      </c>
      <c r="M680" s="19">
        <v>9.34</v>
      </c>
      <c r="N680" s="42">
        <v>44706</v>
      </c>
      <c r="O680" s="30" t="s">
        <v>114</v>
      </c>
    </row>
    <row r="681" spans="2:15" s="30" customFormat="1" ht="30" x14ac:dyDescent="0.25">
      <c r="B681" s="30" t="s">
        <v>168</v>
      </c>
      <c r="C681" s="30" t="s">
        <v>6</v>
      </c>
      <c r="D681" s="30" t="s">
        <v>10</v>
      </c>
      <c r="E681" s="30" t="s">
        <v>298</v>
      </c>
      <c r="F681" s="11"/>
      <c r="G681" s="30" t="s">
        <v>94</v>
      </c>
      <c r="H681" s="30" t="s">
        <v>390</v>
      </c>
      <c r="I681" s="21" t="s">
        <v>68</v>
      </c>
      <c r="J681" s="30" t="s">
        <v>837</v>
      </c>
      <c r="K681" s="21" t="s">
        <v>94</v>
      </c>
      <c r="L681" s="35">
        <v>0</v>
      </c>
      <c r="M681" s="19">
        <v>5.74</v>
      </c>
      <c r="N681" s="42">
        <v>44706</v>
      </c>
      <c r="O681" s="30" t="s">
        <v>114</v>
      </c>
    </row>
    <row r="682" spans="2:15" s="30" customFormat="1" ht="30" x14ac:dyDescent="0.25">
      <c r="B682" s="30" t="s">
        <v>169</v>
      </c>
      <c r="C682" s="30" t="s">
        <v>6</v>
      </c>
      <c r="D682" s="30" t="s">
        <v>10</v>
      </c>
      <c r="E682" s="30" t="s">
        <v>298</v>
      </c>
      <c r="F682" s="11"/>
      <c r="G682" s="30" t="s">
        <v>94</v>
      </c>
      <c r="H682" s="30" t="s">
        <v>391</v>
      </c>
      <c r="I682" s="21" t="s">
        <v>68</v>
      </c>
      <c r="J682" s="30" t="s">
        <v>836</v>
      </c>
      <c r="K682" s="21" t="s">
        <v>94</v>
      </c>
      <c r="L682" s="35">
        <v>0</v>
      </c>
      <c r="M682" s="19">
        <v>221</v>
      </c>
      <c r="N682" s="42">
        <v>44706</v>
      </c>
      <c r="O682" s="30" t="s">
        <v>114</v>
      </c>
    </row>
    <row r="683" spans="2:15" s="30" customFormat="1" ht="30" x14ac:dyDescent="0.25">
      <c r="B683" s="30" t="s">
        <v>168</v>
      </c>
      <c r="C683" s="30" t="s">
        <v>6</v>
      </c>
      <c r="D683" s="30" t="s">
        <v>10</v>
      </c>
      <c r="E683" s="30" t="s">
        <v>298</v>
      </c>
      <c r="F683" s="11"/>
      <c r="G683" s="30" t="s">
        <v>94</v>
      </c>
      <c r="H683" s="30" t="s">
        <v>390</v>
      </c>
      <c r="I683" s="21" t="s">
        <v>68</v>
      </c>
      <c r="J683" s="30" t="s">
        <v>834</v>
      </c>
      <c r="K683" s="21" t="s">
        <v>94</v>
      </c>
      <c r="L683" s="35">
        <v>0</v>
      </c>
      <c r="M683" s="19">
        <v>9.59</v>
      </c>
      <c r="N683" s="42">
        <v>44706</v>
      </c>
      <c r="O683" s="30" t="s">
        <v>114</v>
      </c>
    </row>
    <row r="684" spans="2:15" s="30" customFormat="1" ht="30" x14ac:dyDescent="0.25">
      <c r="B684" s="30" t="s">
        <v>168</v>
      </c>
      <c r="C684" s="30" t="s">
        <v>6</v>
      </c>
      <c r="D684" s="30" t="s">
        <v>10</v>
      </c>
      <c r="E684" s="30" t="s">
        <v>298</v>
      </c>
      <c r="F684" s="11"/>
      <c r="G684" s="30" t="s">
        <v>94</v>
      </c>
      <c r="H684" s="30" t="s">
        <v>390</v>
      </c>
      <c r="I684" s="21" t="s">
        <v>68</v>
      </c>
      <c r="J684" s="30" t="s">
        <v>834</v>
      </c>
      <c r="K684" s="21" t="s">
        <v>94</v>
      </c>
      <c r="L684" s="35">
        <v>0</v>
      </c>
      <c r="M684" s="19">
        <v>8.2799999999999994</v>
      </c>
      <c r="N684" s="42">
        <v>44706</v>
      </c>
      <c r="O684" s="30" t="s">
        <v>114</v>
      </c>
    </row>
    <row r="685" spans="2:15" s="30" customFormat="1" ht="30" x14ac:dyDescent="0.25">
      <c r="B685" s="30" t="s">
        <v>168</v>
      </c>
      <c r="C685" s="30" t="s">
        <v>6</v>
      </c>
      <c r="D685" s="30" t="s">
        <v>10</v>
      </c>
      <c r="E685" s="30" t="s">
        <v>298</v>
      </c>
      <c r="F685" s="11"/>
      <c r="G685" s="30" t="s">
        <v>94</v>
      </c>
      <c r="H685" s="30" t="s">
        <v>390</v>
      </c>
      <c r="I685" s="21" t="s">
        <v>68</v>
      </c>
      <c r="J685" s="30" t="s">
        <v>834</v>
      </c>
      <c r="K685" s="21" t="s">
        <v>94</v>
      </c>
      <c r="L685" s="35">
        <v>0</v>
      </c>
      <c r="M685" s="19">
        <v>17.27</v>
      </c>
      <c r="N685" s="42">
        <v>44706</v>
      </c>
      <c r="O685" s="30" t="s">
        <v>114</v>
      </c>
    </row>
    <row r="686" spans="2:15" s="30" customFormat="1" ht="30" x14ac:dyDescent="0.25">
      <c r="B686" s="30" t="s">
        <v>168</v>
      </c>
      <c r="C686" s="30" t="s">
        <v>6</v>
      </c>
      <c r="D686" s="30" t="s">
        <v>10</v>
      </c>
      <c r="E686" s="30" t="s">
        <v>298</v>
      </c>
      <c r="F686" s="11"/>
      <c r="G686" s="30" t="s">
        <v>94</v>
      </c>
      <c r="H686" s="30" t="s">
        <v>390</v>
      </c>
      <c r="I686" s="21" t="s">
        <v>68</v>
      </c>
      <c r="J686" s="30" t="s">
        <v>834</v>
      </c>
      <c r="K686" s="21" t="s">
        <v>94</v>
      </c>
      <c r="L686" s="35">
        <v>0</v>
      </c>
      <c r="M686" s="19">
        <v>21.36</v>
      </c>
      <c r="N686" s="42">
        <v>44706</v>
      </c>
      <c r="O686" s="30" t="s">
        <v>114</v>
      </c>
    </row>
    <row r="687" spans="2:15" s="30" customFormat="1" ht="30" x14ac:dyDescent="0.25">
      <c r="B687" s="30" t="s">
        <v>168</v>
      </c>
      <c r="C687" s="30" t="s">
        <v>6</v>
      </c>
      <c r="D687" s="30" t="s">
        <v>10</v>
      </c>
      <c r="E687" s="30" t="s">
        <v>298</v>
      </c>
      <c r="F687" s="11"/>
      <c r="G687" s="30">
        <v>6</v>
      </c>
      <c r="H687" s="30" t="s">
        <v>394</v>
      </c>
      <c r="I687" s="21" t="s">
        <v>68</v>
      </c>
      <c r="J687" s="30" t="s">
        <v>835</v>
      </c>
      <c r="K687" s="21" t="s">
        <v>94</v>
      </c>
      <c r="L687" s="35">
        <v>0</v>
      </c>
      <c r="M687" s="19">
        <v>220.87</v>
      </c>
      <c r="N687" s="42">
        <v>44706</v>
      </c>
      <c r="O687" s="30" t="s">
        <v>114</v>
      </c>
    </row>
    <row r="688" spans="2:15" s="30" customFormat="1" ht="30" x14ac:dyDescent="0.25">
      <c r="B688" s="30" t="s">
        <v>168</v>
      </c>
      <c r="C688" s="30" t="s">
        <v>6</v>
      </c>
      <c r="D688" s="30" t="s">
        <v>10</v>
      </c>
      <c r="E688" s="30" t="s">
        <v>298</v>
      </c>
      <c r="F688" s="11"/>
      <c r="G688" s="30" t="s">
        <v>94</v>
      </c>
      <c r="H688" s="30" t="s">
        <v>174</v>
      </c>
      <c r="I688" s="21" t="s">
        <v>68</v>
      </c>
      <c r="J688" s="30" t="s">
        <v>684</v>
      </c>
      <c r="K688" s="21" t="s">
        <v>94</v>
      </c>
      <c r="L688" s="35">
        <v>0</v>
      </c>
      <c r="M688" s="19">
        <v>14.55</v>
      </c>
      <c r="N688" s="42">
        <v>44706</v>
      </c>
      <c r="O688" s="30" t="s">
        <v>114</v>
      </c>
    </row>
    <row r="689" spans="2:15" s="30" customFormat="1" ht="30" x14ac:dyDescent="0.25">
      <c r="B689" s="30" t="s">
        <v>169</v>
      </c>
      <c r="C689" s="30" t="s">
        <v>6</v>
      </c>
      <c r="D689" s="30" t="s">
        <v>10</v>
      </c>
      <c r="E689" s="30" t="s">
        <v>298</v>
      </c>
      <c r="F689" s="11"/>
      <c r="G689" s="30" t="s">
        <v>94</v>
      </c>
      <c r="H689" s="30" t="s">
        <v>398</v>
      </c>
      <c r="I689" s="21" t="s">
        <v>68</v>
      </c>
      <c r="J689" s="30" t="s">
        <v>685</v>
      </c>
      <c r="K689" s="21" t="s">
        <v>94</v>
      </c>
      <c r="L689" s="35">
        <v>0</v>
      </c>
      <c r="M689" s="19">
        <v>3.68</v>
      </c>
      <c r="N689" s="42">
        <v>44706</v>
      </c>
      <c r="O689" s="30" t="s">
        <v>114</v>
      </c>
    </row>
    <row r="690" spans="2:15" s="30" customFormat="1" ht="30" x14ac:dyDescent="0.25">
      <c r="B690" s="30" t="s">
        <v>168</v>
      </c>
      <c r="C690" s="30" t="s">
        <v>6</v>
      </c>
      <c r="D690" s="30" t="s">
        <v>10</v>
      </c>
      <c r="E690" s="30" t="s">
        <v>298</v>
      </c>
      <c r="F690" s="11"/>
      <c r="G690" s="30" t="s">
        <v>94</v>
      </c>
      <c r="H690" s="30" t="s">
        <v>390</v>
      </c>
      <c r="I690" s="21" t="s">
        <v>68</v>
      </c>
      <c r="J690" s="30" t="s">
        <v>686</v>
      </c>
      <c r="K690" s="21" t="s">
        <v>94</v>
      </c>
      <c r="L690" s="35">
        <v>0</v>
      </c>
      <c r="M690" s="19">
        <v>8.69</v>
      </c>
      <c r="N690" s="42">
        <v>44706</v>
      </c>
      <c r="O690" s="30" t="s">
        <v>114</v>
      </c>
    </row>
    <row r="691" spans="2:15" s="30" customFormat="1" ht="30" x14ac:dyDescent="0.25">
      <c r="B691" s="30" t="s">
        <v>168</v>
      </c>
      <c r="C691" s="30" t="s">
        <v>6</v>
      </c>
      <c r="D691" s="30" t="s">
        <v>10</v>
      </c>
      <c r="E691" s="30" t="s">
        <v>298</v>
      </c>
      <c r="F691" s="11"/>
      <c r="G691" s="30" t="s">
        <v>94</v>
      </c>
      <c r="H691" s="30" t="s">
        <v>177</v>
      </c>
      <c r="I691" s="21" t="s">
        <v>68</v>
      </c>
      <c r="J691" s="30" t="s">
        <v>687</v>
      </c>
      <c r="K691" s="21" t="s">
        <v>94</v>
      </c>
      <c r="L691" s="35">
        <v>0</v>
      </c>
      <c r="M691" s="19">
        <v>19.11</v>
      </c>
      <c r="N691" s="42">
        <v>44706</v>
      </c>
      <c r="O691" s="30" t="s">
        <v>114</v>
      </c>
    </row>
    <row r="692" spans="2:15" s="30" customFormat="1" ht="30" x14ac:dyDescent="0.25">
      <c r="B692" s="30" t="s">
        <v>168</v>
      </c>
      <c r="C692" s="30" t="s">
        <v>6</v>
      </c>
      <c r="D692" s="30" t="s">
        <v>10</v>
      </c>
      <c r="E692" s="30" t="s">
        <v>298</v>
      </c>
      <c r="F692" s="11"/>
      <c r="G692" s="30" t="s">
        <v>94</v>
      </c>
      <c r="H692" s="30" t="s">
        <v>390</v>
      </c>
      <c r="I692" s="21" t="s">
        <v>68</v>
      </c>
      <c r="J692" s="30" t="s">
        <v>688</v>
      </c>
      <c r="K692" s="21" t="s">
        <v>94</v>
      </c>
      <c r="L692" s="35">
        <v>0</v>
      </c>
      <c r="M692" s="19">
        <v>12.09</v>
      </c>
      <c r="N692" s="42">
        <v>44706</v>
      </c>
      <c r="O692" s="30" t="s">
        <v>114</v>
      </c>
    </row>
    <row r="693" spans="2:15" s="30" customFormat="1" ht="30" x14ac:dyDescent="0.25">
      <c r="B693" s="30" t="s">
        <v>168</v>
      </c>
      <c r="C693" s="30" t="s">
        <v>6</v>
      </c>
      <c r="D693" s="30" t="s">
        <v>10</v>
      </c>
      <c r="E693" s="30" t="s">
        <v>298</v>
      </c>
      <c r="F693" s="11"/>
      <c r="G693" s="30" t="s">
        <v>94</v>
      </c>
      <c r="H693" s="30" t="s">
        <v>389</v>
      </c>
      <c r="I693" s="21" t="s">
        <v>68</v>
      </c>
      <c r="J693" s="30" t="s">
        <v>689</v>
      </c>
      <c r="K693" s="21" t="s">
        <v>94</v>
      </c>
      <c r="L693" s="35">
        <v>0</v>
      </c>
      <c r="M693" s="19">
        <v>5.18</v>
      </c>
      <c r="N693" s="42">
        <v>44706</v>
      </c>
      <c r="O693" s="30" t="s">
        <v>114</v>
      </c>
    </row>
    <row r="694" spans="2:15" s="30" customFormat="1" ht="30" x14ac:dyDescent="0.25">
      <c r="B694" s="30" t="s">
        <v>168</v>
      </c>
      <c r="C694" s="30" t="s">
        <v>6</v>
      </c>
      <c r="D694" s="30" t="s">
        <v>10</v>
      </c>
      <c r="E694" s="30" t="s">
        <v>298</v>
      </c>
      <c r="F694" s="11"/>
      <c r="G694" s="30" t="s">
        <v>94</v>
      </c>
      <c r="H694" s="30" t="s">
        <v>390</v>
      </c>
      <c r="I694" s="21" t="s">
        <v>68</v>
      </c>
      <c r="J694" s="30" t="s">
        <v>690</v>
      </c>
      <c r="K694" s="21" t="s">
        <v>94</v>
      </c>
      <c r="L694" s="35">
        <v>0</v>
      </c>
      <c r="M694" s="19">
        <v>13.08</v>
      </c>
      <c r="N694" s="42">
        <v>44706</v>
      </c>
      <c r="O694" s="30" t="s">
        <v>114</v>
      </c>
    </row>
    <row r="695" spans="2:15" s="30" customFormat="1" ht="30" x14ac:dyDescent="0.25">
      <c r="B695" s="30" t="s">
        <v>170</v>
      </c>
      <c r="C695" s="30" t="s">
        <v>6</v>
      </c>
      <c r="D695" s="30" t="s">
        <v>10</v>
      </c>
      <c r="E695" s="30" t="s">
        <v>298</v>
      </c>
      <c r="F695" s="11"/>
      <c r="G695" s="30" t="s">
        <v>94</v>
      </c>
      <c r="H695" s="30" t="s">
        <v>389</v>
      </c>
      <c r="I695" s="21" t="s">
        <v>68</v>
      </c>
      <c r="J695" s="30" t="s">
        <v>841</v>
      </c>
      <c r="K695" s="21" t="s">
        <v>94</v>
      </c>
      <c r="L695" s="35">
        <v>0</v>
      </c>
      <c r="M695" s="19">
        <v>4.3</v>
      </c>
      <c r="N695" s="42">
        <v>44706</v>
      </c>
      <c r="O695" s="30" t="s">
        <v>114</v>
      </c>
    </row>
    <row r="696" spans="2:15" s="30" customFormat="1" ht="30" x14ac:dyDescent="0.25">
      <c r="B696" s="30" t="s">
        <v>169</v>
      </c>
      <c r="C696" s="30" t="s">
        <v>6</v>
      </c>
      <c r="D696" s="30" t="s">
        <v>10</v>
      </c>
      <c r="E696" s="30" t="s">
        <v>298</v>
      </c>
      <c r="F696" s="11"/>
      <c r="G696" s="30" t="s">
        <v>94</v>
      </c>
      <c r="H696" s="30" t="s">
        <v>398</v>
      </c>
      <c r="I696" s="21" t="s">
        <v>68</v>
      </c>
      <c r="J696" s="30" t="s">
        <v>691</v>
      </c>
      <c r="K696" s="21" t="s">
        <v>94</v>
      </c>
      <c r="L696" s="35">
        <v>0</v>
      </c>
      <c r="M696" s="19">
        <v>5.83</v>
      </c>
      <c r="N696" s="42">
        <v>44706</v>
      </c>
      <c r="O696" s="30" t="s">
        <v>114</v>
      </c>
    </row>
    <row r="697" spans="2:15" s="30" customFormat="1" ht="30" x14ac:dyDescent="0.25">
      <c r="B697" s="30" t="s">
        <v>168</v>
      </c>
      <c r="C697" s="30" t="s">
        <v>6</v>
      </c>
      <c r="D697" s="30" t="s">
        <v>10</v>
      </c>
      <c r="E697" s="30" t="s">
        <v>298</v>
      </c>
      <c r="F697" s="11"/>
      <c r="G697" s="30" t="s">
        <v>94</v>
      </c>
      <c r="H697" s="30" t="s">
        <v>390</v>
      </c>
      <c r="I697" s="21" t="s">
        <v>68</v>
      </c>
      <c r="J697" s="30" t="s">
        <v>839</v>
      </c>
      <c r="K697" s="21" t="s">
        <v>94</v>
      </c>
      <c r="L697" s="35">
        <v>0</v>
      </c>
      <c r="M697" s="19">
        <v>58.01</v>
      </c>
      <c r="N697" s="42">
        <v>44706</v>
      </c>
      <c r="O697" s="30" t="s">
        <v>114</v>
      </c>
    </row>
    <row r="698" spans="2:15" s="30" customFormat="1" ht="30" x14ac:dyDescent="0.25">
      <c r="B698" s="30" t="s">
        <v>168</v>
      </c>
      <c r="C698" s="30" t="s">
        <v>6</v>
      </c>
      <c r="D698" s="30" t="s">
        <v>10</v>
      </c>
      <c r="E698" s="30" t="s">
        <v>298</v>
      </c>
      <c r="F698" s="11"/>
      <c r="G698" s="30" t="s">
        <v>94</v>
      </c>
      <c r="H698" s="30" t="s">
        <v>390</v>
      </c>
      <c r="I698" s="21" t="s">
        <v>68</v>
      </c>
      <c r="J698" s="30" t="s">
        <v>838</v>
      </c>
      <c r="K698" s="21" t="s">
        <v>94</v>
      </c>
      <c r="L698" s="35">
        <v>22</v>
      </c>
      <c r="M698" s="19">
        <v>92.71</v>
      </c>
      <c r="N698" s="42">
        <v>44706</v>
      </c>
      <c r="O698" s="30" t="s">
        <v>114</v>
      </c>
    </row>
    <row r="699" spans="2:15" s="30" customFormat="1" ht="30" x14ac:dyDescent="0.25">
      <c r="B699" s="30" t="s">
        <v>168</v>
      </c>
      <c r="C699" s="30" t="s">
        <v>6</v>
      </c>
      <c r="D699" s="30" t="s">
        <v>10</v>
      </c>
      <c r="E699" s="30" t="s">
        <v>298</v>
      </c>
      <c r="F699" s="11"/>
      <c r="G699" s="30" t="s">
        <v>94</v>
      </c>
      <c r="H699" s="30" t="s">
        <v>23</v>
      </c>
      <c r="I699" s="21" t="s">
        <v>68</v>
      </c>
      <c r="J699" s="30" t="s">
        <v>692</v>
      </c>
      <c r="K699" s="21" t="s">
        <v>94</v>
      </c>
      <c r="L699" s="35">
        <v>4</v>
      </c>
      <c r="M699" s="19">
        <v>8.0399999999999991</v>
      </c>
      <c r="N699" s="42">
        <v>44706</v>
      </c>
      <c r="O699" s="30" t="s">
        <v>114</v>
      </c>
    </row>
    <row r="700" spans="2:15" s="30" customFormat="1" ht="30" x14ac:dyDescent="0.25">
      <c r="B700" s="30" t="s">
        <v>168</v>
      </c>
      <c r="C700" s="30" t="s">
        <v>6</v>
      </c>
      <c r="D700" s="30" t="s">
        <v>10</v>
      </c>
      <c r="E700" s="30" t="s">
        <v>298</v>
      </c>
      <c r="F700" s="11"/>
      <c r="G700" s="30" t="s">
        <v>94</v>
      </c>
      <c r="H700" s="30" t="s">
        <v>394</v>
      </c>
      <c r="I700" s="21" t="s">
        <v>68</v>
      </c>
      <c r="J700" s="30" t="s">
        <v>840</v>
      </c>
      <c r="K700" s="21" t="s">
        <v>107</v>
      </c>
      <c r="L700" s="35">
        <v>10</v>
      </c>
      <c r="M700" s="19">
        <v>12.64</v>
      </c>
      <c r="N700" s="42">
        <v>44706</v>
      </c>
      <c r="O700" s="30" t="s">
        <v>114</v>
      </c>
    </row>
    <row r="701" spans="2:15" s="30" customFormat="1" ht="30" x14ac:dyDescent="0.25">
      <c r="B701" s="30" t="s">
        <v>168</v>
      </c>
      <c r="C701" s="30" t="s">
        <v>6</v>
      </c>
      <c r="D701" s="30" t="s">
        <v>10</v>
      </c>
      <c r="E701" s="30" t="s">
        <v>298</v>
      </c>
      <c r="F701" s="11"/>
      <c r="G701" s="30" t="s">
        <v>94</v>
      </c>
      <c r="H701" s="30" t="s">
        <v>23</v>
      </c>
      <c r="I701" s="21" t="s">
        <v>68</v>
      </c>
      <c r="J701" s="30" t="s">
        <v>693</v>
      </c>
      <c r="K701" s="21" t="s">
        <v>107</v>
      </c>
      <c r="L701" s="35">
        <v>10</v>
      </c>
      <c r="M701" s="19">
        <v>45.97</v>
      </c>
      <c r="N701" s="42">
        <v>44706</v>
      </c>
      <c r="O701" s="30" t="s">
        <v>114</v>
      </c>
    </row>
    <row r="702" spans="2:15" s="30" customFormat="1" ht="30" x14ac:dyDescent="0.25">
      <c r="B702" s="30" t="s">
        <v>168</v>
      </c>
      <c r="C702" s="30" t="s">
        <v>6</v>
      </c>
      <c r="D702" s="30" t="s">
        <v>10</v>
      </c>
      <c r="E702" s="30" t="s">
        <v>298</v>
      </c>
      <c r="F702" s="11"/>
      <c r="G702" s="30" t="s">
        <v>94</v>
      </c>
      <c r="H702" s="30" t="s">
        <v>23</v>
      </c>
      <c r="I702" s="21" t="s">
        <v>68</v>
      </c>
      <c r="J702" s="30" t="s">
        <v>694</v>
      </c>
      <c r="K702" s="21" t="s">
        <v>107</v>
      </c>
      <c r="L702" s="35">
        <v>0</v>
      </c>
      <c r="M702" s="19">
        <v>18.34</v>
      </c>
      <c r="N702" s="42">
        <v>44706</v>
      </c>
      <c r="O702" s="30" t="s">
        <v>114</v>
      </c>
    </row>
    <row r="703" spans="2:15" s="30" customFormat="1" ht="30" x14ac:dyDescent="0.25">
      <c r="B703" s="30" t="s">
        <v>168</v>
      </c>
      <c r="C703" s="30" t="s">
        <v>6</v>
      </c>
      <c r="D703" s="30" t="s">
        <v>10</v>
      </c>
      <c r="E703" s="30" t="s">
        <v>298</v>
      </c>
      <c r="F703" s="11"/>
      <c r="G703" s="30" t="s">
        <v>94</v>
      </c>
      <c r="H703" s="30" t="s">
        <v>385</v>
      </c>
      <c r="I703" s="21" t="s">
        <v>68</v>
      </c>
      <c r="J703" s="30" t="s">
        <v>695</v>
      </c>
      <c r="K703" s="21" t="s">
        <v>107</v>
      </c>
      <c r="L703" s="35">
        <v>0</v>
      </c>
      <c r="M703" s="19">
        <v>6.46</v>
      </c>
      <c r="N703" s="42">
        <v>44706</v>
      </c>
      <c r="O703" s="30" t="s">
        <v>114</v>
      </c>
    </row>
    <row r="704" spans="2:15" s="30" customFormat="1" ht="30" x14ac:dyDescent="0.25">
      <c r="B704" s="30" t="s">
        <v>170</v>
      </c>
      <c r="C704" s="30" t="s">
        <v>6</v>
      </c>
      <c r="D704" s="30" t="s">
        <v>10</v>
      </c>
      <c r="E704" s="30" t="s">
        <v>298</v>
      </c>
      <c r="F704" s="11"/>
      <c r="G704" s="30" t="s">
        <v>94</v>
      </c>
      <c r="H704" s="30" t="s">
        <v>117</v>
      </c>
      <c r="I704" s="21" t="s">
        <v>68</v>
      </c>
      <c r="J704" s="30" t="s">
        <v>696</v>
      </c>
      <c r="K704" s="21" t="s">
        <v>107</v>
      </c>
      <c r="L704" s="35">
        <v>13</v>
      </c>
      <c r="M704" s="19">
        <v>38.11</v>
      </c>
      <c r="N704" s="42">
        <v>44706</v>
      </c>
      <c r="O704" s="30" t="s">
        <v>114</v>
      </c>
    </row>
    <row r="705" spans="1:15" s="30" customFormat="1" ht="30" x14ac:dyDescent="0.25">
      <c r="B705" s="30" t="s">
        <v>168</v>
      </c>
      <c r="C705" s="30" t="s">
        <v>6</v>
      </c>
      <c r="D705" s="30" t="s">
        <v>10</v>
      </c>
      <c r="E705" s="30" t="s">
        <v>298</v>
      </c>
      <c r="F705" s="11"/>
      <c r="G705" s="30" t="s">
        <v>94</v>
      </c>
      <c r="H705" s="30" t="s">
        <v>23</v>
      </c>
      <c r="I705" s="21" t="s">
        <v>68</v>
      </c>
      <c r="J705" s="30" t="s">
        <v>697</v>
      </c>
      <c r="K705" s="21" t="s">
        <v>107</v>
      </c>
      <c r="L705" s="35">
        <v>3</v>
      </c>
      <c r="M705" s="19">
        <v>15.5</v>
      </c>
      <c r="N705" s="42">
        <v>44706</v>
      </c>
      <c r="O705" s="30" t="s">
        <v>114</v>
      </c>
    </row>
    <row r="706" spans="1:15" s="30" customFormat="1" ht="30" x14ac:dyDescent="0.25">
      <c r="B706" s="30" t="s">
        <v>168</v>
      </c>
      <c r="C706" s="30" t="s">
        <v>6</v>
      </c>
      <c r="D706" s="30" t="s">
        <v>10</v>
      </c>
      <c r="E706" s="30" t="s">
        <v>298</v>
      </c>
      <c r="F706" s="11"/>
      <c r="G706" s="30" t="s">
        <v>94</v>
      </c>
      <c r="H706" s="30" t="s">
        <v>23</v>
      </c>
      <c r="I706" s="21" t="s">
        <v>68</v>
      </c>
      <c r="J706" s="30" t="s">
        <v>698</v>
      </c>
      <c r="K706" s="21" t="s">
        <v>107</v>
      </c>
      <c r="L706" s="35">
        <v>3</v>
      </c>
      <c r="M706" s="19">
        <v>24.64</v>
      </c>
      <c r="N706" s="42">
        <v>44706</v>
      </c>
      <c r="O706" s="30" t="s">
        <v>114</v>
      </c>
    </row>
    <row r="707" spans="1:15" s="30" customFormat="1" ht="30" x14ac:dyDescent="0.25">
      <c r="B707" s="30" t="s">
        <v>168</v>
      </c>
      <c r="C707" s="30" t="s">
        <v>6</v>
      </c>
      <c r="D707" s="30" t="s">
        <v>10</v>
      </c>
      <c r="E707" s="30" t="s">
        <v>298</v>
      </c>
      <c r="F707" s="11"/>
      <c r="G707" s="30" t="s">
        <v>94</v>
      </c>
      <c r="H707" s="30" t="s">
        <v>389</v>
      </c>
      <c r="I707" s="21" t="s">
        <v>68</v>
      </c>
      <c r="J707" s="30" t="s">
        <v>699</v>
      </c>
      <c r="K707" s="21" t="s">
        <v>107</v>
      </c>
      <c r="L707" s="35">
        <v>0</v>
      </c>
      <c r="M707" s="19">
        <v>5.4</v>
      </c>
      <c r="N707" s="42">
        <v>44706</v>
      </c>
      <c r="O707" s="30" t="s">
        <v>114</v>
      </c>
    </row>
    <row r="708" spans="1:15" s="30" customFormat="1" ht="30" x14ac:dyDescent="0.25">
      <c r="B708" s="30" t="s">
        <v>169</v>
      </c>
      <c r="C708" s="30" t="s">
        <v>6</v>
      </c>
      <c r="D708" s="30" t="s">
        <v>10</v>
      </c>
      <c r="E708" s="30" t="s">
        <v>298</v>
      </c>
      <c r="F708" s="11"/>
      <c r="G708" s="30" t="s">
        <v>94</v>
      </c>
      <c r="H708" s="30" t="s">
        <v>398</v>
      </c>
      <c r="I708" s="21" t="s">
        <v>68</v>
      </c>
      <c r="J708" s="30" t="s">
        <v>700</v>
      </c>
      <c r="K708" s="21" t="s">
        <v>107</v>
      </c>
      <c r="L708" s="35">
        <v>1</v>
      </c>
      <c r="M708" s="19">
        <v>4.66</v>
      </c>
      <c r="N708" s="42">
        <v>44706</v>
      </c>
      <c r="O708" s="30" t="s">
        <v>114</v>
      </c>
    </row>
    <row r="709" spans="1:15" s="30" customFormat="1" ht="30" x14ac:dyDescent="0.25">
      <c r="B709" s="30" t="s">
        <v>168</v>
      </c>
      <c r="C709" s="30" t="s">
        <v>6</v>
      </c>
      <c r="D709" s="30" t="s">
        <v>10</v>
      </c>
      <c r="E709" s="30" t="s">
        <v>298</v>
      </c>
      <c r="F709" s="11"/>
      <c r="G709" s="30" t="s">
        <v>94</v>
      </c>
      <c r="H709" s="30" t="s">
        <v>23</v>
      </c>
      <c r="I709" s="21" t="s">
        <v>68</v>
      </c>
      <c r="J709" s="30" t="s">
        <v>701</v>
      </c>
      <c r="K709" s="21" t="s">
        <v>107</v>
      </c>
      <c r="L709" s="35">
        <v>3</v>
      </c>
      <c r="M709" s="19">
        <v>16.350000000000001</v>
      </c>
      <c r="N709" s="42">
        <v>44706</v>
      </c>
      <c r="O709" s="30" t="s">
        <v>114</v>
      </c>
    </row>
    <row r="710" spans="1:15" s="30" customFormat="1" ht="30" x14ac:dyDescent="0.25">
      <c r="B710" s="30" t="s">
        <v>169</v>
      </c>
      <c r="C710" s="30" t="s">
        <v>6</v>
      </c>
      <c r="D710" s="30" t="s">
        <v>10</v>
      </c>
      <c r="E710" s="30" t="s">
        <v>298</v>
      </c>
      <c r="F710" s="11"/>
      <c r="G710" s="30" t="s">
        <v>94</v>
      </c>
      <c r="H710" s="30" t="s">
        <v>398</v>
      </c>
      <c r="I710" s="21" t="s">
        <v>68</v>
      </c>
      <c r="J710" s="30" t="s">
        <v>702</v>
      </c>
      <c r="K710" s="21" t="s">
        <v>94</v>
      </c>
      <c r="L710" s="35">
        <v>0</v>
      </c>
      <c r="M710" s="19">
        <v>2.61</v>
      </c>
      <c r="N710" s="42">
        <v>44706</v>
      </c>
      <c r="O710" s="30" t="s">
        <v>114</v>
      </c>
    </row>
    <row r="711" spans="1:15" s="30" customFormat="1" ht="30" x14ac:dyDescent="0.25">
      <c r="B711" s="30" t="s">
        <v>170</v>
      </c>
      <c r="C711" s="30" t="s">
        <v>6</v>
      </c>
      <c r="D711" s="30" t="s">
        <v>10</v>
      </c>
      <c r="E711" s="30" t="s">
        <v>298</v>
      </c>
      <c r="F711" s="11"/>
      <c r="G711" s="30" t="s">
        <v>94</v>
      </c>
      <c r="H711" s="30" t="s">
        <v>394</v>
      </c>
      <c r="I711" s="21" t="s">
        <v>68</v>
      </c>
      <c r="J711" s="30" t="s">
        <v>703</v>
      </c>
      <c r="K711" s="21" t="s">
        <v>107</v>
      </c>
      <c r="L711" s="35">
        <v>0</v>
      </c>
      <c r="M711" s="19">
        <v>108.47</v>
      </c>
      <c r="N711" s="42">
        <v>44706</v>
      </c>
      <c r="O711" s="30" t="s">
        <v>114</v>
      </c>
    </row>
    <row r="712" spans="1:15" s="30" customFormat="1" ht="30" x14ac:dyDescent="0.25">
      <c r="B712" s="30" t="s">
        <v>169</v>
      </c>
      <c r="C712" s="30" t="s">
        <v>6</v>
      </c>
      <c r="D712" s="30" t="s">
        <v>10</v>
      </c>
      <c r="E712" s="30" t="s">
        <v>298</v>
      </c>
      <c r="F712" s="11"/>
      <c r="G712" s="30" t="s">
        <v>94</v>
      </c>
      <c r="H712" s="30" t="s">
        <v>398</v>
      </c>
      <c r="I712" s="21" t="s">
        <v>68</v>
      </c>
      <c r="J712" s="30" t="s">
        <v>704</v>
      </c>
      <c r="K712" s="21" t="s">
        <v>94</v>
      </c>
      <c r="L712" s="35">
        <v>3</v>
      </c>
      <c r="M712" s="19">
        <v>21.13</v>
      </c>
      <c r="N712" s="42">
        <v>44706</v>
      </c>
      <c r="O712" s="30" t="s">
        <v>114</v>
      </c>
    </row>
    <row r="713" spans="1:15" s="30" customFormat="1" ht="30" x14ac:dyDescent="0.25">
      <c r="B713" s="30" t="s">
        <v>169</v>
      </c>
      <c r="C713" s="30" t="s">
        <v>6</v>
      </c>
      <c r="D713" s="30" t="s">
        <v>10</v>
      </c>
      <c r="E713" s="30" t="s">
        <v>298</v>
      </c>
      <c r="F713" s="11"/>
      <c r="G713" s="30" t="s">
        <v>94</v>
      </c>
      <c r="H713" s="30" t="s">
        <v>398</v>
      </c>
      <c r="I713" s="21" t="s">
        <v>68</v>
      </c>
      <c r="J713" s="30" t="s">
        <v>705</v>
      </c>
      <c r="K713" s="21" t="s">
        <v>94</v>
      </c>
      <c r="L713" s="35">
        <v>3</v>
      </c>
      <c r="M713" s="19">
        <v>24.53</v>
      </c>
      <c r="N713" s="42">
        <v>44706</v>
      </c>
      <c r="O713" s="30" t="s">
        <v>114</v>
      </c>
    </row>
    <row r="714" spans="1:15" s="30" customFormat="1" ht="30" x14ac:dyDescent="0.25">
      <c r="B714" s="30" t="s">
        <v>168</v>
      </c>
      <c r="C714" s="30" t="s">
        <v>6</v>
      </c>
      <c r="D714" s="30" t="s">
        <v>10</v>
      </c>
      <c r="E714" s="30" t="s">
        <v>298</v>
      </c>
      <c r="F714" s="11"/>
      <c r="G714" s="30" t="s">
        <v>94</v>
      </c>
      <c r="H714" s="30" t="s">
        <v>398</v>
      </c>
      <c r="I714" s="21" t="s">
        <v>68</v>
      </c>
      <c r="J714" s="30" t="s">
        <v>706</v>
      </c>
      <c r="K714" s="21" t="s">
        <v>94</v>
      </c>
      <c r="L714" s="35">
        <v>1</v>
      </c>
      <c r="M714" s="19">
        <v>7.38</v>
      </c>
      <c r="N714" s="42">
        <v>44706</v>
      </c>
      <c r="O714" s="30" t="s">
        <v>114</v>
      </c>
    </row>
    <row r="715" spans="1:15" s="30" customFormat="1" ht="30" x14ac:dyDescent="0.25">
      <c r="B715" s="30" t="s">
        <v>168</v>
      </c>
      <c r="C715" s="30" t="s">
        <v>6</v>
      </c>
      <c r="D715" s="30" t="s">
        <v>10</v>
      </c>
      <c r="E715" s="30" t="s">
        <v>298</v>
      </c>
      <c r="F715" s="11"/>
      <c r="G715" s="30" t="s">
        <v>94</v>
      </c>
      <c r="H715" s="30" t="s">
        <v>389</v>
      </c>
      <c r="I715" s="21" t="s">
        <v>68</v>
      </c>
      <c r="J715" s="30" t="s">
        <v>707</v>
      </c>
      <c r="K715" s="21" t="s">
        <v>94</v>
      </c>
      <c r="L715" s="35">
        <v>0</v>
      </c>
      <c r="M715" s="19">
        <v>2.89</v>
      </c>
      <c r="N715" s="42">
        <v>44706</v>
      </c>
      <c r="O715" s="30" t="s">
        <v>114</v>
      </c>
    </row>
    <row r="716" spans="1:15" s="45" customFormat="1" ht="30" x14ac:dyDescent="0.25">
      <c r="A716" s="30"/>
      <c r="B716" s="30" t="s">
        <v>168</v>
      </c>
      <c r="C716" s="30" t="s">
        <v>6</v>
      </c>
      <c r="D716" s="30" t="s">
        <v>10</v>
      </c>
      <c r="E716" s="30" t="s">
        <v>298</v>
      </c>
      <c r="F716" s="11"/>
      <c r="G716" s="30" t="s">
        <v>94</v>
      </c>
      <c r="H716" s="30" t="s">
        <v>391</v>
      </c>
      <c r="I716" s="21" t="s">
        <v>68</v>
      </c>
      <c r="J716" s="30" t="s">
        <v>842</v>
      </c>
      <c r="K716" s="21" t="s">
        <v>107</v>
      </c>
      <c r="L716" s="35">
        <v>228</v>
      </c>
      <c r="M716" s="19">
        <v>389.73</v>
      </c>
      <c r="N716" s="42">
        <v>44706</v>
      </c>
      <c r="O716" s="30" t="s">
        <v>114</v>
      </c>
    </row>
    <row r="717" spans="1:15" s="30" customFormat="1" ht="30" x14ac:dyDescent="0.25">
      <c r="B717" s="30" t="s">
        <v>169</v>
      </c>
      <c r="C717" s="30" t="s">
        <v>6</v>
      </c>
      <c r="D717" s="30" t="s">
        <v>10</v>
      </c>
      <c r="E717" s="30" t="s">
        <v>298</v>
      </c>
      <c r="F717" s="11"/>
      <c r="G717" s="30" t="s">
        <v>94</v>
      </c>
      <c r="H717" s="30" t="s">
        <v>398</v>
      </c>
      <c r="I717" s="21" t="s">
        <v>68</v>
      </c>
      <c r="J717" s="30" t="s">
        <v>708</v>
      </c>
      <c r="K717" s="21" t="s">
        <v>94</v>
      </c>
      <c r="L717" s="35">
        <v>3</v>
      </c>
      <c r="M717" s="19">
        <v>17.36</v>
      </c>
      <c r="N717" s="42">
        <v>44706</v>
      </c>
      <c r="O717" s="30" t="s">
        <v>114</v>
      </c>
    </row>
    <row r="718" spans="1:15" s="30" customFormat="1" ht="30" x14ac:dyDescent="0.25">
      <c r="B718" s="30" t="s">
        <v>169</v>
      </c>
      <c r="C718" s="30" t="s">
        <v>6</v>
      </c>
      <c r="D718" s="30" t="s">
        <v>10</v>
      </c>
      <c r="E718" s="30" t="s">
        <v>298</v>
      </c>
      <c r="F718" s="11"/>
      <c r="G718" s="30" t="s">
        <v>94</v>
      </c>
      <c r="H718" s="30" t="s">
        <v>398</v>
      </c>
      <c r="I718" s="21" t="s">
        <v>68</v>
      </c>
      <c r="J718" s="30" t="s">
        <v>708</v>
      </c>
      <c r="K718" s="21" t="s">
        <v>94</v>
      </c>
      <c r="L718" s="35">
        <v>3</v>
      </c>
      <c r="M718" s="19">
        <v>17.36</v>
      </c>
      <c r="N718" s="42">
        <v>44706</v>
      </c>
      <c r="O718" s="30" t="s">
        <v>114</v>
      </c>
    </row>
    <row r="719" spans="1:15" s="30" customFormat="1" ht="30" x14ac:dyDescent="0.25">
      <c r="B719" s="30" t="s">
        <v>169</v>
      </c>
      <c r="C719" s="30" t="s">
        <v>6</v>
      </c>
      <c r="D719" s="30" t="s">
        <v>10</v>
      </c>
      <c r="E719" s="30" t="s">
        <v>298</v>
      </c>
      <c r="F719" s="11"/>
      <c r="G719" s="30" t="s">
        <v>94</v>
      </c>
      <c r="H719" s="30" t="s">
        <v>398</v>
      </c>
      <c r="I719" s="21" t="s">
        <v>68</v>
      </c>
      <c r="J719" s="30" t="s">
        <v>709</v>
      </c>
      <c r="K719" s="21" t="s">
        <v>94</v>
      </c>
      <c r="L719" s="35">
        <v>1</v>
      </c>
      <c r="M719" s="19">
        <v>8.89</v>
      </c>
      <c r="N719" s="42">
        <v>44706</v>
      </c>
      <c r="O719" s="30" t="s">
        <v>114</v>
      </c>
    </row>
    <row r="720" spans="1:15" s="30" customFormat="1" ht="30" x14ac:dyDescent="0.25">
      <c r="B720" s="30" t="s">
        <v>168</v>
      </c>
      <c r="C720" s="30" t="s">
        <v>6</v>
      </c>
      <c r="D720" s="30" t="s">
        <v>10</v>
      </c>
      <c r="E720" s="30" t="s">
        <v>298</v>
      </c>
      <c r="F720" s="11"/>
      <c r="G720" s="30" t="s">
        <v>94</v>
      </c>
      <c r="H720" s="30" t="s">
        <v>390</v>
      </c>
      <c r="I720" s="21" t="s">
        <v>68</v>
      </c>
      <c r="J720" s="30" t="s">
        <v>686</v>
      </c>
      <c r="K720" s="21" t="s">
        <v>94</v>
      </c>
      <c r="L720" s="35">
        <v>0</v>
      </c>
      <c r="M720" s="19">
        <v>14.59</v>
      </c>
      <c r="N720" s="42">
        <v>44706</v>
      </c>
      <c r="O720" s="30" t="s">
        <v>114</v>
      </c>
    </row>
    <row r="721" spans="1:15" s="30" customFormat="1" ht="30" x14ac:dyDescent="0.25">
      <c r="B721" s="30" t="s">
        <v>168</v>
      </c>
      <c r="C721" s="30" t="s">
        <v>6</v>
      </c>
      <c r="D721" s="30" t="s">
        <v>10</v>
      </c>
      <c r="E721" s="30" t="s">
        <v>298</v>
      </c>
      <c r="F721" s="11"/>
      <c r="G721" s="30" t="s">
        <v>94</v>
      </c>
      <c r="H721" s="30" t="s">
        <v>389</v>
      </c>
      <c r="I721" s="21" t="s">
        <v>68</v>
      </c>
      <c r="J721" s="30" t="s">
        <v>681</v>
      </c>
      <c r="K721" s="21" t="s">
        <v>94</v>
      </c>
      <c r="L721" s="35">
        <v>0</v>
      </c>
      <c r="M721" s="19">
        <v>2.6</v>
      </c>
      <c r="N721" s="42">
        <v>44706</v>
      </c>
      <c r="O721" s="30" t="s">
        <v>114</v>
      </c>
    </row>
    <row r="722" spans="1:15" s="30" customFormat="1" ht="30" x14ac:dyDescent="0.25">
      <c r="B722" s="30" t="s">
        <v>168</v>
      </c>
      <c r="C722" s="30" t="s">
        <v>6</v>
      </c>
      <c r="D722" s="30" t="s">
        <v>10</v>
      </c>
      <c r="E722" s="30" t="s">
        <v>298</v>
      </c>
      <c r="F722" s="11"/>
      <c r="G722" s="30" t="s">
        <v>94</v>
      </c>
      <c r="H722" s="30" t="s">
        <v>390</v>
      </c>
      <c r="I722" s="21" t="s">
        <v>68</v>
      </c>
      <c r="J722" s="30" t="s">
        <v>843</v>
      </c>
      <c r="K722" s="21" t="s">
        <v>94</v>
      </c>
      <c r="L722" s="35">
        <v>0</v>
      </c>
      <c r="M722" s="19">
        <v>13.88</v>
      </c>
      <c r="N722" s="42">
        <v>44706</v>
      </c>
      <c r="O722" s="30" t="s">
        <v>114</v>
      </c>
    </row>
    <row r="723" spans="1:15" s="30" customFormat="1" ht="30" x14ac:dyDescent="0.25">
      <c r="B723" s="30" t="s">
        <v>168</v>
      </c>
      <c r="C723" s="30" t="s">
        <v>6</v>
      </c>
      <c r="D723" s="30" t="s">
        <v>10</v>
      </c>
      <c r="E723" s="30" t="s">
        <v>298</v>
      </c>
      <c r="F723" s="11"/>
      <c r="G723" s="30" t="s">
        <v>94</v>
      </c>
      <c r="H723" s="30" t="s">
        <v>390</v>
      </c>
      <c r="I723" s="21" t="s">
        <v>68</v>
      </c>
      <c r="J723" s="30" t="s">
        <v>710</v>
      </c>
      <c r="K723" s="21" t="s">
        <v>94</v>
      </c>
      <c r="L723" s="35">
        <v>0</v>
      </c>
      <c r="M723" s="19">
        <v>11.51</v>
      </c>
      <c r="N723" s="42">
        <v>44706</v>
      </c>
      <c r="O723" s="30" t="s">
        <v>114</v>
      </c>
    </row>
    <row r="724" spans="1:15" s="30" customFormat="1" ht="30" x14ac:dyDescent="0.25">
      <c r="B724" s="30" t="s">
        <v>168</v>
      </c>
      <c r="C724" s="30" t="s">
        <v>6</v>
      </c>
      <c r="D724" s="30" t="s">
        <v>10</v>
      </c>
      <c r="E724" s="30" t="s">
        <v>298</v>
      </c>
      <c r="F724" s="11"/>
      <c r="G724" s="30" t="s">
        <v>94</v>
      </c>
      <c r="H724" s="30" t="s">
        <v>389</v>
      </c>
      <c r="I724" s="21" t="s">
        <v>68</v>
      </c>
      <c r="J724" s="30" t="s">
        <v>707</v>
      </c>
      <c r="K724" s="21" t="s">
        <v>94</v>
      </c>
      <c r="L724" s="35">
        <v>0</v>
      </c>
      <c r="M724" s="19">
        <v>6.46</v>
      </c>
      <c r="N724" s="42">
        <v>44706</v>
      </c>
      <c r="O724" s="30" t="s">
        <v>114</v>
      </c>
    </row>
    <row r="725" spans="1:15" s="30" customFormat="1" ht="30" x14ac:dyDescent="0.25">
      <c r="B725" s="30" t="s">
        <v>169</v>
      </c>
      <c r="C725" s="30" t="s">
        <v>6</v>
      </c>
      <c r="D725" s="30" t="s">
        <v>10</v>
      </c>
      <c r="E725" s="30" t="s">
        <v>298</v>
      </c>
      <c r="F725" s="11"/>
      <c r="G725" s="30" t="s">
        <v>94</v>
      </c>
      <c r="H725" s="30" t="s">
        <v>398</v>
      </c>
      <c r="I725" s="21" t="s">
        <v>68</v>
      </c>
      <c r="J725" s="30" t="s">
        <v>711</v>
      </c>
      <c r="K725" s="21" t="s">
        <v>94</v>
      </c>
      <c r="L725" s="35">
        <v>0</v>
      </c>
      <c r="M725" s="19">
        <v>19.72</v>
      </c>
      <c r="N725" s="42">
        <v>44706</v>
      </c>
      <c r="O725" s="30" t="s">
        <v>114</v>
      </c>
    </row>
    <row r="726" spans="1:15" s="30" customFormat="1" ht="30" x14ac:dyDescent="0.25">
      <c r="B726" s="30" t="s">
        <v>169</v>
      </c>
      <c r="C726" s="30" t="s">
        <v>6</v>
      </c>
      <c r="D726" s="30" t="s">
        <v>10</v>
      </c>
      <c r="E726" s="30" t="s">
        <v>298</v>
      </c>
      <c r="F726" s="11"/>
      <c r="G726" s="30" t="s">
        <v>94</v>
      </c>
      <c r="H726" s="30" t="s">
        <v>398</v>
      </c>
      <c r="I726" s="21" t="s">
        <v>68</v>
      </c>
      <c r="J726" s="30" t="s">
        <v>712</v>
      </c>
      <c r="K726" s="21" t="s">
        <v>94</v>
      </c>
      <c r="L726" s="35">
        <v>0</v>
      </c>
      <c r="M726" s="19">
        <v>24.34</v>
      </c>
      <c r="N726" s="42">
        <v>44706</v>
      </c>
      <c r="O726" s="30" t="s">
        <v>114</v>
      </c>
    </row>
    <row r="727" spans="1:15" s="30" customFormat="1" ht="30" x14ac:dyDescent="0.25">
      <c r="B727" s="30" t="s">
        <v>169</v>
      </c>
      <c r="C727" s="30" t="s">
        <v>6</v>
      </c>
      <c r="D727" s="30" t="s">
        <v>10</v>
      </c>
      <c r="E727" s="30" t="s">
        <v>298</v>
      </c>
      <c r="F727" s="11"/>
      <c r="G727" s="30" t="s">
        <v>94</v>
      </c>
      <c r="H727" s="30" t="s">
        <v>398</v>
      </c>
      <c r="I727" s="21" t="s">
        <v>68</v>
      </c>
      <c r="J727" s="30" t="s">
        <v>713</v>
      </c>
      <c r="K727" s="21" t="s">
        <v>94</v>
      </c>
      <c r="L727" s="35">
        <v>0</v>
      </c>
      <c r="M727" s="19">
        <v>8.1</v>
      </c>
      <c r="N727" s="42">
        <v>44706</v>
      </c>
      <c r="O727" s="30" t="s">
        <v>114</v>
      </c>
    </row>
    <row r="728" spans="1:15" s="30" customFormat="1" ht="30" x14ac:dyDescent="0.25">
      <c r="B728" s="30" t="s">
        <v>168</v>
      </c>
      <c r="C728" s="30" t="s">
        <v>6</v>
      </c>
      <c r="D728" s="30" t="s">
        <v>10</v>
      </c>
      <c r="E728" s="30" t="s">
        <v>298</v>
      </c>
      <c r="F728" s="11"/>
      <c r="G728" s="30" t="s">
        <v>94</v>
      </c>
      <c r="H728" s="30" t="s">
        <v>386</v>
      </c>
      <c r="I728" s="21" t="s">
        <v>68</v>
      </c>
      <c r="J728" s="30" t="s">
        <v>844</v>
      </c>
      <c r="K728" s="21" t="s">
        <v>94</v>
      </c>
      <c r="L728" s="35">
        <v>254</v>
      </c>
      <c r="M728" s="19">
        <v>435.18</v>
      </c>
      <c r="N728" s="42">
        <v>44706</v>
      </c>
      <c r="O728" s="30" t="s">
        <v>114</v>
      </c>
    </row>
    <row r="729" spans="1:15" s="30" customFormat="1" ht="30" x14ac:dyDescent="0.25">
      <c r="B729" s="30" t="s">
        <v>170</v>
      </c>
      <c r="C729" s="30" t="s">
        <v>6</v>
      </c>
      <c r="D729" s="30" t="s">
        <v>10</v>
      </c>
      <c r="E729" s="30" t="s">
        <v>298</v>
      </c>
      <c r="F729" s="11"/>
      <c r="G729" s="30" t="s">
        <v>94</v>
      </c>
      <c r="H729" s="30" t="s">
        <v>394</v>
      </c>
      <c r="I729" s="21" t="s">
        <v>68</v>
      </c>
      <c r="J729" s="30" t="s">
        <v>680</v>
      </c>
      <c r="K729" s="21" t="s">
        <v>94</v>
      </c>
      <c r="L729" s="35">
        <v>0</v>
      </c>
      <c r="M729" s="19">
        <v>1550.72</v>
      </c>
      <c r="N729" s="42">
        <v>44706</v>
      </c>
      <c r="O729" s="30" t="s">
        <v>114</v>
      </c>
    </row>
    <row r="730" spans="1:15" s="30" customFormat="1" ht="30" x14ac:dyDescent="0.25">
      <c r="B730" s="30" t="s">
        <v>168</v>
      </c>
      <c r="C730" s="30" t="s">
        <v>6</v>
      </c>
      <c r="D730" s="30" t="s">
        <v>10</v>
      </c>
      <c r="E730" s="30" t="s">
        <v>298</v>
      </c>
      <c r="F730" s="11"/>
      <c r="G730" s="30" t="s">
        <v>94</v>
      </c>
      <c r="H730" s="30" t="s">
        <v>24</v>
      </c>
      <c r="I730" s="21" t="s">
        <v>68</v>
      </c>
      <c r="J730" s="30" t="s">
        <v>860</v>
      </c>
      <c r="K730" s="21" t="s">
        <v>94</v>
      </c>
      <c r="L730" s="35">
        <v>0</v>
      </c>
      <c r="M730" s="47">
        <v>1554.17</v>
      </c>
      <c r="N730" s="42">
        <v>44706</v>
      </c>
      <c r="O730" s="30" t="s">
        <v>114</v>
      </c>
    </row>
    <row r="731" spans="1:15" s="30" customFormat="1" ht="30" x14ac:dyDescent="0.25">
      <c r="B731" s="30" t="s">
        <v>168</v>
      </c>
      <c r="C731" s="30" t="s">
        <v>6</v>
      </c>
      <c r="D731" s="30" t="s">
        <v>10</v>
      </c>
      <c r="E731" s="30" t="s">
        <v>298</v>
      </c>
      <c r="F731" s="11"/>
      <c r="G731" s="30" t="s">
        <v>94</v>
      </c>
      <c r="H731" s="30" t="s">
        <v>390</v>
      </c>
      <c r="I731" s="21" t="s">
        <v>68</v>
      </c>
      <c r="J731" s="30" t="s">
        <v>859</v>
      </c>
      <c r="K731" s="21" t="s">
        <v>94</v>
      </c>
      <c r="L731" s="35">
        <v>0</v>
      </c>
      <c r="M731" s="47">
        <v>184.08</v>
      </c>
      <c r="N731" s="42">
        <v>44706</v>
      </c>
      <c r="O731" s="30" t="s">
        <v>114</v>
      </c>
    </row>
    <row r="732" spans="1:15" s="30" customFormat="1" ht="30" x14ac:dyDescent="0.25">
      <c r="B732" s="30" t="s">
        <v>168</v>
      </c>
      <c r="C732" s="30" t="s">
        <v>6</v>
      </c>
      <c r="D732" s="30" t="s">
        <v>10</v>
      </c>
      <c r="E732" s="30" t="s">
        <v>298</v>
      </c>
      <c r="F732" s="11"/>
      <c r="G732" s="30" t="s">
        <v>94</v>
      </c>
      <c r="H732" s="30" t="s">
        <v>390</v>
      </c>
      <c r="I732" s="21" t="s">
        <v>68</v>
      </c>
      <c r="J732" s="30" t="s">
        <v>858</v>
      </c>
      <c r="K732" s="21" t="s">
        <v>94</v>
      </c>
      <c r="L732" s="35">
        <v>0</v>
      </c>
      <c r="M732" s="47">
        <v>75.48</v>
      </c>
      <c r="N732" s="42">
        <v>44706</v>
      </c>
      <c r="O732" s="30" t="s">
        <v>114</v>
      </c>
    </row>
    <row r="733" spans="1:15" s="30" customFormat="1" ht="30" x14ac:dyDescent="0.25">
      <c r="B733" s="30" t="s">
        <v>168</v>
      </c>
      <c r="C733" s="30" t="s">
        <v>6</v>
      </c>
      <c r="D733" s="30" t="s">
        <v>10</v>
      </c>
      <c r="E733" s="30" t="s">
        <v>298</v>
      </c>
      <c r="F733" s="11"/>
      <c r="G733" s="30" t="s">
        <v>94</v>
      </c>
      <c r="H733" s="30" t="s">
        <v>390</v>
      </c>
      <c r="I733" s="21" t="s">
        <v>68</v>
      </c>
      <c r="J733" s="30" t="s">
        <v>857</v>
      </c>
      <c r="K733" s="21" t="s">
        <v>94</v>
      </c>
      <c r="L733" s="35">
        <v>0</v>
      </c>
      <c r="M733" s="47">
        <v>53.5</v>
      </c>
      <c r="N733" s="42">
        <v>44706</v>
      </c>
      <c r="O733" s="30" t="s">
        <v>114</v>
      </c>
    </row>
    <row r="734" spans="1:15" s="30" customFormat="1" ht="30" x14ac:dyDescent="0.25">
      <c r="B734" s="30" t="s">
        <v>168</v>
      </c>
      <c r="C734" s="30" t="s">
        <v>6</v>
      </c>
      <c r="D734" s="30" t="s">
        <v>10</v>
      </c>
      <c r="E734" s="30" t="s">
        <v>298</v>
      </c>
      <c r="F734" s="11"/>
      <c r="G734" s="30" t="s">
        <v>94</v>
      </c>
      <c r="H734" s="30" t="s">
        <v>390</v>
      </c>
      <c r="I734" s="21" t="s">
        <v>68</v>
      </c>
      <c r="J734" s="30" t="s">
        <v>856</v>
      </c>
      <c r="K734" s="21" t="s">
        <v>94</v>
      </c>
      <c r="L734" s="35">
        <v>0</v>
      </c>
      <c r="M734" s="47">
        <v>60.16</v>
      </c>
      <c r="N734" s="42">
        <v>44706</v>
      </c>
      <c r="O734" s="30" t="s">
        <v>114</v>
      </c>
    </row>
    <row r="735" spans="1:15" s="30" customFormat="1" ht="30" x14ac:dyDescent="0.25">
      <c r="B735" s="30" t="s">
        <v>168</v>
      </c>
      <c r="C735" s="30" t="s">
        <v>6</v>
      </c>
      <c r="D735" s="30" t="s">
        <v>10</v>
      </c>
      <c r="E735" s="30" t="s">
        <v>298</v>
      </c>
      <c r="F735" s="11"/>
      <c r="G735" s="30" t="s">
        <v>94</v>
      </c>
      <c r="H735" s="30" t="s">
        <v>389</v>
      </c>
      <c r="I735" s="21" t="s">
        <v>68</v>
      </c>
      <c r="J735" s="30" t="s">
        <v>714</v>
      </c>
      <c r="K735" s="21" t="s">
        <v>94</v>
      </c>
      <c r="L735" s="35">
        <v>0</v>
      </c>
      <c r="M735" s="19">
        <v>8.1300000000000008</v>
      </c>
      <c r="N735" s="42">
        <v>44706</v>
      </c>
      <c r="O735" s="30" t="s">
        <v>114</v>
      </c>
    </row>
    <row r="736" spans="1:15" s="30" customFormat="1" ht="30" x14ac:dyDescent="0.25">
      <c r="A736" s="45"/>
      <c r="B736" s="45" t="s">
        <v>168</v>
      </c>
      <c r="C736" s="45" t="s">
        <v>6</v>
      </c>
      <c r="D736" s="45" t="s">
        <v>10</v>
      </c>
      <c r="E736" s="45" t="s">
        <v>298</v>
      </c>
      <c r="F736" s="54"/>
      <c r="G736" s="45" t="s">
        <v>94</v>
      </c>
      <c r="H736" s="45" t="s">
        <v>399</v>
      </c>
      <c r="I736" s="55" t="s">
        <v>68</v>
      </c>
      <c r="J736" s="45" t="s">
        <v>715</v>
      </c>
      <c r="K736" s="55" t="s">
        <v>94</v>
      </c>
      <c r="L736" s="56">
        <v>0</v>
      </c>
      <c r="M736" s="57">
        <v>122.66</v>
      </c>
      <c r="N736" s="58">
        <v>44706</v>
      </c>
      <c r="O736" s="45" t="s">
        <v>114</v>
      </c>
    </row>
    <row r="737" spans="2:15" s="30" customFormat="1" ht="30" x14ac:dyDescent="0.25">
      <c r="B737" s="30" t="s">
        <v>168</v>
      </c>
      <c r="C737" s="30" t="s">
        <v>6</v>
      </c>
      <c r="D737" s="30" t="s">
        <v>10</v>
      </c>
      <c r="E737" s="30" t="s">
        <v>298</v>
      </c>
      <c r="F737" s="11"/>
      <c r="G737" s="30" t="s">
        <v>94</v>
      </c>
      <c r="H737" s="30" t="s">
        <v>399</v>
      </c>
      <c r="I737" s="21" t="s">
        <v>68</v>
      </c>
      <c r="J737" s="30" t="s">
        <v>716</v>
      </c>
      <c r="K737" s="21" t="s">
        <v>94</v>
      </c>
      <c r="L737" s="35">
        <v>0</v>
      </c>
      <c r="M737" s="19">
        <v>123.06</v>
      </c>
      <c r="N737" s="42">
        <v>44706</v>
      </c>
      <c r="O737" s="30" t="s">
        <v>114</v>
      </c>
    </row>
    <row r="738" spans="2:15" s="30" customFormat="1" ht="30" x14ac:dyDescent="0.25">
      <c r="B738" s="30" t="s">
        <v>168</v>
      </c>
      <c r="C738" s="30" t="s">
        <v>6</v>
      </c>
      <c r="D738" s="30" t="s">
        <v>10</v>
      </c>
      <c r="E738" s="30" t="s">
        <v>298</v>
      </c>
      <c r="F738" s="11"/>
      <c r="G738" s="30" t="s">
        <v>94</v>
      </c>
      <c r="H738" s="30" t="s">
        <v>399</v>
      </c>
      <c r="I738" s="21" t="s">
        <v>68</v>
      </c>
      <c r="J738" s="30" t="s">
        <v>717</v>
      </c>
      <c r="K738" s="21" t="s">
        <v>94</v>
      </c>
      <c r="L738" s="35">
        <v>0</v>
      </c>
      <c r="M738" s="19">
        <v>13.25</v>
      </c>
      <c r="N738" s="42">
        <v>44706</v>
      </c>
      <c r="O738" s="30" t="s">
        <v>114</v>
      </c>
    </row>
    <row r="739" spans="2:15" s="30" customFormat="1" ht="30" x14ac:dyDescent="0.25">
      <c r="B739" s="30" t="s">
        <v>168</v>
      </c>
      <c r="C739" s="30" t="s">
        <v>6</v>
      </c>
      <c r="D739" s="30" t="s">
        <v>10</v>
      </c>
      <c r="E739" s="30" t="s">
        <v>298</v>
      </c>
      <c r="F739" s="11"/>
      <c r="G739" s="30" t="s">
        <v>94</v>
      </c>
      <c r="H739" s="30" t="s">
        <v>399</v>
      </c>
      <c r="I739" s="21" t="s">
        <v>68</v>
      </c>
      <c r="J739" s="30" t="s">
        <v>718</v>
      </c>
      <c r="K739" s="21" t="s">
        <v>94</v>
      </c>
      <c r="L739" s="35">
        <v>0</v>
      </c>
      <c r="M739" s="19">
        <v>14.1</v>
      </c>
      <c r="N739" s="42">
        <v>44706</v>
      </c>
      <c r="O739" s="30" t="s">
        <v>114</v>
      </c>
    </row>
    <row r="740" spans="2:15" s="30" customFormat="1" ht="30" x14ac:dyDescent="0.25">
      <c r="B740" s="30" t="s">
        <v>168</v>
      </c>
      <c r="C740" s="30" t="s">
        <v>6</v>
      </c>
      <c r="D740" s="30" t="s">
        <v>10</v>
      </c>
      <c r="E740" s="30" t="s">
        <v>298</v>
      </c>
      <c r="F740" s="11"/>
      <c r="G740" s="30" t="s">
        <v>94</v>
      </c>
      <c r="H740" s="30" t="s">
        <v>399</v>
      </c>
      <c r="I740" s="21" t="s">
        <v>68</v>
      </c>
      <c r="J740" s="30" t="s">
        <v>718</v>
      </c>
      <c r="K740" s="21" t="s">
        <v>94</v>
      </c>
      <c r="L740" s="35">
        <v>0</v>
      </c>
      <c r="M740" s="19">
        <v>14.1</v>
      </c>
      <c r="N740" s="42">
        <v>44706</v>
      </c>
      <c r="O740" s="30" t="s">
        <v>114</v>
      </c>
    </row>
    <row r="741" spans="2:15" s="30" customFormat="1" ht="30" x14ac:dyDescent="0.25">
      <c r="B741" s="30" t="s">
        <v>168</v>
      </c>
      <c r="C741" s="30" t="s">
        <v>6</v>
      </c>
      <c r="D741" s="30" t="s">
        <v>10</v>
      </c>
      <c r="E741" s="30" t="s">
        <v>298</v>
      </c>
      <c r="F741" s="11"/>
      <c r="G741" s="30" t="s">
        <v>94</v>
      </c>
      <c r="H741" s="30" t="s">
        <v>99</v>
      </c>
      <c r="I741" s="21" t="s">
        <v>68</v>
      </c>
      <c r="J741" s="30" t="s">
        <v>719</v>
      </c>
      <c r="K741" s="21" t="s">
        <v>94</v>
      </c>
      <c r="L741" s="35">
        <v>0</v>
      </c>
      <c r="M741" s="19">
        <v>90.91</v>
      </c>
      <c r="N741" s="42">
        <v>44706</v>
      </c>
      <c r="O741" s="30" t="s">
        <v>114</v>
      </c>
    </row>
    <row r="742" spans="2:15" s="30" customFormat="1" ht="30" x14ac:dyDescent="0.25">
      <c r="B742" s="30" t="s">
        <v>168</v>
      </c>
      <c r="C742" s="30" t="s">
        <v>6</v>
      </c>
      <c r="D742" s="30" t="s">
        <v>10</v>
      </c>
      <c r="E742" s="30" t="s">
        <v>298</v>
      </c>
      <c r="F742" s="11"/>
      <c r="G742" s="30" t="s">
        <v>94</v>
      </c>
      <c r="H742" s="30" t="s">
        <v>23</v>
      </c>
      <c r="I742" s="21" t="s">
        <v>68</v>
      </c>
      <c r="J742" s="30" t="s">
        <v>720</v>
      </c>
      <c r="K742" s="21" t="s">
        <v>94</v>
      </c>
      <c r="L742" s="35">
        <v>0</v>
      </c>
      <c r="M742" s="19">
        <v>14.77</v>
      </c>
      <c r="N742" s="42">
        <v>44706</v>
      </c>
      <c r="O742" s="30" t="s">
        <v>114</v>
      </c>
    </row>
    <row r="743" spans="2:15" s="30" customFormat="1" ht="30" x14ac:dyDescent="0.25">
      <c r="B743" s="30" t="s">
        <v>168</v>
      </c>
      <c r="C743" s="30" t="s">
        <v>6</v>
      </c>
      <c r="D743" s="30" t="s">
        <v>10</v>
      </c>
      <c r="E743" s="30" t="s">
        <v>298</v>
      </c>
      <c r="F743" s="11"/>
      <c r="G743" s="30" t="s">
        <v>94</v>
      </c>
      <c r="H743" s="30" t="s">
        <v>23</v>
      </c>
      <c r="I743" s="21" t="s">
        <v>68</v>
      </c>
      <c r="J743" s="30" t="s">
        <v>721</v>
      </c>
      <c r="K743" s="21" t="s">
        <v>94</v>
      </c>
      <c r="L743" s="35">
        <v>0</v>
      </c>
      <c r="M743" s="19">
        <v>8.65</v>
      </c>
      <c r="N743" s="42">
        <v>44706</v>
      </c>
      <c r="O743" s="30" t="s">
        <v>114</v>
      </c>
    </row>
    <row r="744" spans="2:15" s="30" customFormat="1" ht="30" x14ac:dyDescent="0.25">
      <c r="B744" s="30" t="s">
        <v>168</v>
      </c>
      <c r="C744" s="30" t="s">
        <v>6</v>
      </c>
      <c r="D744" s="30" t="s">
        <v>10</v>
      </c>
      <c r="E744" s="30" t="s">
        <v>298</v>
      </c>
      <c r="F744" s="11"/>
      <c r="G744" s="30" t="s">
        <v>94</v>
      </c>
      <c r="H744" s="30" t="s">
        <v>23</v>
      </c>
      <c r="I744" s="21" t="s">
        <v>68</v>
      </c>
      <c r="J744" s="30" t="s">
        <v>722</v>
      </c>
      <c r="K744" s="21" t="s">
        <v>94</v>
      </c>
      <c r="L744" s="35">
        <v>0</v>
      </c>
      <c r="M744" s="19">
        <v>9.24</v>
      </c>
      <c r="N744" s="42">
        <v>44706</v>
      </c>
      <c r="O744" s="30" t="s">
        <v>114</v>
      </c>
    </row>
    <row r="745" spans="2:15" s="30" customFormat="1" ht="30" x14ac:dyDescent="0.25">
      <c r="B745" s="30" t="s">
        <v>168</v>
      </c>
      <c r="C745" s="30" t="s">
        <v>6</v>
      </c>
      <c r="D745" s="30" t="s">
        <v>10</v>
      </c>
      <c r="E745" s="30" t="s">
        <v>298</v>
      </c>
      <c r="F745" s="11"/>
      <c r="G745" s="30" t="s">
        <v>94</v>
      </c>
      <c r="H745" s="30" t="s">
        <v>389</v>
      </c>
      <c r="I745" s="21" t="s">
        <v>68</v>
      </c>
      <c r="J745" s="30" t="s">
        <v>707</v>
      </c>
      <c r="K745" s="21" t="s">
        <v>94</v>
      </c>
      <c r="L745" s="35">
        <v>0</v>
      </c>
      <c r="M745" s="19">
        <v>2.78</v>
      </c>
      <c r="N745" s="42">
        <v>44706</v>
      </c>
      <c r="O745" s="30" t="s">
        <v>114</v>
      </c>
    </row>
    <row r="746" spans="2:15" s="30" customFormat="1" ht="30" x14ac:dyDescent="0.25">
      <c r="B746" s="30" t="s">
        <v>168</v>
      </c>
      <c r="C746" s="30" t="s">
        <v>6</v>
      </c>
      <c r="D746" s="30" t="s">
        <v>10</v>
      </c>
      <c r="E746" s="30" t="s">
        <v>298</v>
      </c>
      <c r="F746" s="11"/>
      <c r="G746" s="30" t="s">
        <v>94</v>
      </c>
      <c r="H746" s="30" t="s">
        <v>390</v>
      </c>
      <c r="I746" s="21" t="s">
        <v>68</v>
      </c>
      <c r="J746" s="30" t="s">
        <v>723</v>
      </c>
      <c r="K746" s="21" t="s">
        <v>94</v>
      </c>
      <c r="L746" s="35">
        <v>0</v>
      </c>
      <c r="M746" s="19">
        <v>22.47</v>
      </c>
      <c r="N746" s="42">
        <v>44706</v>
      </c>
      <c r="O746" s="30" t="s">
        <v>114</v>
      </c>
    </row>
    <row r="747" spans="2:15" s="30" customFormat="1" ht="30" x14ac:dyDescent="0.25">
      <c r="B747" s="30" t="s">
        <v>168</v>
      </c>
      <c r="C747" s="30" t="s">
        <v>6</v>
      </c>
      <c r="D747" s="30" t="s">
        <v>10</v>
      </c>
      <c r="E747" s="30" t="s">
        <v>298</v>
      </c>
      <c r="F747" s="11"/>
      <c r="G747" s="30" t="s">
        <v>94</v>
      </c>
      <c r="H747" s="30" t="s">
        <v>390</v>
      </c>
      <c r="I747" s="21" t="s">
        <v>68</v>
      </c>
      <c r="J747" s="30" t="s">
        <v>723</v>
      </c>
      <c r="K747" s="21" t="s">
        <v>94</v>
      </c>
      <c r="L747" s="35">
        <v>0</v>
      </c>
      <c r="M747" s="19">
        <v>21.82</v>
      </c>
      <c r="N747" s="42">
        <v>44706</v>
      </c>
      <c r="O747" s="30" t="s">
        <v>114</v>
      </c>
    </row>
    <row r="748" spans="2:15" s="30" customFormat="1" ht="30" x14ac:dyDescent="0.25">
      <c r="B748" s="30" t="s">
        <v>168</v>
      </c>
      <c r="C748" s="30" t="s">
        <v>6</v>
      </c>
      <c r="D748" s="30" t="s">
        <v>10</v>
      </c>
      <c r="E748" s="30" t="s">
        <v>298</v>
      </c>
      <c r="F748" s="11"/>
      <c r="G748" s="30" t="s">
        <v>94</v>
      </c>
      <c r="H748" s="30" t="s">
        <v>394</v>
      </c>
      <c r="I748" s="21" t="s">
        <v>68</v>
      </c>
      <c r="J748" s="30" t="s">
        <v>725</v>
      </c>
      <c r="K748" s="21" t="s">
        <v>94</v>
      </c>
      <c r="L748" s="35">
        <v>0</v>
      </c>
      <c r="M748" s="19">
        <v>166.03</v>
      </c>
      <c r="N748" s="42">
        <v>44706</v>
      </c>
      <c r="O748" s="30" t="s">
        <v>114</v>
      </c>
    </row>
    <row r="749" spans="2:15" s="30" customFormat="1" ht="30" x14ac:dyDescent="0.25">
      <c r="B749" s="30" t="s">
        <v>168</v>
      </c>
      <c r="C749" s="30" t="s">
        <v>6</v>
      </c>
      <c r="D749" s="30" t="s">
        <v>10</v>
      </c>
      <c r="E749" s="30" t="s">
        <v>298</v>
      </c>
      <c r="F749" s="11"/>
      <c r="G749" s="30" t="s">
        <v>94</v>
      </c>
      <c r="H749" s="30" t="s">
        <v>390</v>
      </c>
      <c r="I749" s="21" t="s">
        <v>68</v>
      </c>
      <c r="J749" s="30" t="s">
        <v>726</v>
      </c>
      <c r="K749" s="21" t="s">
        <v>94</v>
      </c>
      <c r="L749" s="35">
        <v>0</v>
      </c>
      <c r="M749" s="19">
        <v>12.22</v>
      </c>
      <c r="N749" s="42">
        <v>44706</v>
      </c>
      <c r="O749" s="30" t="s">
        <v>114</v>
      </c>
    </row>
    <row r="750" spans="2:15" s="30" customFormat="1" ht="30" x14ac:dyDescent="0.25">
      <c r="B750" s="30" t="s">
        <v>168</v>
      </c>
      <c r="C750" s="30" t="s">
        <v>6</v>
      </c>
      <c r="D750" s="30" t="s">
        <v>10</v>
      </c>
      <c r="E750" s="30" t="s">
        <v>298</v>
      </c>
      <c r="F750" s="11"/>
      <c r="G750" s="30" t="s">
        <v>94</v>
      </c>
      <c r="H750" s="30" t="s">
        <v>398</v>
      </c>
      <c r="I750" s="21" t="s">
        <v>68</v>
      </c>
      <c r="J750" s="30" t="s">
        <v>727</v>
      </c>
      <c r="K750" s="21" t="s">
        <v>94</v>
      </c>
      <c r="L750" s="35">
        <v>0</v>
      </c>
      <c r="M750" s="19">
        <v>28.33</v>
      </c>
      <c r="N750" s="42">
        <v>44706</v>
      </c>
      <c r="O750" s="30" t="s">
        <v>114</v>
      </c>
    </row>
    <row r="751" spans="2:15" s="30" customFormat="1" ht="30" x14ac:dyDescent="0.25">
      <c r="B751" s="30" t="s">
        <v>168</v>
      </c>
      <c r="C751" s="30" t="s">
        <v>6</v>
      </c>
      <c r="D751" s="30" t="s">
        <v>10</v>
      </c>
      <c r="E751" s="30" t="s">
        <v>298</v>
      </c>
      <c r="F751" s="11"/>
      <c r="G751" s="30" t="s">
        <v>94</v>
      </c>
      <c r="H751" s="30" t="s">
        <v>389</v>
      </c>
      <c r="I751" s="21" t="s">
        <v>68</v>
      </c>
      <c r="J751" s="30" t="s">
        <v>681</v>
      </c>
      <c r="K751" s="21" t="s">
        <v>94</v>
      </c>
      <c r="L751" s="35">
        <v>0</v>
      </c>
      <c r="M751" s="19">
        <v>6.24</v>
      </c>
      <c r="N751" s="42">
        <v>44706</v>
      </c>
      <c r="O751" s="30" t="s">
        <v>114</v>
      </c>
    </row>
    <row r="752" spans="2:15" s="30" customFormat="1" ht="30" x14ac:dyDescent="0.25">
      <c r="B752" s="30" t="s">
        <v>168</v>
      </c>
      <c r="C752" s="30" t="s">
        <v>6</v>
      </c>
      <c r="D752" s="30" t="s">
        <v>10</v>
      </c>
      <c r="E752" s="30" t="s">
        <v>298</v>
      </c>
      <c r="F752" s="11"/>
      <c r="G752" s="30" t="s">
        <v>94</v>
      </c>
      <c r="H752" s="30" t="s">
        <v>390</v>
      </c>
      <c r="I752" s="21" t="s">
        <v>68</v>
      </c>
      <c r="J752" s="30" t="s">
        <v>673</v>
      </c>
      <c r="K752" s="21" t="s">
        <v>94</v>
      </c>
      <c r="L752" s="35">
        <v>0</v>
      </c>
      <c r="M752" s="19">
        <v>29.62</v>
      </c>
      <c r="N752" s="42">
        <v>44706</v>
      </c>
      <c r="O752" s="30" t="s">
        <v>114</v>
      </c>
    </row>
    <row r="753" spans="2:15" s="30" customFormat="1" ht="30" x14ac:dyDescent="0.25">
      <c r="B753" s="30" t="s">
        <v>168</v>
      </c>
      <c r="C753" s="30" t="s">
        <v>6</v>
      </c>
      <c r="D753" s="30" t="s">
        <v>10</v>
      </c>
      <c r="E753" s="30" t="s">
        <v>298</v>
      </c>
      <c r="F753" s="11"/>
      <c r="G753" s="30" t="s">
        <v>94</v>
      </c>
      <c r="H753" s="30" t="s">
        <v>390</v>
      </c>
      <c r="I753" s="21" t="s">
        <v>68</v>
      </c>
      <c r="J753" s="30" t="s">
        <v>728</v>
      </c>
      <c r="K753" s="21" t="s">
        <v>94</v>
      </c>
      <c r="L753" s="35">
        <v>0</v>
      </c>
      <c r="M753" s="19">
        <v>34.270000000000003</v>
      </c>
      <c r="N753" s="42">
        <v>44706</v>
      </c>
      <c r="O753" s="30" t="s">
        <v>114</v>
      </c>
    </row>
    <row r="754" spans="2:15" s="30" customFormat="1" ht="30" x14ac:dyDescent="0.25">
      <c r="B754" s="30" t="s">
        <v>168</v>
      </c>
      <c r="C754" s="30" t="s">
        <v>6</v>
      </c>
      <c r="D754" s="30" t="s">
        <v>10</v>
      </c>
      <c r="E754" s="30" t="s">
        <v>298</v>
      </c>
      <c r="F754" s="11"/>
      <c r="G754" s="30" t="s">
        <v>94</v>
      </c>
      <c r="H754" s="30" t="s">
        <v>394</v>
      </c>
      <c r="I754" s="21" t="s">
        <v>68</v>
      </c>
      <c r="J754" s="30" t="s">
        <v>725</v>
      </c>
      <c r="K754" s="21" t="s">
        <v>94</v>
      </c>
      <c r="L754" s="35">
        <v>0</v>
      </c>
      <c r="M754" s="19">
        <v>309.87</v>
      </c>
      <c r="N754" s="42">
        <v>44706</v>
      </c>
      <c r="O754" s="30" t="s">
        <v>114</v>
      </c>
    </row>
    <row r="755" spans="2:15" s="30" customFormat="1" ht="30" x14ac:dyDescent="0.25">
      <c r="B755" s="30" t="s">
        <v>168</v>
      </c>
      <c r="C755" s="30" t="s">
        <v>6</v>
      </c>
      <c r="D755" s="30" t="s">
        <v>10</v>
      </c>
      <c r="E755" s="30" t="s">
        <v>298</v>
      </c>
      <c r="F755" s="11"/>
      <c r="G755" s="30" t="s">
        <v>94</v>
      </c>
      <c r="H755" s="30" t="s">
        <v>391</v>
      </c>
      <c r="I755" s="21" t="s">
        <v>68</v>
      </c>
      <c r="J755" s="30" t="s">
        <v>729</v>
      </c>
      <c r="K755" s="21" t="s">
        <v>94</v>
      </c>
      <c r="L755" s="35">
        <v>0</v>
      </c>
      <c r="M755" s="19">
        <v>227.17</v>
      </c>
      <c r="N755" s="42">
        <v>44706</v>
      </c>
      <c r="O755" s="30" t="s">
        <v>114</v>
      </c>
    </row>
    <row r="756" spans="2:15" s="30" customFormat="1" ht="30" x14ac:dyDescent="0.25">
      <c r="B756" s="30" t="s">
        <v>168</v>
      </c>
      <c r="C756" s="30" t="s">
        <v>6</v>
      </c>
      <c r="D756" s="30" t="s">
        <v>10</v>
      </c>
      <c r="E756" s="30" t="s">
        <v>298</v>
      </c>
      <c r="F756" s="11"/>
      <c r="G756" s="30" t="s">
        <v>94</v>
      </c>
      <c r="H756" s="30" t="s">
        <v>394</v>
      </c>
      <c r="I756" s="21" t="s">
        <v>68</v>
      </c>
      <c r="J756" s="30" t="s">
        <v>725</v>
      </c>
      <c r="K756" s="21" t="s">
        <v>94</v>
      </c>
      <c r="L756" s="35">
        <v>0</v>
      </c>
      <c r="M756" s="19">
        <v>231.32</v>
      </c>
      <c r="N756" s="42">
        <v>44706</v>
      </c>
      <c r="O756" s="30" t="s">
        <v>114</v>
      </c>
    </row>
    <row r="757" spans="2:15" s="30" customFormat="1" ht="30" x14ac:dyDescent="0.25">
      <c r="B757" s="30" t="s">
        <v>168</v>
      </c>
      <c r="C757" s="30" t="s">
        <v>6</v>
      </c>
      <c r="D757" s="30" t="s">
        <v>10</v>
      </c>
      <c r="E757" s="30" t="s">
        <v>298</v>
      </c>
      <c r="F757" s="11"/>
      <c r="G757" s="30" t="s">
        <v>94</v>
      </c>
      <c r="H757" s="30" t="s">
        <v>394</v>
      </c>
      <c r="I757" s="21" t="s">
        <v>68</v>
      </c>
      <c r="J757" s="30" t="s">
        <v>730</v>
      </c>
      <c r="K757" s="21" t="s">
        <v>94</v>
      </c>
      <c r="L757" s="35">
        <v>0</v>
      </c>
      <c r="M757" s="19">
        <v>19.73</v>
      </c>
      <c r="N757" s="42">
        <v>44706</v>
      </c>
      <c r="O757" s="30" t="s">
        <v>114</v>
      </c>
    </row>
    <row r="758" spans="2:15" s="30" customFormat="1" ht="30" x14ac:dyDescent="0.25">
      <c r="B758" s="30" t="s">
        <v>168</v>
      </c>
      <c r="C758" s="30" t="s">
        <v>6</v>
      </c>
      <c r="D758" s="30" t="s">
        <v>10</v>
      </c>
      <c r="E758" s="30" t="s">
        <v>298</v>
      </c>
      <c r="F758" s="11"/>
      <c r="G758" s="30" t="s">
        <v>94</v>
      </c>
      <c r="H758" s="30" t="s">
        <v>390</v>
      </c>
      <c r="I758" s="21" t="s">
        <v>68</v>
      </c>
      <c r="J758" s="30" t="s">
        <v>731</v>
      </c>
      <c r="K758" s="21" t="s">
        <v>94</v>
      </c>
      <c r="L758" s="35">
        <v>0</v>
      </c>
      <c r="M758" s="19">
        <v>9.89</v>
      </c>
      <c r="N758" s="42">
        <v>44706</v>
      </c>
      <c r="O758" s="30" t="s">
        <v>114</v>
      </c>
    </row>
    <row r="759" spans="2:15" s="30" customFormat="1" ht="30" x14ac:dyDescent="0.25">
      <c r="B759" s="30" t="s">
        <v>168</v>
      </c>
      <c r="C759" s="30" t="s">
        <v>6</v>
      </c>
      <c r="D759" s="30" t="s">
        <v>10</v>
      </c>
      <c r="E759" s="30" t="s">
        <v>298</v>
      </c>
      <c r="F759" s="11"/>
      <c r="G759" s="30" t="s">
        <v>94</v>
      </c>
      <c r="H759" s="30" t="s">
        <v>389</v>
      </c>
      <c r="I759" s="21" t="s">
        <v>68</v>
      </c>
      <c r="J759" s="30" t="s">
        <v>732</v>
      </c>
      <c r="K759" s="21" t="s">
        <v>94</v>
      </c>
      <c r="L759" s="35">
        <v>0</v>
      </c>
      <c r="M759" s="19">
        <f>2.33*2</f>
        <v>4.66</v>
      </c>
      <c r="N759" s="42">
        <v>44706</v>
      </c>
      <c r="O759" s="30" t="s">
        <v>114</v>
      </c>
    </row>
    <row r="760" spans="2:15" s="30" customFormat="1" ht="30" x14ac:dyDescent="0.25">
      <c r="B760" s="30" t="s">
        <v>168</v>
      </c>
      <c r="C760" s="30" t="s">
        <v>6</v>
      </c>
      <c r="D760" s="30" t="s">
        <v>10</v>
      </c>
      <c r="E760" s="30" t="s">
        <v>298</v>
      </c>
      <c r="F760" s="11"/>
      <c r="G760" s="30" t="s">
        <v>94</v>
      </c>
      <c r="H760" s="30" t="s">
        <v>389</v>
      </c>
      <c r="I760" s="21" t="s">
        <v>68</v>
      </c>
      <c r="J760" s="30" t="s">
        <v>733</v>
      </c>
      <c r="K760" s="21" t="s">
        <v>94</v>
      </c>
      <c r="L760" s="35">
        <v>0</v>
      </c>
      <c r="M760" s="19">
        <f>2.38*2</f>
        <v>4.76</v>
      </c>
      <c r="N760" s="42">
        <v>44706</v>
      </c>
      <c r="O760" s="30" t="s">
        <v>114</v>
      </c>
    </row>
    <row r="761" spans="2:15" s="30" customFormat="1" ht="30" x14ac:dyDescent="0.25">
      <c r="B761" s="30" t="s">
        <v>168</v>
      </c>
      <c r="C761" s="30" t="s">
        <v>6</v>
      </c>
      <c r="D761" s="30" t="s">
        <v>10</v>
      </c>
      <c r="E761" s="30" t="s">
        <v>298</v>
      </c>
      <c r="F761" s="11"/>
      <c r="G761" s="30" t="s">
        <v>94</v>
      </c>
      <c r="H761" s="30" t="s">
        <v>389</v>
      </c>
      <c r="I761" s="21" t="s">
        <v>68</v>
      </c>
      <c r="J761" s="30" t="s">
        <v>734</v>
      </c>
      <c r="K761" s="21" t="s">
        <v>94</v>
      </c>
      <c r="L761" s="35">
        <v>0</v>
      </c>
      <c r="M761" s="19">
        <f>35.84*2</f>
        <v>71.680000000000007</v>
      </c>
      <c r="N761" s="42">
        <v>44706</v>
      </c>
      <c r="O761" s="30" t="s">
        <v>114</v>
      </c>
    </row>
    <row r="762" spans="2:15" s="30" customFormat="1" ht="30" x14ac:dyDescent="0.25">
      <c r="B762" s="30" t="s">
        <v>168</v>
      </c>
      <c r="C762" s="30" t="s">
        <v>6</v>
      </c>
      <c r="D762" s="30" t="s">
        <v>10</v>
      </c>
      <c r="E762" s="30" t="s">
        <v>298</v>
      </c>
      <c r="F762" s="11"/>
      <c r="G762" s="30" t="s">
        <v>94</v>
      </c>
      <c r="H762" s="30" t="s">
        <v>398</v>
      </c>
      <c r="I762" s="21" t="s">
        <v>68</v>
      </c>
      <c r="J762" s="30" t="s">
        <v>845</v>
      </c>
      <c r="K762" s="21" t="s">
        <v>94</v>
      </c>
      <c r="L762" s="35">
        <v>0</v>
      </c>
      <c r="M762" s="19">
        <v>14.48</v>
      </c>
      <c r="N762" s="42">
        <v>44706</v>
      </c>
      <c r="O762" s="30" t="s">
        <v>114</v>
      </c>
    </row>
    <row r="763" spans="2:15" s="30" customFormat="1" ht="30" x14ac:dyDescent="0.25">
      <c r="B763" s="30" t="s">
        <v>168</v>
      </c>
      <c r="C763" s="30" t="s">
        <v>6</v>
      </c>
      <c r="D763" s="30" t="s">
        <v>10</v>
      </c>
      <c r="E763" s="30" t="s">
        <v>298</v>
      </c>
      <c r="F763" s="11"/>
      <c r="G763" s="30" t="s">
        <v>94</v>
      </c>
      <c r="H763" s="30" t="s">
        <v>394</v>
      </c>
      <c r="I763" s="21" t="s">
        <v>68</v>
      </c>
      <c r="J763" s="30" t="s">
        <v>735</v>
      </c>
      <c r="K763" s="21" t="s">
        <v>94</v>
      </c>
      <c r="L763" s="35">
        <v>0</v>
      </c>
      <c r="M763" s="19">
        <v>13.86</v>
      </c>
      <c r="N763" s="42">
        <v>44706</v>
      </c>
      <c r="O763" s="30" t="s">
        <v>114</v>
      </c>
    </row>
    <row r="764" spans="2:15" s="30" customFormat="1" ht="30" x14ac:dyDescent="0.25">
      <c r="B764" s="30" t="s">
        <v>170</v>
      </c>
      <c r="C764" s="30" t="s">
        <v>6</v>
      </c>
      <c r="D764" s="30" t="s">
        <v>10</v>
      </c>
      <c r="E764" s="30" t="s">
        <v>298</v>
      </c>
      <c r="F764" s="11"/>
      <c r="G764" s="30" t="s">
        <v>94</v>
      </c>
      <c r="H764" s="30" t="s">
        <v>394</v>
      </c>
      <c r="I764" s="21" t="s">
        <v>68</v>
      </c>
      <c r="J764" s="30" t="s">
        <v>725</v>
      </c>
      <c r="K764" s="21" t="s">
        <v>94</v>
      </c>
      <c r="L764" s="35">
        <v>0</v>
      </c>
      <c r="M764" s="19">
        <v>258.43</v>
      </c>
      <c r="N764" s="42">
        <v>44706</v>
      </c>
      <c r="O764" s="30" t="s">
        <v>114</v>
      </c>
    </row>
    <row r="765" spans="2:15" s="30" customFormat="1" ht="30" x14ac:dyDescent="0.25">
      <c r="B765" s="30" t="s">
        <v>168</v>
      </c>
      <c r="C765" s="30" t="s">
        <v>6</v>
      </c>
      <c r="D765" s="30" t="s">
        <v>10</v>
      </c>
      <c r="E765" s="30" t="s">
        <v>298</v>
      </c>
      <c r="F765" s="11"/>
      <c r="G765" s="30" t="s">
        <v>94</v>
      </c>
      <c r="H765" s="30" t="s">
        <v>24</v>
      </c>
      <c r="I765" s="21" t="s">
        <v>68</v>
      </c>
      <c r="J765" s="30" t="s">
        <v>864</v>
      </c>
      <c r="K765" s="21" t="s">
        <v>94</v>
      </c>
      <c r="L765" s="35">
        <v>0</v>
      </c>
      <c r="M765" s="19">
        <v>739.18</v>
      </c>
      <c r="N765" s="42">
        <v>44706</v>
      </c>
      <c r="O765" s="30" t="s">
        <v>114</v>
      </c>
    </row>
    <row r="766" spans="2:15" s="30" customFormat="1" ht="30" x14ac:dyDescent="0.25">
      <c r="B766" s="30" t="s">
        <v>168</v>
      </c>
      <c r="C766" s="30" t="s">
        <v>6</v>
      </c>
      <c r="D766" s="30" t="s">
        <v>10</v>
      </c>
      <c r="E766" s="30" t="s">
        <v>298</v>
      </c>
      <c r="F766" s="11"/>
      <c r="G766" s="30" t="s">
        <v>94</v>
      </c>
      <c r="H766" s="30" t="s">
        <v>399</v>
      </c>
      <c r="I766" s="21" t="s">
        <v>68</v>
      </c>
      <c r="J766" s="30" t="s">
        <v>736</v>
      </c>
      <c r="K766" s="21" t="s">
        <v>94</v>
      </c>
      <c r="L766" s="35">
        <v>0</v>
      </c>
      <c r="M766" s="19">
        <v>32.64</v>
      </c>
      <c r="N766" s="42">
        <v>44706</v>
      </c>
      <c r="O766" s="30" t="s">
        <v>114</v>
      </c>
    </row>
    <row r="767" spans="2:15" s="30" customFormat="1" ht="30" x14ac:dyDescent="0.25">
      <c r="B767" s="30" t="s">
        <v>168</v>
      </c>
      <c r="C767" s="30" t="s">
        <v>6</v>
      </c>
      <c r="D767" s="30" t="s">
        <v>10</v>
      </c>
      <c r="E767" s="30" t="s">
        <v>298</v>
      </c>
      <c r="F767" s="11"/>
      <c r="G767" s="30" t="s">
        <v>94</v>
      </c>
      <c r="H767" s="30" t="s">
        <v>399</v>
      </c>
      <c r="I767" s="21" t="s">
        <v>68</v>
      </c>
      <c r="J767" s="30" t="s">
        <v>736</v>
      </c>
      <c r="K767" s="21" t="s">
        <v>94</v>
      </c>
      <c r="L767" s="35">
        <v>0</v>
      </c>
      <c r="M767" s="19">
        <v>32.64</v>
      </c>
      <c r="N767" s="42">
        <v>44706</v>
      </c>
      <c r="O767" s="30" t="s">
        <v>114</v>
      </c>
    </row>
    <row r="768" spans="2:15" s="30" customFormat="1" ht="30" x14ac:dyDescent="0.25">
      <c r="B768" s="30" t="s">
        <v>168</v>
      </c>
      <c r="C768" s="30" t="s">
        <v>6</v>
      </c>
      <c r="D768" s="30" t="s">
        <v>10</v>
      </c>
      <c r="E768" s="30" t="s">
        <v>298</v>
      </c>
      <c r="F768" s="11"/>
      <c r="G768" s="30" t="s">
        <v>94</v>
      </c>
      <c r="H768" s="30" t="s">
        <v>399</v>
      </c>
      <c r="I768" s="21" t="s">
        <v>68</v>
      </c>
      <c r="J768" s="30" t="s">
        <v>737</v>
      </c>
      <c r="K768" s="21" t="s">
        <v>94</v>
      </c>
      <c r="L768" s="35">
        <v>0</v>
      </c>
      <c r="M768" s="19">
        <v>36</v>
      </c>
      <c r="N768" s="42">
        <v>44706</v>
      </c>
      <c r="O768" s="30" t="s">
        <v>114</v>
      </c>
    </row>
    <row r="769" spans="2:15" s="30" customFormat="1" ht="30" x14ac:dyDescent="0.25">
      <c r="B769" s="30" t="s">
        <v>168</v>
      </c>
      <c r="C769" s="30" t="s">
        <v>6</v>
      </c>
      <c r="D769" s="30" t="s">
        <v>10</v>
      </c>
      <c r="E769" s="30" t="s">
        <v>298</v>
      </c>
      <c r="F769" s="11"/>
      <c r="G769" s="30" t="s">
        <v>94</v>
      </c>
      <c r="H769" s="30" t="s">
        <v>399</v>
      </c>
      <c r="I769" s="21" t="s">
        <v>68</v>
      </c>
      <c r="J769" s="30" t="s">
        <v>737</v>
      </c>
      <c r="K769" s="21" t="s">
        <v>94</v>
      </c>
      <c r="L769" s="35">
        <v>0</v>
      </c>
      <c r="M769" s="19">
        <v>36</v>
      </c>
      <c r="N769" s="42">
        <v>44706</v>
      </c>
      <c r="O769" s="30" t="s">
        <v>114</v>
      </c>
    </row>
    <row r="770" spans="2:15" s="30" customFormat="1" ht="30" x14ac:dyDescent="0.25">
      <c r="B770" s="30" t="s">
        <v>168</v>
      </c>
      <c r="C770" s="30" t="s">
        <v>6</v>
      </c>
      <c r="D770" s="30" t="s">
        <v>10</v>
      </c>
      <c r="E770" s="30" t="s">
        <v>298</v>
      </c>
      <c r="F770" s="11"/>
      <c r="G770" s="30" t="s">
        <v>94</v>
      </c>
      <c r="H770" s="30" t="s">
        <v>389</v>
      </c>
      <c r="I770" s="21" t="s">
        <v>68</v>
      </c>
      <c r="J770" s="30" t="s">
        <v>738</v>
      </c>
      <c r="K770" s="21" t="s">
        <v>94</v>
      </c>
      <c r="L770" s="35">
        <v>0</v>
      </c>
      <c r="M770" s="19">
        <v>3.81</v>
      </c>
      <c r="N770" s="42">
        <v>44706</v>
      </c>
      <c r="O770" s="30" t="s">
        <v>114</v>
      </c>
    </row>
    <row r="771" spans="2:15" s="30" customFormat="1" ht="30" x14ac:dyDescent="0.25">
      <c r="B771" s="30" t="s">
        <v>168</v>
      </c>
      <c r="C771" s="30" t="s">
        <v>6</v>
      </c>
      <c r="D771" s="30" t="s">
        <v>10</v>
      </c>
      <c r="E771" s="30" t="s">
        <v>298</v>
      </c>
      <c r="F771" s="11"/>
      <c r="G771" s="30" t="s">
        <v>94</v>
      </c>
      <c r="H771" s="30" t="s">
        <v>389</v>
      </c>
      <c r="I771" s="21" t="s">
        <v>68</v>
      </c>
      <c r="J771" s="30" t="s">
        <v>738</v>
      </c>
      <c r="K771" s="21" t="s">
        <v>94</v>
      </c>
      <c r="L771" s="35">
        <v>0</v>
      </c>
      <c r="M771" s="19">
        <v>3.81</v>
      </c>
      <c r="N771" s="42">
        <v>44706</v>
      </c>
      <c r="O771" s="30" t="s">
        <v>114</v>
      </c>
    </row>
    <row r="772" spans="2:15" s="30" customFormat="1" ht="30" x14ac:dyDescent="0.25">
      <c r="B772" s="30" t="s">
        <v>168</v>
      </c>
      <c r="C772" s="30" t="s">
        <v>6</v>
      </c>
      <c r="D772" s="30" t="s">
        <v>10</v>
      </c>
      <c r="E772" s="30" t="s">
        <v>298</v>
      </c>
      <c r="F772" s="11"/>
      <c r="G772" s="30" t="s">
        <v>94</v>
      </c>
      <c r="H772" s="30" t="s">
        <v>389</v>
      </c>
      <c r="I772" s="21" t="s">
        <v>68</v>
      </c>
      <c r="J772" s="30" t="s">
        <v>739</v>
      </c>
      <c r="K772" s="21" t="s">
        <v>94</v>
      </c>
      <c r="L772" s="35">
        <v>0</v>
      </c>
      <c r="M772" s="19">
        <v>4.21</v>
      </c>
      <c r="N772" s="42">
        <v>44706</v>
      </c>
      <c r="O772" s="30" t="s">
        <v>114</v>
      </c>
    </row>
    <row r="773" spans="2:15" s="30" customFormat="1" ht="30" x14ac:dyDescent="0.25">
      <c r="B773" s="30" t="s">
        <v>168</v>
      </c>
      <c r="C773" s="30" t="s">
        <v>6</v>
      </c>
      <c r="D773" s="30" t="s">
        <v>10</v>
      </c>
      <c r="E773" s="30" t="s">
        <v>298</v>
      </c>
      <c r="F773" s="11"/>
      <c r="G773" s="30" t="s">
        <v>94</v>
      </c>
      <c r="H773" s="30" t="s">
        <v>399</v>
      </c>
      <c r="I773" s="21" t="s">
        <v>68</v>
      </c>
      <c r="J773" s="30" t="s">
        <v>718</v>
      </c>
      <c r="K773" s="21" t="s">
        <v>94</v>
      </c>
      <c r="L773" s="35">
        <v>0</v>
      </c>
      <c r="M773" s="19">
        <v>8.1</v>
      </c>
      <c r="N773" s="42">
        <v>44706</v>
      </c>
      <c r="O773" s="30" t="s">
        <v>114</v>
      </c>
    </row>
    <row r="774" spans="2:15" s="30" customFormat="1" ht="30" x14ac:dyDescent="0.25">
      <c r="B774" s="30" t="s">
        <v>168</v>
      </c>
      <c r="C774" s="30" t="s">
        <v>6</v>
      </c>
      <c r="D774" s="30" t="s">
        <v>10</v>
      </c>
      <c r="E774" s="30" t="s">
        <v>298</v>
      </c>
      <c r="F774" s="11"/>
      <c r="G774" s="30" t="s">
        <v>94</v>
      </c>
      <c r="H774" s="30" t="s">
        <v>399</v>
      </c>
      <c r="I774" s="21" t="s">
        <v>68</v>
      </c>
      <c r="J774" s="30" t="s">
        <v>740</v>
      </c>
      <c r="K774" s="21" t="s">
        <v>94</v>
      </c>
      <c r="L774" s="35">
        <v>0</v>
      </c>
      <c r="M774" s="19">
        <v>12.3</v>
      </c>
      <c r="N774" s="42">
        <v>44706</v>
      </c>
      <c r="O774" s="30" t="s">
        <v>114</v>
      </c>
    </row>
    <row r="775" spans="2:15" s="30" customFormat="1" ht="30" x14ac:dyDescent="0.25">
      <c r="B775" s="30" t="s">
        <v>168</v>
      </c>
      <c r="C775" s="30" t="s">
        <v>6</v>
      </c>
      <c r="D775" s="30" t="s">
        <v>10</v>
      </c>
      <c r="E775" s="30" t="s">
        <v>298</v>
      </c>
      <c r="F775" s="11"/>
      <c r="G775" s="30" t="s">
        <v>94</v>
      </c>
      <c r="H775" s="30" t="s">
        <v>389</v>
      </c>
      <c r="I775" s="21" t="s">
        <v>68</v>
      </c>
      <c r="J775" s="30" t="s">
        <v>741</v>
      </c>
      <c r="K775" s="21" t="s">
        <v>94</v>
      </c>
      <c r="L775" s="35">
        <v>0</v>
      </c>
      <c r="M775" s="19">
        <v>11</v>
      </c>
      <c r="N775" s="42">
        <v>44706</v>
      </c>
      <c r="O775" s="30" t="s">
        <v>114</v>
      </c>
    </row>
    <row r="776" spans="2:15" s="30" customFormat="1" ht="30" x14ac:dyDescent="0.25">
      <c r="B776" s="30" t="s">
        <v>168</v>
      </c>
      <c r="C776" s="30" t="s">
        <v>6</v>
      </c>
      <c r="D776" s="30" t="s">
        <v>10</v>
      </c>
      <c r="E776" s="30" t="s">
        <v>298</v>
      </c>
      <c r="F776" s="11"/>
      <c r="G776" s="30" t="s">
        <v>94</v>
      </c>
      <c r="H776" s="30" t="s">
        <v>389</v>
      </c>
      <c r="I776" s="21" t="s">
        <v>68</v>
      </c>
      <c r="J776" s="30" t="s">
        <v>742</v>
      </c>
      <c r="K776" s="21" t="s">
        <v>94</v>
      </c>
      <c r="L776" s="35">
        <v>0</v>
      </c>
      <c r="M776" s="19">
        <v>19.68</v>
      </c>
      <c r="N776" s="42">
        <v>44706</v>
      </c>
      <c r="O776" s="30" t="s">
        <v>114</v>
      </c>
    </row>
    <row r="777" spans="2:15" s="30" customFormat="1" ht="30" x14ac:dyDescent="0.25">
      <c r="B777" s="30" t="s">
        <v>168</v>
      </c>
      <c r="C777" s="30" t="s">
        <v>6</v>
      </c>
      <c r="D777" s="30" t="s">
        <v>10</v>
      </c>
      <c r="E777" s="30" t="s">
        <v>298</v>
      </c>
      <c r="F777" s="11"/>
      <c r="G777" s="30" t="s">
        <v>94</v>
      </c>
      <c r="H777" s="30" t="s">
        <v>390</v>
      </c>
      <c r="I777" s="21" t="s">
        <v>68</v>
      </c>
      <c r="J777" s="30" t="s">
        <v>743</v>
      </c>
      <c r="K777" s="21" t="s">
        <v>94</v>
      </c>
      <c r="L777" s="35">
        <v>0</v>
      </c>
      <c r="M777" s="19">
        <v>8.73</v>
      </c>
      <c r="N777" s="42">
        <v>44706</v>
      </c>
      <c r="O777" s="30" t="s">
        <v>114</v>
      </c>
    </row>
    <row r="778" spans="2:15" s="30" customFormat="1" ht="30" x14ac:dyDescent="0.25">
      <c r="B778" s="30" t="s">
        <v>168</v>
      </c>
      <c r="C778" s="30" t="s">
        <v>6</v>
      </c>
      <c r="D778" s="30" t="s">
        <v>10</v>
      </c>
      <c r="E778" s="30" t="s">
        <v>298</v>
      </c>
      <c r="F778" s="11"/>
      <c r="G778" s="30" t="s">
        <v>94</v>
      </c>
      <c r="H778" s="30" t="s">
        <v>389</v>
      </c>
      <c r="I778" s="21" t="s">
        <v>68</v>
      </c>
      <c r="J778" s="30" t="s">
        <v>686</v>
      </c>
      <c r="K778" s="21" t="s">
        <v>94</v>
      </c>
      <c r="L778" s="35">
        <v>0</v>
      </c>
      <c r="M778" s="19">
        <v>12.19</v>
      </c>
      <c r="N778" s="42">
        <v>44706</v>
      </c>
      <c r="O778" s="30" t="s">
        <v>114</v>
      </c>
    </row>
    <row r="779" spans="2:15" s="30" customFormat="1" ht="30" x14ac:dyDescent="0.25">
      <c r="B779" s="30" t="s">
        <v>168</v>
      </c>
      <c r="C779" s="30" t="s">
        <v>6</v>
      </c>
      <c r="D779" s="30" t="s">
        <v>10</v>
      </c>
      <c r="E779" s="30" t="s">
        <v>298</v>
      </c>
      <c r="F779" s="11"/>
      <c r="G779" s="30" t="s">
        <v>94</v>
      </c>
      <c r="H779" s="30" t="s">
        <v>389</v>
      </c>
      <c r="I779" s="21" t="s">
        <v>68</v>
      </c>
      <c r="J779" s="30" t="s">
        <v>744</v>
      </c>
      <c r="K779" s="21" t="s">
        <v>94</v>
      </c>
      <c r="L779" s="35">
        <v>0</v>
      </c>
      <c r="M779" s="19">
        <v>13.04</v>
      </c>
      <c r="N779" s="42">
        <v>44706</v>
      </c>
      <c r="O779" s="30" t="s">
        <v>114</v>
      </c>
    </row>
    <row r="780" spans="2:15" s="30" customFormat="1" ht="30" x14ac:dyDescent="0.25">
      <c r="B780" s="30" t="s">
        <v>168</v>
      </c>
      <c r="C780" s="30" t="s">
        <v>6</v>
      </c>
      <c r="D780" s="30" t="s">
        <v>10</v>
      </c>
      <c r="E780" s="30" t="s">
        <v>298</v>
      </c>
      <c r="F780" s="11"/>
      <c r="G780" s="30" t="s">
        <v>94</v>
      </c>
      <c r="H780" s="30" t="s">
        <v>394</v>
      </c>
      <c r="I780" s="21" t="s">
        <v>68</v>
      </c>
      <c r="J780" s="30" t="s">
        <v>745</v>
      </c>
      <c r="K780" s="21" t="s">
        <v>94</v>
      </c>
      <c r="L780" s="35">
        <v>0</v>
      </c>
      <c r="M780" s="19">
        <v>62.92</v>
      </c>
      <c r="N780" s="42">
        <v>44706</v>
      </c>
      <c r="O780" s="30" t="s">
        <v>114</v>
      </c>
    </row>
    <row r="781" spans="2:15" s="30" customFormat="1" ht="30" x14ac:dyDescent="0.25">
      <c r="B781" s="30" t="s">
        <v>168</v>
      </c>
      <c r="C781" s="30" t="s">
        <v>6</v>
      </c>
      <c r="D781" s="30" t="s">
        <v>10</v>
      </c>
      <c r="E781" s="30" t="s">
        <v>298</v>
      </c>
      <c r="F781" s="11"/>
      <c r="G781" s="30" t="s">
        <v>94</v>
      </c>
      <c r="H781" s="30" t="s">
        <v>394</v>
      </c>
      <c r="I781" s="21" t="s">
        <v>68</v>
      </c>
      <c r="J781" s="30" t="s">
        <v>680</v>
      </c>
      <c r="K781" s="21" t="s">
        <v>94</v>
      </c>
      <c r="L781" s="35">
        <v>0</v>
      </c>
      <c r="M781" s="19">
        <v>131.97999999999999</v>
      </c>
      <c r="N781" s="42">
        <v>44706</v>
      </c>
      <c r="O781" s="30" t="s">
        <v>114</v>
      </c>
    </row>
    <row r="782" spans="2:15" s="30" customFormat="1" ht="30" x14ac:dyDescent="0.25">
      <c r="B782" s="30" t="s">
        <v>168</v>
      </c>
      <c r="C782" s="30" t="s">
        <v>6</v>
      </c>
      <c r="D782" s="30" t="s">
        <v>10</v>
      </c>
      <c r="E782" s="30" t="s">
        <v>298</v>
      </c>
      <c r="F782" s="11"/>
      <c r="G782" s="30" t="s">
        <v>94</v>
      </c>
      <c r="H782" s="30" t="s">
        <v>391</v>
      </c>
      <c r="I782" s="21" t="s">
        <v>68</v>
      </c>
      <c r="J782" s="30" t="s">
        <v>729</v>
      </c>
      <c r="K782" s="21" t="s">
        <v>94</v>
      </c>
      <c r="L782" s="35">
        <v>0</v>
      </c>
      <c r="M782" s="19">
        <v>90.94</v>
      </c>
      <c r="N782" s="42">
        <v>44706</v>
      </c>
      <c r="O782" s="30" t="s">
        <v>114</v>
      </c>
    </row>
    <row r="783" spans="2:15" s="30" customFormat="1" ht="30" x14ac:dyDescent="0.25">
      <c r="B783" s="30" t="s">
        <v>168</v>
      </c>
      <c r="C783" s="30" t="s">
        <v>6</v>
      </c>
      <c r="D783" s="30" t="s">
        <v>10</v>
      </c>
      <c r="E783" s="30" t="s">
        <v>298</v>
      </c>
      <c r="F783" s="11"/>
      <c r="G783" s="30" t="s">
        <v>94</v>
      </c>
      <c r="H783" s="30" t="s">
        <v>23</v>
      </c>
      <c r="I783" s="21" t="s">
        <v>68</v>
      </c>
      <c r="J783" s="30" t="s">
        <v>746</v>
      </c>
      <c r="K783" s="21" t="s">
        <v>94</v>
      </c>
      <c r="L783" s="35">
        <v>0</v>
      </c>
      <c r="M783" s="19">
        <v>12.08</v>
      </c>
      <c r="N783" s="42">
        <v>44706</v>
      </c>
      <c r="O783" s="30" t="s">
        <v>114</v>
      </c>
    </row>
    <row r="784" spans="2:15" s="30" customFormat="1" ht="30" x14ac:dyDescent="0.25">
      <c r="B784" s="30" t="s">
        <v>168</v>
      </c>
      <c r="C784" s="30" t="s">
        <v>6</v>
      </c>
      <c r="D784" s="30" t="s">
        <v>10</v>
      </c>
      <c r="E784" s="30" t="s">
        <v>298</v>
      </c>
      <c r="F784" s="11"/>
      <c r="G784" s="30" t="s">
        <v>94</v>
      </c>
      <c r="H784" s="30" t="s">
        <v>389</v>
      </c>
      <c r="I784" s="21" t="s">
        <v>68</v>
      </c>
      <c r="J784" s="30" t="s">
        <v>724</v>
      </c>
      <c r="K784" s="21" t="s">
        <v>94</v>
      </c>
      <c r="L784" s="35">
        <v>0</v>
      </c>
      <c r="M784" s="19">
        <v>15.02</v>
      </c>
      <c r="N784" s="42">
        <v>44706</v>
      </c>
      <c r="O784" s="30" t="s">
        <v>114</v>
      </c>
    </row>
    <row r="785" spans="1:15" s="30" customFormat="1" ht="30" x14ac:dyDescent="0.25">
      <c r="B785" s="30" t="s">
        <v>168</v>
      </c>
      <c r="C785" s="30" t="s">
        <v>6</v>
      </c>
      <c r="D785" s="30" t="s">
        <v>10</v>
      </c>
      <c r="E785" s="30" t="s">
        <v>298</v>
      </c>
      <c r="F785" s="11"/>
      <c r="G785" s="30" t="s">
        <v>94</v>
      </c>
      <c r="H785" s="30" t="s">
        <v>389</v>
      </c>
      <c r="I785" s="21" t="s">
        <v>68</v>
      </c>
      <c r="J785" s="30" t="s">
        <v>724</v>
      </c>
      <c r="K785" s="21" t="s">
        <v>94</v>
      </c>
      <c r="L785" s="35">
        <v>0</v>
      </c>
      <c r="M785" s="19">
        <v>15.02</v>
      </c>
      <c r="N785" s="42">
        <v>44706</v>
      </c>
      <c r="O785" s="30" t="s">
        <v>114</v>
      </c>
    </row>
    <row r="786" spans="1:15" s="30" customFormat="1" ht="30" x14ac:dyDescent="0.25">
      <c r="B786" s="30" t="s">
        <v>168</v>
      </c>
      <c r="C786" s="30" t="s">
        <v>6</v>
      </c>
      <c r="D786" s="30" t="s">
        <v>10</v>
      </c>
      <c r="E786" s="30" t="s">
        <v>298</v>
      </c>
      <c r="F786" s="11"/>
      <c r="G786" s="30" t="s">
        <v>94</v>
      </c>
      <c r="H786" s="30" t="s">
        <v>399</v>
      </c>
      <c r="I786" s="21" t="s">
        <v>68</v>
      </c>
      <c r="J786" s="30" t="s">
        <v>747</v>
      </c>
      <c r="K786" s="21" t="s">
        <v>94</v>
      </c>
      <c r="L786" s="35">
        <v>0</v>
      </c>
      <c r="M786" s="19">
        <v>22.66</v>
      </c>
      <c r="N786" s="42">
        <v>44706</v>
      </c>
      <c r="O786" s="30" t="s">
        <v>114</v>
      </c>
    </row>
    <row r="787" spans="1:15" ht="30" x14ac:dyDescent="0.25">
      <c r="A787" s="30"/>
      <c r="B787" s="30" t="s">
        <v>168</v>
      </c>
      <c r="C787" s="30" t="s">
        <v>6</v>
      </c>
      <c r="D787" s="30" t="s">
        <v>10</v>
      </c>
      <c r="E787" s="30" t="s">
        <v>298</v>
      </c>
      <c r="F787" s="11"/>
      <c r="G787" s="30" t="s">
        <v>94</v>
      </c>
      <c r="H787" s="30" t="s">
        <v>399</v>
      </c>
      <c r="I787" s="21" t="s">
        <v>68</v>
      </c>
      <c r="J787" s="30" t="s">
        <v>747</v>
      </c>
      <c r="K787" s="21" t="s">
        <v>94</v>
      </c>
      <c r="L787" s="35">
        <v>0</v>
      </c>
      <c r="M787" s="19">
        <v>22.66</v>
      </c>
      <c r="N787" s="42">
        <v>44706</v>
      </c>
      <c r="O787" s="30" t="s">
        <v>114</v>
      </c>
    </row>
    <row r="788" spans="1:15" ht="30" x14ac:dyDescent="0.25">
      <c r="A788" s="30"/>
      <c r="B788" s="30" t="s">
        <v>168</v>
      </c>
      <c r="C788" s="30" t="s">
        <v>6</v>
      </c>
      <c r="D788" s="30" t="s">
        <v>10</v>
      </c>
      <c r="E788" s="30" t="s">
        <v>298</v>
      </c>
      <c r="F788" s="11"/>
      <c r="G788" s="30" t="s">
        <v>94</v>
      </c>
      <c r="H788" s="30" t="s">
        <v>389</v>
      </c>
      <c r="I788" s="21" t="s">
        <v>68</v>
      </c>
      <c r="J788" s="30" t="s">
        <v>707</v>
      </c>
      <c r="K788" s="21" t="s">
        <v>94</v>
      </c>
      <c r="L788" s="35">
        <v>0</v>
      </c>
      <c r="M788" s="19">
        <v>1.63</v>
      </c>
      <c r="N788" s="42">
        <v>44706</v>
      </c>
      <c r="O788" s="30" t="s">
        <v>114</v>
      </c>
    </row>
    <row r="789" spans="1:15" ht="30" x14ac:dyDescent="0.25">
      <c r="A789" s="30"/>
      <c r="B789" s="30" t="s">
        <v>168</v>
      </c>
      <c r="C789" s="30" t="s">
        <v>6</v>
      </c>
      <c r="D789" s="30" t="s">
        <v>10</v>
      </c>
      <c r="E789" s="30" t="s">
        <v>298</v>
      </c>
      <c r="F789" s="11"/>
      <c r="G789" s="30" t="s">
        <v>94</v>
      </c>
      <c r="H789" s="30" t="s">
        <v>389</v>
      </c>
      <c r="I789" s="21" t="s">
        <v>68</v>
      </c>
      <c r="J789" s="30" t="s">
        <v>707</v>
      </c>
      <c r="K789" s="21" t="s">
        <v>94</v>
      </c>
      <c r="L789" s="35">
        <v>0</v>
      </c>
      <c r="M789" s="19">
        <v>1.63</v>
      </c>
      <c r="N789" s="42">
        <v>44706</v>
      </c>
      <c r="O789" s="30" t="s">
        <v>114</v>
      </c>
    </row>
    <row r="790" spans="1:15" ht="30" x14ac:dyDescent="0.25">
      <c r="A790" s="30"/>
      <c r="B790" s="30" t="s">
        <v>168</v>
      </c>
      <c r="C790" s="30" t="s">
        <v>6</v>
      </c>
      <c r="D790" s="30" t="s">
        <v>10</v>
      </c>
      <c r="E790" s="30" t="s">
        <v>298</v>
      </c>
      <c r="F790" s="11"/>
      <c r="G790" s="30" t="s">
        <v>94</v>
      </c>
      <c r="H790" s="30" t="s">
        <v>394</v>
      </c>
      <c r="I790" s="21" t="s">
        <v>68</v>
      </c>
      <c r="J790" s="30" t="s">
        <v>680</v>
      </c>
      <c r="K790" s="21" t="s">
        <v>94</v>
      </c>
      <c r="L790" s="35">
        <v>0</v>
      </c>
      <c r="M790" s="19">
        <v>207.38</v>
      </c>
      <c r="N790" s="42">
        <v>44706</v>
      </c>
      <c r="O790" s="30" t="s">
        <v>114</v>
      </c>
    </row>
    <row r="791" spans="1:15" ht="30" x14ac:dyDescent="0.25">
      <c r="A791" s="30"/>
      <c r="B791" s="30" t="s">
        <v>168</v>
      </c>
      <c r="C791" s="30" t="s">
        <v>6</v>
      </c>
      <c r="D791" s="30" t="s">
        <v>10</v>
      </c>
      <c r="E791" s="30" t="s">
        <v>298</v>
      </c>
      <c r="F791" s="11"/>
      <c r="G791" s="30" t="s">
        <v>94</v>
      </c>
      <c r="H791" s="30" t="s">
        <v>391</v>
      </c>
      <c r="I791" s="21" t="s">
        <v>68</v>
      </c>
      <c r="J791" s="30" t="s">
        <v>729</v>
      </c>
      <c r="K791" s="21" t="s">
        <v>94</v>
      </c>
      <c r="L791" s="35">
        <v>0</v>
      </c>
      <c r="M791" s="19">
        <v>221.21</v>
      </c>
      <c r="N791" s="42">
        <v>44706</v>
      </c>
      <c r="O791" s="30" t="s">
        <v>114</v>
      </c>
    </row>
    <row r="792" spans="1:15" ht="30" x14ac:dyDescent="0.25">
      <c r="A792" s="30"/>
      <c r="B792" s="30" t="s">
        <v>168</v>
      </c>
      <c r="C792" s="30" t="s">
        <v>6</v>
      </c>
      <c r="D792" s="30" t="s">
        <v>10</v>
      </c>
      <c r="E792" s="30" t="s">
        <v>298</v>
      </c>
      <c r="F792" s="11"/>
      <c r="G792" s="30" t="s">
        <v>94</v>
      </c>
      <c r="H792" s="30" t="s">
        <v>394</v>
      </c>
      <c r="I792" s="21" t="s">
        <v>68</v>
      </c>
      <c r="J792" s="30" t="s">
        <v>680</v>
      </c>
      <c r="K792" s="21" t="s">
        <v>94</v>
      </c>
      <c r="L792" s="35">
        <v>0</v>
      </c>
      <c r="M792" s="19">
        <v>142.51</v>
      </c>
      <c r="N792" s="42">
        <v>44706</v>
      </c>
      <c r="O792" s="30" t="s">
        <v>114</v>
      </c>
    </row>
    <row r="793" spans="1:15" ht="30" x14ac:dyDescent="0.25">
      <c r="A793" s="30"/>
      <c r="B793" s="30" t="s">
        <v>168</v>
      </c>
      <c r="C793" s="30" t="s">
        <v>6</v>
      </c>
      <c r="D793" s="30" t="s">
        <v>10</v>
      </c>
      <c r="E793" s="30" t="s">
        <v>298</v>
      </c>
      <c r="F793" s="11"/>
      <c r="G793" s="30" t="s">
        <v>94</v>
      </c>
      <c r="H793" s="30" t="s">
        <v>390</v>
      </c>
      <c r="I793" s="21" t="s">
        <v>68</v>
      </c>
      <c r="J793" s="30" t="s">
        <v>748</v>
      </c>
      <c r="K793" s="21" t="s">
        <v>94</v>
      </c>
      <c r="L793" s="35">
        <v>0</v>
      </c>
      <c r="M793" s="19">
        <v>34.32</v>
      </c>
      <c r="N793" s="42">
        <v>44706</v>
      </c>
      <c r="O793" s="30" t="s">
        <v>114</v>
      </c>
    </row>
    <row r="794" spans="1:15" ht="30" x14ac:dyDescent="0.25">
      <c r="A794" s="30"/>
      <c r="B794" s="30" t="s">
        <v>168</v>
      </c>
      <c r="C794" s="30" t="s">
        <v>6</v>
      </c>
      <c r="D794" s="30" t="s">
        <v>10</v>
      </c>
      <c r="E794" s="30" t="s">
        <v>298</v>
      </c>
      <c r="F794" s="11"/>
      <c r="G794" s="30" t="s">
        <v>94</v>
      </c>
      <c r="H794" s="30" t="s">
        <v>390</v>
      </c>
      <c r="I794" s="21" t="s">
        <v>68</v>
      </c>
      <c r="J794" s="30" t="s">
        <v>749</v>
      </c>
      <c r="K794" s="21" t="s">
        <v>94</v>
      </c>
      <c r="L794" s="35">
        <v>0</v>
      </c>
      <c r="M794" s="19">
        <f>15.12*4.2</f>
        <v>63.503999999999998</v>
      </c>
      <c r="N794" s="42">
        <v>44706</v>
      </c>
      <c r="O794" s="30" t="s">
        <v>114</v>
      </c>
    </row>
    <row r="795" spans="1:15" ht="30" x14ac:dyDescent="0.25">
      <c r="A795" s="30"/>
      <c r="B795" s="30" t="s">
        <v>168</v>
      </c>
      <c r="C795" s="30" t="s">
        <v>6</v>
      </c>
      <c r="D795" s="30" t="s">
        <v>10</v>
      </c>
      <c r="E795" s="30" t="s">
        <v>298</v>
      </c>
      <c r="F795" s="11"/>
      <c r="G795" s="30" t="s">
        <v>94</v>
      </c>
      <c r="H795" s="30" t="s">
        <v>390</v>
      </c>
      <c r="I795" s="21" t="s">
        <v>68</v>
      </c>
      <c r="J795" s="30" t="s">
        <v>750</v>
      </c>
      <c r="K795" s="21" t="s">
        <v>94</v>
      </c>
      <c r="L795" s="35">
        <v>0</v>
      </c>
      <c r="M795" s="19">
        <f>13.14*3.5</f>
        <v>45.99</v>
      </c>
      <c r="N795" s="42">
        <v>44706</v>
      </c>
      <c r="O795" s="30" t="s">
        <v>114</v>
      </c>
    </row>
    <row r="796" spans="1:15" ht="30" x14ac:dyDescent="0.25">
      <c r="A796" s="30"/>
      <c r="B796" s="30" t="s">
        <v>168</v>
      </c>
      <c r="C796" s="30" t="s">
        <v>6</v>
      </c>
      <c r="D796" s="30" t="s">
        <v>10</v>
      </c>
      <c r="E796" s="30" t="s">
        <v>298</v>
      </c>
      <c r="F796" s="11"/>
      <c r="G796" s="30" t="s">
        <v>94</v>
      </c>
      <c r="H796" s="30" t="s">
        <v>390</v>
      </c>
      <c r="I796" s="21" t="s">
        <v>68</v>
      </c>
      <c r="J796" s="30" t="s">
        <v>751</v>
      </c>
      <c r="K796" s="21" t="s">
        <v>94</v>
      </c>
      <c r="L796" s="35">
        <v>0</v>
      </c>
      <c r="M796" s="19">
        <f>2*4</f>
        <v>8</v>
      </c>
      <c r="N796" s="42">
        <v>44706</v>
      </c>
      <c r="O796" s="30" t="s">
        <v>114</v>
      </c>
    </row>
    <row r="797" spans="1:15" ht="30" x14ac:dyDescent="0.25">
      <c r="A797" s="30"/>
      <c r="B797" s="30" t="s">
        <v>168</v>
      </c>
      <c r="C797" s="30" t="s">
        <v>6</v>
      </c>
      <c r="D797" s="30" t="s">
        <v>10</v>
      </c>
      <c r="E797" s="30" t="s">
        <v>298</v>
      </c>
      <c r="F797" s="11"/>
      <c r="G797" s="30" t="s">
        <v>94</v>
      </c>
      <c r="H797" s="30" t="s">
        <v>390</v>
      </c>
      <c r="I797" s="21" t="s">
        <v>68</v>
      </c>
      <c r="J797" s="30" t="s">
        <v>752</v>
      </c>
      <c r="K797" s="21" t="s">
        <v>94</v>
      </c>
      <c r="L797" s="35">
        <v>0</v>
      </c>
      <c r="M797" s="19">
        <f>3*4</f>
        <v>12</v>
      </c>
      <c r="N797" s="42">
        <v>44706</v>
      </c>
      <c r="O797" s="30" t="s">
        <v>114</v>
      </c>
    </row>
    <row r="798" spans="1:15" ht="30" x14ac:dyDescent="0.25">
      <c r="A798" s="30"/>
      <c r="B798" s="30" t="s">
        <v>168</v>
      </c>
      <c r="C798" s="30" t="s">
        <v>6</v>
      </c>
      <c r="D798" s="30" t="s">
        <v>10</v>
      </c>
      <c r="E798" s="30" t="s">
        <v>298</v>
      </c>
      <c r="F798" s="11"/>
      <c r="G798" s="30" t="s">
        <v>94</v>
      </c>
      <c r="H798" s="30" t="s">
        <v>390</v>
      </c>
      <c r="I798" s="21" t="s">
        <v>68</v>
      </c>
      <c r="J798" s="30" t="s">
        <v>753</v>
      </c>
      <c r="K798" s="21" t="s">
        <v>94</v>
      </c>
      <c r="L798" s="35">
        <v>0</v>
      </c>
      <c r="M798" s="19">
        <f>(3.05*3.25)*2</f>
        <v>19.824999999999999</v>
      </c>
      <c r="N798" s="42">
        <v>44706</v>
      </c>
      <c r="O798" s="30" t="s">
        <v>114</v>
      </c>
    </row>
    <row r="799" spans="1:15" ht="30" x14ac:dyDescent="0.25">
      <c r="A799" s="30"/>
      <c r="B799" s="30" t="s">
        <v>168</v>
      </c>
      <c r="C799" s="30" t="s">
        <v>6</v>
      </c>
      <c r="D799" s="30" t="s">
        <v>10</v>
      </c>
      <c r="E799" s="30" t="s">
        <v>298</v>
      </c>
      <c r="F799" s="11"/>
      <c r="G799" s="30" t="s">
        <v>94</v>
      </c>
      <c r="H799" s="30" t="s">
        <v>390</v>
      </c>
      <c r="I799" s="21" t="s">
        <v>68</v>
      </c>
      <c r="J799" s="30" t="s">
        <v>754</v>
      </c>
      <c r="K799" s="21" t="s">
        <v>94</v>
      </c>
      <c r="L799" s="35">
        <v>0</v>
      </c>
      <c r="M799" s="19">
        <f>9.5*6.9</f>
        <v>65.55</v>
      </c>
      <c r="N799" s="42">
        <v>44706</v>
      </c>
      <c r="O799" s="30" t="s">
        <v>114</v>
      </c>
    </row>
    <row r="800" spans="1:15" ht="30" x14ac:dyDescent="0.25">
      <c r="A800" s="30"/>
      <c r="B800" s="30" t="s">
        <v>168</v>
      </c>
      <c r="C800" s="30" t="s">
        <v>6</v>
      </c>
      <c r="D800" s="30" t="s">
        <v>10</v>
      </c>
      <c r="E800" s="30" t="s">
        <v>298</v>
      </c>
      <c r="F800" s="11"/>
      <c r="G800" s="30" t="s">
        <v>94</v>
      </c>
      <c r="H800" s="30" t="s">
        <v>389</v>
      </c>
      <c r="I800" s="21" t="s">
        <v>68</v>
      </c>
      <c r="J800" s="30" t="s">
        <v>755</v>
      </c>
      <c r="K800" s="21" t="s">
        <v>94</v>
      </c>
      <c r="L800" s="35">
        <v>0</v>
      </c>
      <c r="M800" s="19">
        <v>265.38</v>
      </c>
      <c r="N800" s="42">
        <v>44706</v>
      </c>
      <c r="O800" s="30" t="s">
        <v>114</v>
      </c>
    </row>
    <row r="801" spans="1:15" ht="30" x14ac:dyDescent="0.25">
      <c r="A801" s="30"/>
      <c r="B801" s="30" t="s">
        <v>168</v>
      </c>
      <c r="C801" s="30" t="s">
        <v>6</v>
      </c>
      <c r="D801" s="30" t="s">
        <v>10</v>
      </c>
      <c r="E801" s="30" t="s">
        <v>298</v>
      </c>
      <c r="F801" s="11"/>
      <c r="G801" s="30" t="s">
        <v>94</v>
      </c>
      <c r="H801" s="30" t="s">
        <v>23</v>
      </c>
      <c r="I801" s="21" t="s">
        <v>68</v>
      </c>
      <c r="J801" s="30" t="s">
        <v>684</v>
      </c>
      <c r="K801" s="21" t="s">
        <v>94</v>
      </c>
      <c r="L801" s="35">
        <v>0</v>
      </c>
      <c r="M801" s="19">
        <v>35.270000000000003</v>
      </c>
      <c r="N801" s="42">
        <v>44706</v>
      </c>
      <c r="O801" s="30" t="s">
        <v>114</v>
      </c>
    </row>
    <row r="802" spans="1:15" ht="30" x14ac:dyDescent="0.25">
      <c r="A802" s="30"/>
      <c r="B802" s="30" t="s">
        <v>168</v>
      </c>
      <c r="C802" s="30" t="s">
        <v>6</v>
      </c>
      <c r="D802" s="30" t="s">
        <v>10</v>
      </c>
      <c r="E802" s="30" t="s">
        <v>298</v>
      </c>
      <c r="F802" s="11"/>
      <c r="G802" s="30" t="s">
        <v>94</v>
      </c>
      <c r="H802" s="30" t="s">
        <v>193</v>
      </c>
      <c r="I802" s="21" t="s">
        <v>68</v>
      </c>
      <c r="J802" s="30" t="s">
        <v>756</v>
      </c>
      <c r="K802" s="21" t="s">
        <v>94</v>
      </c>
      <c r="L802" s="35">
        <v>0</v>
      </c>
      <c r="M802" s="19">
        <v>8700.64</v>
      </c>
      <c r="N802" s="42">
        <v>44706</v>
      </c>
      <c r="O802" s="30" t="s">
        <v>114</v>
      </c>
    </row>
    <row r="803" spans="1:15" ht="30" x14ac:dyDescent="0.25">
      <c r="A803" s="30"/>
      <c r="B803" s="30" t="s">
        <v>168</v>
      </c>
      <c r="C803" s="30" t="s">
        <v>6</v>
      </c>
      <c r="D803" s="30" t="s">
        <v>10</v>
      </c>
      <c r="E803" s="30" t="s">
        <v>298</v>
      </c>
      <c r="F803" s="11"/>
      <c r="G803" s="30" t="s">
        <v>94</v>
      </c>
      <c r="H803" s="30" t="s">
        <v>394</v>
      </c>
      <c r="I803" s="21" t="s">
        <v>68</v>
      </c>
      <c r="J803" s="30" t="s">
        <v>757</v>
      </c>
      <c r="K803" s="21" t="s">
        <v>94</v>
      </c>
      <c r="L803" s="35">
        <v>0</v>
      </c>
      <c r="M803" s="19">
        <v>9679</v>
      </c>
      <c r="N803" s="42">
        <v>44706</v>
      </c>
      <c r="O803" s="30" t="s">
        <v>114</v>
      </c>
    </row>
    <row r="804" spans="1:15" ht="30" x14ac:dyDescent="0.25">
      <c r="A804" s="30"/>
      <c r="B804" s="30" t="s">
        <v>168</v>
      </c>
      <c r="C804" s="30" t="s">
        <v>6</v>
      </c>
      <c r="D804" s="30" t="s">
        <v>10</v>
      </c>
      <c r="E804" s="30" t="s">
        <v>298</v>
      </c>
      <c r="F804" s="11"/>
      <c r="G804" s="30" t="s">
        <v>94</v>
      </c>
      <c r="H804" s="30" t="s">
        <v>394</v>
      </c>
      <c r="I804" s="21" t="s">
        <v>68</v>
      </c>
      <c r="J804" s="30" t="s">
        <v>758</v>
      </c>
      <c r="K804" s="21" t="s">
        <v>94</v>
      </c>
      <c r="L804" s="35">
        <v>0</v>
      </c>
      <c r="M804" s="19">
        <v>4667</v>
      </c>
      <c r="N804" s="42">
        <v>44706</v>
      </c>
      <c r="O804" s="30" t="s">
        <v>114</v>
      </c>
    </row>
    <row r="805" spans="1:15" ht="30" x14ac:dyDescent="0.25">
      <c r="A805" s="30"/>
      <c r="B805" s="30" t="s">
        <v>168</v>
      </c>
      <c r="C805" s="30" t="s">
        <v>6</v>
      </c>
      <c r="D805" s="30" t="s">
        <v>10</v>
      </c>
      <c r="E805" s="30" t="s">
        <v>298</v>
      </c>
      <c r="F805" s="11"/>
      <c r="G805" s="30" t="s">
        <v>94</v>
      </c>
      <c r="H805" s="30" t="s">
        <v>24</v>
      </c>
      <c r="I805" s="21" t="s">
        <v>68</v>
      </c>
      <c r="J805" s="30" t="s">
        <v>759</v>
      </c>
      <c r="K805" s="21" t="s">
        <v>94</v>
      </c>
      <c r="L805" s="35">
        <v>28</v>
      </c>
      <c r="M805" s="19">
        <v>15321.29</v>
      </c>
      <c r="N805" s="42">
        <v>44706</v>
      </c>
      <c r="O805" s="30" t="s">
        <v>114</v>
      </c>
    </row>
    <row r="806" spans="1:15" ht="30" x14ac:dyDescent="0.25">
      <c r="A806" s="30"/>
      <c r="B806" s="30" t="s">
        <v>168</v>
      </c>
      <c r="C806" s="30" t="s">
        <v>6</v>
      </c>
      <c r="D806" s="30" t="s">
        <v>10</v>
      </c>
      <c r="E806" s="30" t="s">
        <v>298</v>
      </c>
      <c r="F806" s="11"/>
      <c r="G806" s="30" t="s">
        <v>94</v>
      </c>
      <c r="H806" s="30" t="s">
        <v>24</v>
      </c>
      <c r="I806" s="21" t="s">
        <v>68</v>
      </c>
      <c r="J806" s="30" t="s">
        <v>760</v>
      </c>
      <c r="K806" s="21" t="s">
        <v>94</v>
      </c>
      <c r="L806" s="35">
        <v>20</v>
      </c>
      <c r="M806" s="19">
        <v>1216</v>
      </c>
      <c r="N806" s="42">
        <v>44706</v>
      </c>
      <c r="O806" s="30" t="s">
        <v>114</v>
      </c>
    </row>
    <row r="807" spans="1:15" x14ac:dyDescent="0.25">
      <c r="B807" s="30"/>
      <c r="C807" s="30"/>
      <c r="D807" s="30"/>
      <c r="E807" s="30"/>
      <c r="F807" s="11"/>
      <c r="G807" s="11"/>
      <c r="H807" s="30"/>
      <c r="I807" s="21"/>
      <c r="J807" s="21"/>
      <c r="K807" s="21"/>
      <c r="L807" s="66"/>
      <c r="M807" s="67">
        <f>SUBTOTAL(109,Tabla25[ÁREA (Metros2)])</f>
        <v>72265.286999999982</v>
      </c>
      <c r="N807" s="68"/>
      <c r="O807" s="30"/>
    </row>
    <row r="808" spans="1:15" x14ac:dyDescent="0.25">
      <c r="G808" s="13"/>
      <c r="I808" s="30"/>
      <c r="J808" s="41"/>
      <c r="K808" s="39"/>
    </row>
    <row r="809" spans="1:15" x14ac:dyDescent="0.25">
      <c r="G809" s="13"/>
      <c r="I809" s="30"/>
      <c r="J809" s="41"/>
      <c r="K809" s="39"/>
    </row>
    <row r="810" spans="1:15" x14ac:dyDescent="0.25">
      <c r="G810" s="13"/>
      <c r="I810" s="30"/>
      <c r="J810" s="41"/>
      <c r="K810" s="39"/>
    </row>
    <row r="811" spans="1:15" x14ac:dyDescent="0.25">
      <c r="G811" s="13"/>
      <c r="I811" s="30"/>
      <c r="J811" s="41"/>
      <c r="K811" s="39"/>
    </row>
    <row r="812" spans="1:15" x14ac:dyDescent="0.25">
      <c r="G812" s="13"/>
      <c r="I812" s="30"/>
      <c r="J812" s="41"/>
      <c r="K812" s="39"/>
    </row>
    <row r="813" spans="1:15" x14ac:dyDescent="0.25">
      <c r="G813" s="13"/>
      <c r="I813" s="30"/>
      <c r="J813" s="41"/>
      <c r="K813" s="39"/>
    </row>
    <row r="814" spans="1:15" x14ac:dyDescent="0.25">
      <c r="G814" s="13"/>
      <c r="I814" s="30"/>
      <c r="J814" s="41"/>
      <c r="K814" s="39"/>
    </row>
    <row r="815" spans="1:15" x14ac:dyDescent="0.25">
      <c r="G815" s="13"/>
      <c r="I815" s="30"/>
      <c r="J815" s="41"/>
      <c r="K815" s="39"/>
    </row>
    <row r="816" spans="1:15" x14ac:dyDescent="0.25">
      <c r="G816" s="13"/>
      <c r="I816" s="30"/>
      <c r="J816" s="41"/>
      <c r="K816" s="39"/>
    </row>
    <row r="817" spans="7:11" x14ac:dyDescent="0.25">
      <c r="G817" s="13"/>
      <c r="I817" s="30"/>
      <c r="J817" s="41"/>
      <c r="K817" s="39"/>
    </row>
    <row r="818" spans="7:11" x14ac:dyDescent="0.25">
      <c r="G818" s="13"/>
      <c r="I818" s="30"/>
      <c r="J818" s="41"/>
      <c r="K818" s="39"/>
    </row>
    <row r="819" spans="7:11" x14ac:dyDescent="0.25">
      <c r="G819" s="13"/>
      <c r="I819" s="30"/>
      <c r="J819" s="41"/>
      <c r="K819" s="39"/>
    </row>
    <row r="820" spans="7:11" x14ac:dyDescent="0.25">
      <c r="G820" s="13"/>
      <c r="I820" s="30"/>
      <c r="J820" s="41"/>
      <c r="K820" s="39"/>
    </row>
    <row r="821" spans="7:11" x14ac:dyDescent="0.25">
      <c r="G821" s="13"/>
      <c r="I821" s="30"/>
      <c r="J821" s="41"/>
      <c r="K821" s="39"/>
    </row>
    <row r="822" spans="7:11" x14ac:dyDescent="0.25">
      <c r="G822" s="13"/>
      <c r="I822" s="30"/>
      <c r="J822" s="41"/>
      <c r="K822" s="39"/>
    </row>
    <row r="823" spans="7:11" x14ac:dyDescent="0.25">
      <c r="G823" s="13"/>
      <c r="I823" s="30"/>
      <c r="J823" s="41"/>
      <c r="K823" s="39"/>
    </row>
    <row r="824" spans="7:11" x14ac:dyDescent="0.25">
      <c r="G824" s="13"/>
      <c r="I824" s="30"/>
      <c r="J824" s="41"/>
      <c r="K824" s="39"/>
    </row>
    <row r="825" spans="7:11" x14ac:dyDescent="0.25">
      <c r="G825" s="13"/>
      <c r="I825" s="30"/>
      <c r="J825" s="41"/>
      <c r="K825" s="39"/>
    </row>
    <row r="826" spans="7:11" x14ac:dyDescent="0.25">
      <c r="G826" s="13"/>
      <c r="I826" s="30"/>
      <c r="J826" s="41"/>
      <c r="K826" s="39"/>
    </row>
    <row r="827" spans="7:11" x14ac:dyDescent="0.25">
      <c r="G827" s="13"/>
      <c r="I827" s="30"/>
      <c r="J827" s="41"/>
      <c r="K827" s="39"/>
    </row>
    <row r="828" spans="7:11" x14ac:dyDescent="0.25">
      <c r="G828" s="13"/>
      <c r="I828" s="30"/>
      <c r="J828" s="41"/>
      <c r="K828" s="39"/>
    </row>
    <row r="829" spans="7:11" x14ac:dyDescent="0.25">
      <c r="G829" s="13"/>
      <c r="I829" s="30"/>
      <c r="J829" s="41"/>
      <c r="K829" s="39"/>
    </row>
    <row r="830" spans="7:11" x14ac:dyDescent="0.25">
      <c r="G830" s="13"/>
      <c r="I830" s="30"/>
      <c r="J830" s="41"/>
      <c r="K830" s="39"/>
    </row>
    <row r="831" spans="7:11" x14ac:dyDescent="0.25">
      <c r="G831" s="13"/>
      <c r="I831" s="30"/>
      <c r="J831" s="41"/>
      <c r="K831" s="39"/>
    </row>
    <row r="832" spans="7:11" x14ac:dyDescent="0.25">
      <c r="G832" s="13"/>
      <c r="I832" s="30"/>
      <c r="J832" s="41"/>
      <c r="K832" s="39"/>
    </row>
    <row r="833" spans="7:11" x14ac:dyDescent="0.25">
      <c r="G833" s="13"/>
      <c r="I833" s="30"/>
      <c r="J833" s="41"/>
      <c r="K833" s="39"/>
    </row>
    <row r="834" spans="7:11" x14ac:dyDescent="0.25">
      <c r="G834" s="13"/>
      <c r="I834" s="30"/>
      <c r="J834" s="41"/>
      <c r="K834" s="39"/>
    </row>
    <row r="835" spans="7:11" x14ac:dyDescent="0.25">
      <c r="G835" s="13"/>
      <c r="I835" s="30"/>
      <c r="J835" s="41"/>
      <c r="K835" s="39"/>
    </row>
    <row r="836" spans="7:11" x14ac:dyDescent="0.25">
      <c r="G836" s="13"/>
      <c r="I836" s="30"/>
      <c r="J836" s="41"/>
      <c r="K836" s="39"/>
    </row>
    <row r="837" spans="7:11" x14ac:dyDescent="0.25">
      <c r="G837" s="13"/>
      <c r="I837" s="30"/>
      <c r="J837" s="41"/>
      <c r="K837" s="39"/>
    </row>
    <row r="838" spans="7:11" x14ac:dyDescent="0.25">
      <c r="G838" s="13"/>
      <c r="I838" s="30"/>
      <c r="J838" s="41"/>
      <c r="K838" s="39"/>
    </row>
    <row r="839" spans="7:11" x14ac:dyDescent="0.25">
      <c r="G839" s="13"/>
      <c r="I839" s="30"/>
      <c r="J839" s="41"/>
      <c r="K839" s="39"/>
    </row>
    <row r="840" spans="7:11" x14ac:dyDescent="0.25">
      <c r="G840" s="13"/>
      <c r="I840" s="30"/>
      <c r="J840" s="41"/>
      <c r="K840" s="39"/>
    </row>
    <row r="841" spans="7:11" x14ac:dyDescent="0.25">
      <c r="G841" s="13"/>
      <c r="I841" s="30"/>
      <c r="J841" s="41"/>
      <c r="K841" s="39"/>
    </row>
    <row r="842" spans="7:11" x14ac:dyDescent="0.25">
      <c r="G842" s="13"/>
      <c r="I842" s="30"/>
      <c r="J842" s="41"/>
      <c r="K842" s="39"/>
    </row>
    <row r="843" spans="7:11" x14ac:dyDescent="0.25">
      <c r="G843" s="13"/>
      <c r="I843" s="30"/>
      <c r="J843" s="41"/>
      <c r="K843" s="39"/>
    </row>
    <row r="844" spans="7:11" x14ac:dyDescent="0.25">
      <c r="G844" s="13"/>
      <c r="I844" s="30"/>
      <c r="J844" s="41"/>
      <c r="K844" s="39"/>
    </row>
    <row r="845" spans="7:11" x14ac:dyDescent="0.25">
      <c r="G845" s="13"/>
      <c r="I845" s="30"/>
      <c r="J845" s="41"/>
      <c r="K845" s="39"/>
    </row>
    <row r="846" spans="7:11" x14ac:dyDescent="0.25">
      <c r="G846" s="13"/>
      <c r="I846" s="30"/>
      <c r="J846" s="41"/>
      <c r="K846" s="39"/>
    </row>
    <row r="847" spans="7:11" x14ac:dyDescent="0.25">
      <c r="G847" s="13"/>
      <c r="I847" s="30"/>
      <c r="J847" s="41"/>
      <c r="K847" s="39"/>
    </row>
    <row r="848" spans="7:11" x14ac:dyDescent="0.25">
      <c r="G848" s="13"/>
      <c r="I848" s="30"/>
      <c r="J848" s="41"/>
      <c r="K848" s="39"/>
    </row>
    <row r="849" spans="7:11" x14ac:dyDescent="0.25">
      <c r="G849" s="13"/>
      <c r="I849" s="30"/>
      <c r="J849" s="41"/>
      <c r="K849" s="39"/>
    </row>
    <row r="850" spans="7:11" x14ac:dyDescent="0.25">
      <c r="G850" s="13"/>
      <c r="I850" s="30"/>
      <c r="J850" s="41"/>
      <c r="K850" s="39"/>
    </row>
    <row r="851" spans="7:11" x14ac:dyDescent="0.25">
      <c r="G851" s="13"/>
      <c r="I851" s="30"/>
      <c r="J851" s="41"/>
      <c r="K851" s="39"/>
    </row>
    <row r="852" spans="7:11" x14ac:dyDescent="0.25">
      <c r="G852" s="13"/>
      <c r="I852" s="30"/>
      <c r="J852" s="41"/>
      <c r="K852" s="39"/>
    </row>
    <row r="853" spans="7:11" x14ac:dyDescent="0.25">
      <c r="G853" s="13"/>
      <c r="I853" s="30"/>
      <c r="J853" s="41"/>
      <c r="K853" s="39"/>
    </row>
    <row r="854" spans="7:11" x14ac:dyDescent="0.25">
      <c r="G854" s="13"/>
      <c r="I854" s="30"/>
      <c r="J854" s="41"/>
      <c r="K854" s="39"/>
    </row>
    <row r="855" spans="7:11" x14ac:dyDescent="0.25">
      <c r="G855" s="13"/>
      <c r="I855" s="30"/>
      <c r="J855" s="41"/>
      <c r="K855" s="39"/>
    </row>
    <row r="856" spans="7:11" x14ac:dyDescent="0.25">
      <c r="G856" s="13"/>
      <c r="I856" s="30"/>
      <c r="J856" s="41"/>
      <c r="K856" s="39"/>
    </row>
    <row r="857" spans="7:11" x14ac:dyDescent="0.25">
      <c r="G857" s="13"/>
      <c r="I857" s="30"/>
      <c r="J857" s="41"/>
      <c r="K857" s="39"/>
    </row>
    <row r="858" spans="7:11" x14ac:dyDescent="0.25">
      <c r="G858" s="13"/>
      <c r="I858" s="30"/>
      <c r="J858" s="41"/>
      <c r="K858" s="39"/>
    </row>
    <row r="859" spans="7:11" x14ac:dyDescent="0.25">
      <c r="G859" s="13"/>
      <c r="I859" s="30"/>
      <c r="J859" s="41"/>
      <c r="K859" s="39"/>
    </row>
    <row r="860" spans="7:11" x14ac:dyDescent="0.25">
      <c r="G860" s="13"/>
      <c r="I860" s="30"/>
      <c r="J860" s="41"/>
      <c r="K860" s="39"/>
    </row>
    <row r="861" spans="7:11" x14ac:dyDescent="0.25">
      <c r="G861" s="13"/>
      <c r="I861" s="30"/>
      <c r="J861" s="41"/>
      <c r="K861" s="39"/>
    </row>
    <row r="862" spans="7:11" x14ac:dyDescent="0.25">
      <c r="G862" s="13"/>
      <c r="I862" s="30"/>
      <c r="J862" s="41"/>
      <c r="K862" s="39"/>
    </row>
    <row r="863" spans="7:11" x14ac:dyDescent="0.25">
      <c r="G863" s="13"/>
      <c r="I863" s="30"/>
      <c r="J863" s="41"/>
      <c r="K863" s="39"/>
    </row>
    <row r="864" spans="7:11" x14ac:dyDescent="0.25">
      <c r="G864" s="13"/>
      <c r="I864" s="30"/>
      <c r="J864" s="41"/>
      <c r="K864" s="39"/>
    </row>
    <row r="865" spans="7:11" x14ac:dyDescent="0.25">
      <c r="G865" s="13"/>
      <c r="I865" s="30"/>
      <c r="J865" s="41"/>
      <c r="K865" s="39"/>
    </row>
    <row r="866" spans="7:11" x14ac:dyDescent="0.25">
      <c r="G866" s="13"/>
      <c r="I866" s="30"/>
      <c r="J866" s="41"/>
      <c r="K866" s="39"/>
    </row>
    <row r="867" spans="7:11" x14ac:dyDescent="0.25">
      <c r="G867" s="13"/>
      <c r="I867" s="30"/>
      <c r="J867" s="41"/>
      <c r="K867" s="39"/>
    </row>
    <row r="868" spans="7:11" x14ac:dyDescent="0.25">
      <c r="G868" s="13"/>
      <c r="I868" s="30"/>
      <c r="J868" s="41"/>
      <c r="K868" s="39"/>
    </row>
    <row r="869" spans="7:11" x14ac:dyDescent="0.25">
      <c r="G869" s="13"/>
      <c r="I869" s="30"/>
      <c r="J869" s="41"/>
      <c r="K869" s="39"/>
    </row>
    <row r="870" spans="7:11" x14ac:dyDescent="0.25">
      <c r="G870" s="13"/>
      <c r="J870" s="41"/>
      <c r="K870" s="39"/>
    </row>
    <row r="871" spans="7:11" x14ac:dyDescent="0.25">
      <c r="G871" s="13"/>
      <c r="J871" s="41"/>
      <c r="K871" s="39"/>
    </row>
    <row r="872" spans="7:11" x14ac:dyDescent="0.25">
      <c r="G872" s="13"/>
      <c r="J872" s="41"/>
      <c r="K872" s="39"/>
    </row>
    <row r="873" spans="7:11" x14ac:dyDescent="0.25">
      <c r="G873" s="13"/>
      <c r="J873" s="41"/>
      <c r="K873" s="39"/>
    </row>
    <row r="874" spans="7:11" x14ac:dyDescent="0.25">
      <c r="G874" s="13"/>
      <c r="J874" s="41"/>
      <c r="K874" s="39"/>
    </row>
    <row r="875" spans="7:11" x14ac:dyDescent="0.25">
      <c r="G875" s="13"/>
      <c r="J875" s="41"/>
      <c r="K875" s="39"/>
    </row>
    <row r="876" spans="7:11" x14ac:dyDescent="0.25">
      <c r="G876" s="13"/>
      <c r="J876" s="41"/>
      <c r="K876" s="39"/>
    </row>
    <row r="877" spans="7:11" x14ac:dyDescent="0.25">
      <c r="G877" s="13"/>
      <c r="J877" s="41"/>
      <c r="K877" s="39"/>
    </row>
    <row r="878" spans="7:11" x14ac:dyDescent="0.25">
      <c r="G878" s="13"/>
      <c r="J878" s="41"/>
      <c r="K878" s="39"/>
    </row>
    <row r="879" spans="7:11" x14ac:dyDescent="0.25">
      <c r="G879" s="13"/>
      <c r="J879" s="41"/>
      <c r="K879" s="39"/>
    </row>
    <row r="880" spans="7:11" x14ac:dyDescent="0.25">
      <c r="G880" s="13"/>
      <c r="J880" s="41"/>
      <c r="K880" s="39"/>
    </row>
    <row r="881" spans="7:11" x14ac:dyDescent="0.25">
      <c r="G881" s="13"/>
      <c r="J881" s="41"/>
      <c r="K881" s="39"/>
    </row>
    <row r="882" spans="7:11" x14ac:dyDescent="0.25">
      <c r="G882" s="13"/>
      <c r="J882" s="41"/>
      <c r="K882" s="39"/>
    </row>
    <row r="883" spans="7:11" x14ac:dyDescent="0.25">
      <c r="G883" s="13"/>
      <c r="J883" s="41"/>
      <c r="K883" s="39"/>
    </row>
    <row r="884" spans="7:11" x14ac:dyDescent="0.25">
      <c r="G884" s="13"/>
      <c r="J884" s="41"/>
      <c r="K884" s="39"/>
    </row>
    <row r="885" spans="7:11" x14ac:dyDescent="0.25">
      <c r="G885" s="13"/>
      <c r="J885" s="41"/>
      <c r="K885" s="39"/>
    </row>
    <row r="886" spans="7:11" x14ac:dyDescent="0.25">
      <c r="G886" s="13"/>
      <c r="J886" s="41"/>
      <c r="K886" s="39"/>
    </row>
    <row r="887" spans="7:11" x14ac:dyDescent="0.25">
      <c r="G887" s="13"/>
      <c r="J887" s="41"/>
      <c r="K887" s="39"/>
    </row>
    <row r="888" spans="7:11" x14ac:dyDescent="0.25">
      <c r="G888" s="13"/>
      <c r="J888" s="41"/>
      <c r="K888" s="39"/>
    </row>
    <row r="889" spans="7:11" x14ac:dyDescent="0.25">
      <c r="G889" s="13"/>
      <c r="J889" s="41"/>
      <c r="K889" s="39"/>
    </row>
    <row r="890" spans="7:11" x14ac:dyDescent="0.25">
      <c r="G890" s="13"/>
      <c r="J890" s="41"/>
      <c r="K890" s="39"/>
    </row>
    <row r="891" spans="7:11" x14ac:dyDescent="0.25">
      <c r="G891" s="13"/>
      <c r="J891" s="41"/>
      <c r="K891" s="39"/>
    </row>
    <row r="892" spans="7:11" x14ac:dyDescent="0.25">
      <c r="G892" s="13"/>
      <c r="J892" s="41"/>
      <c r="K892" s="39"/>
    </row>
    <row r="893" spans="7:11" x14ac:dyDescent="0.25">
      <c r="G893" s="13"/>
      <c r="J893" s="41"/>
      <c r="K893" s="39"/>
    </row>
    <row r="894" spans="7:11" x14ac:dyDescent="0.25">
      <c r="G894" s="13"/>
      <c r="J894" s="41"/>
      <c r="K894" s="39"/>
    </row>
    <row r="895" spans="7:11" x14ac:dyDescent="0.25">
      <c r="G895" s="13"/>
      <c r="J895" s="41"/>
      <c r="K895" s="39"/>
    </row>
    <row r="896" spans="7:11" x14ac:dyDescent="0.25">
      <c r="G896" s="13"/>
      <c r="J896" s="41"/>
      <c r="K896" s="39"/>
    </row>
    <row r="897" spans="7:11" x14ac:dyDescent="0.25">
      <c r="G897" s="13"/>
      <c r="J897" s="41"/>
      <c r="K897" s="39"/>
    </row>
    <row r="898" spans="7:11" x14ac:dyDescent="0.25">
      <c r="G898" s="13"/>
      <c r="J898" s="41"/>
      <c r="K898" s="39"/>
    </row>
    <row r="899" spans="7:11" x14ac:dyDescent="0.25">
      <c r="G899" s="13"/>
      <c r="J899" s="41"/>
      <c r="K899" s="39"/>
    </row>
    <row r="900" spans="7:11" x14ac:dyDescent="0.25">
      <c r="G900" s="13"/>
      <c r="J900" s="41"/>
      <c r="K900" s="39"/>
    </row>
    <row r="901" spans="7:11" x14ac:dyDescent="0.25">
      <c r="G901" s="13"/>
      <c r="J901" s="41"/>
      <c r="K901" s="39"/>
    </row>
    <row r="902" spans="7:11" x14ac:dyDescent="0.25">
      <c r="G902" s="13"/>
      <c r="J902" s="41"/>
      <c r="K902" s="39"/>
    </row>
    <row r="903" spans="7:11" x14ac:dyDescent="0.25">
      <c r="G903" s="13"/>
      <c r="J903" s="41"/>
      <c r="K903" s="39"/>
    </row>
    <row r="904" spans="7:11" x14ac:dyDescent="0.25">
      <c r="G904" s="13"/>
      <c r="J904" s="41"/>
      <c r="K904" s="39"/>
    </row>
    <row r="905" spans="7:11" x14ac:dyDescent="0.25">
      <c r="G905" s="13"/>
      <c r="J905" s="41"/>
      <c r="K905" s="39"/>
    </row>
    <row r="906" spans="7:11" x14ac:dyDescent="0.25">
      <c r="G906" s="13"/>
      <c r="J906" s="41"/>
      <c r="K906" s="39"/>
    </row>
    <row r="907" spans="7:11" x14ac:dyDescent="0.25">
      <c r="G907" s="13"/>
      <c r="J907" s="41"/>
      <c r="K907" s="39"/>
    </row>
    <row r="908" spans="7:11" x14ac:dyDescent="0.25">
      <c r="G908" s="13"/>
      <c r="J908" s="41"/>
      <c r="K908" s="39"/>
    </row>
    <row r="909" spans="7:11" x14ac:dyDescent="0.25">
      <c r="G909" s="13"/>
      <c r="J909" s="41"/>
      <c r="K909" s="39"/>
    </row>
    <row r="910" spans="7:11" x14ac:dyDescent="0.25">
      <c r="G910" s="13"/>
      <c r="J910" s="41"/>
      <c r="K910" s="39"/>
    </row>
    <row r="911" spans="7:11" x14ac:dyDescent="0.25">
      <c r="G911" s="13"/>
      <c r="J911" s="41"/>
      <c r="K911" s="39"/>
    </row>
    <row r="912" spans="7:11" x14ac:dyDescent="0.25">
      <c r="G912" s="13"/>
      <c r="J912" s="41"/>
      <c r="K912" s="39"/>
    </row>
    <row r="913" spans="7:11" x14ac:dyDescent="0.25">
      <c r="G913" s="13"/>
      <c r="J913" s="41"/>
      <c r="K913" s="39"/>
    </row>
    <row r="914" spans="7:11" x14ac:dyDescent="0.25">
      <c r="G914" s="13"/>
      <c r="J914" s="41"/>
      <c r="K914" s="39"/>
    </row>
    <row r="915" spans="7:11" x14ac:dyDescent="0.25">
      <c r="G915" s="13"/>
      <c r="J915" s="41"/>
      <c r="K915" s="39"/>
    </row>
    <row r="916" spans="7:11" x14ac:dyDescent="0.25">
      <c r="G916" s="13"/>
      <c r="J916" s="41"/>
      <c r="K916" s="39"/>
    </row>
    <row r="917" spans="7:11" x14ac:dyDescent="0.25">
      <c r="G917" s="13"/>
      <c r="J917" s="41"/>
      <c r="K917" s="39"/>
    </row>
    <row r="918" spans="7:11" x14ac:dyDescent="0.25">
      <c r="G918" s="13"/>
      <c r="J918" s="41"/>
      <c r="K918" s="39"/>
    </row>
    <row r="919" spans="7:11" x14ac:dyDescent="0.25">
      <c r="G919" s="13"/>
      <c r="J919" s="41"/>
      <c r="K919" s="39"/>
    </row>
    <row r="920" spans="7:11" x14ac:dyDescent="0.25">
      <c r="G920" s="13"/>
      <c r="J920" s="41"/>
      <c r="K920" s="39"/>
    </row>
    <row r="921" spans="7:11" x14ac:dyDescent="0.25">
      <c r="G921" s="13"/>
      <c r="J921" s="41"/>
      <c r="K921" s="39"/>
    </row>
    <row r="922" spans="7:11" x14ac:dyDescent="0.25">
      <c r="G922" s="13"/>
      <c r="J922" s="41"/>
      <c r="K922" s="39"/>
    </row>
    <row r="923" spans="7:11" x14ac:dyDescent="0.25">
      <c r="J923" s="41"/>
      <c r="K923" s="39"/>
    </row>
    <row r="924" spans="7:11" x14ac:dyDescent="0.25">
      <c r="J924" s="41"/>
      <c r="K924" s="39"/>
    </row>
    <row r="925" spans="7:11" x14ac:dyDescent="0.25">
      <c r="J925" s="41"/>
      <c r="K925" s="39"/>
    </row>
    <row r="926" spans="7:11" x14ac:dyDescent="0.25">
      <c r="J926" s="41"/>
      <c r="K926" s="39"/>
    </row>
    <row r="927" spans="7:11" x14ac:dyDescent="0.25">
      <c r="J927" s="41"/>
      <c r="K927" s="39"/>
    </row>
    <row r="928" spans="7:11" x14ac:dyDescent="0.25">
      <c r="J928" s="41"/>
      <c r="K928" s="39"/>
    </row>
    <row r="929" spans="10:11" x14ac:dyDescent="0.25">
      <c r="J929" s="41"/>
      <c r="K929" s="39"/>
    </row>
    <row r="930" spans="10:11" x14ac:dyDescent="0.25">
      <c r="J930" s="41"/>
      <c r="K930" s="39"/>
    </row>
    <row r="931" spans="10:11" x14ac:dyDescent="0.25">
      <c r="J931" s="41"/>
      <c r="K931" s="39"/>
    </row>
    <row r="932" spans="10:11" x14ac:dyDescent="0.25">
      <c r="J932" s="41"/>
      <c r="K932" s="39"/>
    </row>
    <row r="933" spans="10:11" x14ac:dyDescent="0.25">
      <c r="J933" s="41"/>
      <c r="K933" s="39"/>
    </row>
    <row r="934" spans="10:11" x14ac:dyDescent="0.25">
      <c r="J934" s="41"/>
      <c r="K934" s="39"/>
    </row>
  </sheetData>
  <mergeCells count="2">
    <mergeCell ref="B1:L20"/>
    <mergeCell ref="N12:O12"/>
  </mergeCells>
  <phoneticPr fontId="9" type="noConversion"/>
  <dataValidations count="6">
    <dataValidation type="list" allowBlank="1" showInputMessage="1" showErrorMessage="1" sqref="D808:E934 F229 F337 F569:F806" xr:uid="{00000000-0002-0000-0200-000000000000}">
      <formula1>UBICACIÓN</formula1>
    </dataValidation>
    <dataValidation type="list" allowBlank="1" showInputMessage="1" showErrorMessage="1" sqref="B808:B934 F808:F934 C22:C806" xr:uid="{00000000-0002-0000-0200-000001000000}">
      <formula1>TIPO_DE_ÁREA</formula1>
    </dataValidation>
    <dataValidation type="list" allowBlank="1" showInputMessage="1" showErrorMessage="1" sqref="C808:C934 D22:D806" xr:uid="{00000000-0002-0000-0200-000002000000}">
      <formula1>TENENCIA</formula1>
    </dataValidation>
    <dataValidation type="list" allowBlank="1" showInputMessage="1" showErrorMessage="1" sqref="G808:G934 I22:I806" xr:uid="{00000000-0002-0000-0200-000003000000}">
      <formula1>ASIGNACIÓN</formula1>
    </dataValidation>
    <dataValidation type="list" allowBlank="1" showInputMessage="1" showErrorMessage="1" sqref="K22:K806" xr:uid="{00000000-0002-0000-0200-000004000000}">
      <formula1>FUNCIÓN_ESPECÍFICA</formula1>
    </dataValidation>
    <dataValidation type="list" allowBlank="1" showInputMessage="1" showErrorMessage="1" sqref="O22:O806" xr:uid="{00000000-0002-0000-0200-000005000000}">
      <formula1>Acceso</formula1>
    </dataValidation>
  </dataValidations>
  <pageMargins left="0.31496062992125984" right="0.31496062992125984" top="0.35433070866141736" bottom="0.35433070866141736" header="0.31496062992125984" footer="0.31496062992125984"/>
  <pageSetup scale="10" fitToHeight="0"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6000000}">
          <x14:formula1>
            <xm:f>Listas!$J$4:$J$13</xm:f>
          </x14:formula1>
          <xm:sqref>G22:G806</xm:sqref>
        </x14:dataValidation>
        <x14:dataValidation type="list" allowBlank="1" showInputMessage="1" showErrorMessage="1" xr:uid="{00000000-0002-0000-0200-000007000000}">
          <x14:formula1>
            <xm:f>Listas!$H$4:$H$34</xm:f>
          </x14:formula1>
          <xm:sqref>H22:H806</xm:sqref>
        </x14:dataValidation>
        <x14:dataValidation type="list" allowBlank="1" showInputMessage="1" showErrorMessage="1" xr:uid="{00000000-0002-0000-0200-000008000000}">
          <x14:formula1>
            <xm:f>Listas!$Q$3:$Q$10</xm:f>
          </x14:formula1>
          <xm:sqref>E22:E806</xm:sqref>
        </x14:dataValidation>
        <x14:dataValidation type="list" allowBlank="1" showInputMessage="1" showErrorMessage="1" xr:uid="{00000000-0002-0000-0200-000009000000}">
          <x14:formula1>
            <xm:f>Listas!$R$3:$R$9</xm:f>
          </x14:formula1>
          <xm:sqref>B22:B806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2:R87"/>
  <sheetViews>
    <sheetView workbookViewId="0">
      <selection activeCell="D19" sqref="D19"/>
    </sheetView>
  </sheetViews>
  <sheetFormatPr baseColWidth="10" defaultRowHeight="15" x14ac:dyDescent="0.25"/>
  <cols>
    <col min="2" max="3" width="13" customWidth="1"/>
    <col min="4" max="5" width="9.85546875" customWidth="1"/>
    <col min="6" max="6" width="42.85546875" customWidth="1"/>
    <col min="7" max="7" width="27.28515625" customWidth="1"/>
    <col min="8" max="8" width="34.7109375" customWidth="1"/>
    <col min="9" max="9" width="8.140625" customWidth="1"/>
    <col min="10" max="10" width="11.42578125" customWidth="1"/>
    <col min="11" max="11" width="15.85546875" customWidth="1"/>
    <col min="12" max="12" width="47.5703125" customWidth="1"/>
    <col min="13" max="13" width="12.85546875" customWidth="1"/>
    <col min="14" max="14" width="17.5703125" customWidth="1"/>
    <col min="15" max="15" width="14.5703125" customWidth="1"/>
    <col min="17" max="17" width="21" bestFit="1" customWidth="1"/>
    <col min="18" max="18" width="30.7109375" bestFit="1" customWidth="1"/>
  </cols>
  <sheetData>
    <row r="2" spans="2:18" x14ac:dyDescent="0.25">
      <c r="Q2" t="s">
        <v>1</v>
      </c>
      <c r="R2" t="s">
        <v>163</v>
      </c>
    </row>
    <row r="3" spans="2:18" x14ac:dyDescent="0.25">
      <c r="B3" t="s">
        <v>8</v>
      </c>
      <c r="D3" t="s">
        <v>4</v>
      </c>
      <c r="F3" t="s">
        <v>1</v>
      </c>
      <c r="H3" t="s">
        <v>9</v>
      </c>
      <c r="J3" s="1" t="s">
        <v>301</v>
      </c>
      <c r="L3" t="s">
        <v>2</v>
      </c>
      <c r="N3" t="s">
        <v>89</v>
      </c>
      <c r="P3" t="s">
        <v>106</v>
      </c>
      <c r="Q3" s="6" t="s">
        <v>17</v>
      </c>
      <c r="R3" s="6" t="s">
        <v>168</v>
      </c>
    </row>
    <row r="4" spans="2:18" x14ac:dyDescent="0.25">
      <c r="B4" t="s">
        <v>6</v>
      </c>
      <c r="D4" t="s">
        <v>10</v>
      </c>
      <c r="F4" t="s">
        <v>17</v>
      </c>
      <c r="H4" t="s">
        <v>174</v>
      </c>
      <c r="J4" s="1">
        <v>1</v>
      </c>
      <c r="L4" t="s">
        <v>129</v>
      </c>
      <c r="N4" t="s">
        <v>90</v>
      </c>
      <c r="P4" t="s">
        <v>114</v>
      </c>
      <c r="Q4" s="6" t="s">
        <v>15</v>
      </c>
      <c r="R4" s="6" t="s">
        <v>169</v>
      </c>
    </row>
    <row r="5" spans="2:18" x14ac:dyDescent="0.25">
      <c r="B5" t="s">
        <v>7</v>
      </c>
      <c r="D5" t="s">
        <v>11</v>
      </c>
      <c r="F5" t="s">
        <v>15</v>
      </c>
      <c r="H5" t="s">
        <v>22</v>
      </c>
      <c r="J5" s="1">
        <v>2</v>
      </c>
      <c r="L5" t="s">
        <v>28</v>
      </c>
      <c r="N5" t="s">
        <v>91</v>
      </c>
      <c r="P5" t="s">
        <v>115</v>
      </c>
      <c r="Q5" s="6" t="s">
        <v>16</v>
      </c>
      <c r="R5" s="6" t="s">
        <v>165</v>
      </c>
    </row>
    <row r="6" spans="2:18" x14ac:dyDescent="0.25">
      <c r="D6" t="s">
        <v>12</v>
      </c>
      <c r="F6" t="s">
        <v>16</v>
      </c>
      <c r="H6" t="s">
        <v>26</v>
      </c>
      <c r="J6" s="1">
        <v>3</v>
      </c>
      <c r="L6" t="s">
        <v>29</v>
      </c>
      <c r="N6" t="s">
        <v>92</v>
      </c>
      <c r="P6" t="s">
        <v>94</v>
      </c>
      <c r="Q6" s="6" t="s">
        <v>14</v>
      </c>
      <c r="R6" s="6" t="s">
        <v>166</v>
      </c>
    </row>
    <row r="7" spans="2:18" x14ac:dyDescent="0.25">
      <c r="D7" t="s">
        <v>13</v>
      </c>
      <c r="F7" t="s">
        <v>162</v>
      </c>
      <c r="H7" t="s">
        <v>30</v>
      </c>
      <c r="J7" s="1">
        <v>4</v>
      </c>
      <c r="L7" t="s">
        <v>30</v>
      </c>
      <c r="N7" t="s">
        <v>107</v>
      </c>
      <c r="Q7" s="6" t="s">
        <v>297</v>
      </c>
      <c r="R7" s="6" t="s">
        <v>170</v>
      </c>
    </row>
    <row r="8" spans="2:18" x14ac:dyDescent="0.25">
      <c r="F8" t="s">
        <v>19</v>
      </c>
      <c r="H8" t="s">
        <v>258</v>
      </c>
      <c r="J8" s="1">
        <v>5</v>
      </c>
      <c r="L8" t="s">
        <v>31</v>
      </c>
      <c r="N8" t="s">
        <v>116</v>
      </c>
      <c r="Q8" s="6" t="s">
        <v>18</v>
      </c>
      <c r="R8" s="6" t="s">
        <v>167</v>
      </c>
    </row>
    <row r="9" spans="2:18" x14ac:dyDescent="0.25">
      <c r="F9" t="s">
        <v>14</v>
      </c>
      <c r="H9" t="s">
        <v>385</v>
      </c>
      <c r="J9" s="1">
        <v>6</v>
      </c>
      <c r="L9" t="s">
        <v>71</v>
      </c>
      <c r="N9" t="s">
        <v>93</v>
      </c>
      <c r="Q9" s="6" t="s">
        <v>298</v>
      </c>
      <c r="R9" s="6" t="s">
        <v>915</v>
      </c>
    </row>
    <row r="10" spans="2:18" x14ac:dyDescent="0.25">
      <c r="F10" t="s">
        <v>297</v>
      </c>
      <c r="H10" t="s">
        <v>386</v>
      </c>
      <c r="J10" s="1" t="s">
        <v>343</v>
      </c>
      <c r="L10" t="s">
        <v>32</v>
      </c>
      <c r="N10" t="s">
        <v>94</v>
      </c>
      <c r="Q10" s="6" t="s">
        <v>20</v>
      </c>
    </row>
    <row r="11" spans="2:18" x14ac:dyDescent="0.25">
      <c r="F11" t="s">
        <v>18</v>
      </c>
      <c r="H11" t="s">
        <v>387</v>
      </c>
      <c r="J11" s="1" t="s">
        <v>344</v>
      </c>
      <c r="L11" t="s">
        <v>33</v>
      </c>
      <c r="Q11" s="6" t="s">
        <v>943</v>
      </c>
    </row>
    <row r="12" spans="2:18" x14ac:dyDescent="0.25">
      <c r="F12" t="s">
        <v>298</v>
      </c>
      <c r="H12" t="s">
        <v>130</v>
      </c>
      <c r="J12" s="1" t="s">
        <v>273</v>
      </c>
      <c r="L12" t="s">
        <v>34</v>
      </c>
      <c r="Q12" s="6" t="s">
        <v>17</v>
      </c>
    </row>
    <row r="13" spans="2:18" x14ac:dyDescent="0.25">
      <c r="F13" t="s">
        <v>13</v>
      </c>
      <c r="H13" t="s">
        <v>388</v>
      </c>
      <c r="J13" s="1" t="s">
        <v>94</v>
      </c>
      <c r="L13" t="s">
        <v>35</v>
      </c>
      <c r="Q13" s="6" t="s">
        <v>944</v>
      </c>
    </row>
    <row r="14" spans="2:18" x14ac:dyDescent="0.25">
      <c r="F14" t="s">
        <v>20</v>
      </c>
      <c r="H14" t="s">
        <v>389</v>
      </c>
      <c r="L14" t="s">
        <v>36</v>
      </c>
      <c r="Q14" s="6" t="s">
        <v>945</v>
      </c>
    </row>
    <row r="15" spans="2:18" x14ac:dyDescent="0.25">
      <c r="F15" t="s">
        <v>300</v>
      </c>
      <c r="H15" t="s">
        <v>390</v>
      </c>
      <c r="L15" t="s">
        <v>37</v>
      </c>
      <c r="Q15" s="6" t="s">
        <v>946</v>
      </c>
    </row>
    <row r="16" spans="2:18" x14ac:dyDescent="0.25">
      <c r="F16" t="s">
        <v>299</v>
      </c>
      <c r="H16" t="s">
        <v>183</v>
      </c>
      <c r="L16" t="s">
        <v>38</v>
      </c>
      <c r="Q16" s="6" t="s">
        <v>947</v>
      </c>
    </row>
    <row r="17" spans="6:12" x14ac:dyDescent="0.25">
      <c r="F17" s="6" t="s">
        <v>943</v>
      </c>
      <c r="H17" t="s">
        <v>391</v>
      </c>
      <c r="L17" t="s">
        <v>39</v>
      </c>
    </row>
    <row r="18" spans="6:12" x14ac:dyDescent="0.25">
      <c r="F18" s="6" t="s">
        <v>17</v>
      </c>
      <c r="H18" t="s">
        <v>24</v>
      </c>
      <c r="L18" t="s">
        <v>40</v>
      </c>
    </row>
    <row r="19" spans="6:12" x14ac:dyDescent="0.25">
      <c r="F19" s="6" t="s">
        <v>944</v>
      </c>
      <c r="H19" t="s">
        <v>392</v>
      </c>
      <c r="L19" t="s">
        <v>41</v>
      </c>
    </row>
    <row r="20" spans="6:12" x14ac:dyDescent="0.25">
      <c r="F20" s="6" t="s">
        <v>945</v>
      </c>
      <c r="H20" t="s">
        <v>393</v>
      </c>
      <c r="L20" t="s">
        <v>73</v>
      </c>
    </row>
    <row r="21" spans="6:12" x14ac:dyDescent="0.25">
      <c r="F21" s="6" t="s">
        <v>946</v>
      </c>
      <c r="H21" t="s">
        <v>394</v>
      </c>
      <c r="L21" t="s">
        <v>74</v>
      </c>
    </row>
    <row r="22" spans="6:12" x14ac:dyDescent="0.25">
      <c r="F22" s="6" t="s">
        <v>947</v>
      </c>
      <c r="H22" t="s">
        <v>177</v>
      </c>
      <c r="L22" t="s">
        <v>76</v>
      </c>
    </row>
    <row r="23" spans="6:12" x14ac:dyDescent="0.25">
      <c r="H23" t="s">
        <v>23</v>
      </c>
      <c r="L23" t="s">
        <v>75</v>
      </c>
    </row>
    <row r="24" spans="6:12" x14ac:dyDescent="0.25">
      <c r="H24" t="s">
        <v>193</v>
      </c>
      <c r="L24" t="s">
        <v>72</v>
      </c>
    </row>
    <row r="25" spans="6:12" x14ac:dyDescent="0.25">
      <c r="H25" t="s">
        <v>395</v>
      </c>
      <c r="L25" t="s">
        <v>42</v>
      </c>
    </row>
    <row r="26" spans="6:12" x14ac:dyDescent="0.25">
      <c r="H26" t="s">
        <v>99</v>
      </c>
      <c r="L26" t="s">
        <v>43</v>
      </c>
    </row>
    <row r="27" spans="6:12" x14ac:dyDescent="0.25">
      <c r="H27" t="s">
        <v>396</v>
      </c>
      <c r="L27" t="s">
        <v>44</v>
      </c>
    </row>
    <row r="28" spans="6:12" x14ac:dyDescent="0.25">
      <c r="H28" t="s">
        <v>397</v>
      </c>
      <c r="L28" t="s">
        <v>45</v>
      </c>
    </row>
    <row r="29" spans="6:12" x14ac:dyDescent="0.25">
      <c r="H29" t="s">
        <v>117</v>
      </c>
      <c r="L29" t="s">
        <v>88</v>
      </c>
    </row>
    <row r="30" spans="6:12" x14ac:dyDescent="0.25">
      <c r="H30" t="s">
        <v>21</v>
      </c>
      <c r="L30" t="s">
        <v>416</v>
      </c>
    </row>
    <row r="31" spans="6:12" x14ac:dyDescent="0.25">
      <c r="H31" t="s">
        <v>27</v>
      </c>
      <c r="L31" t="s">
        <v>47</v>
      </c>
    </row>
    <row r="32" spans="6:12" x14ac:dyDescent="0.25">
      <c r="H32" t="s">
        <v>398</v>
      </c>
      <c r="L32" t="s">
        <v>48</v>
      </c>
    </row>
    <row r="33" spans="8:12" x14ac:dyDescent="0.25">
      <c r="H33" t="s">
        <v>399</v>
      </c>
      <c r="L33" t="s">
        <v>49</v>
      </c>
    </row>
    <row r="34" spans="8:12" x14ac:dyDescent="0.25">
      <c r="H34" t="s">
        <v>400</v>
      </c>
      <c r="L34" t="s">
        <v>415</v>
      </c>
    </row>
    <row r="35" spans="8:12" x14ac:dyDescent="0.25">
      <c r="L35" t="s">
        <v>51</v>
      </c>
    </row>
    <row r="36" spans="8:12" x14ac:dyDescent="0.25">
      <c r="L36" t="s">
        <v>52</v>
      </c>
    </row>
    <row r="37" spans="8:12" x14ac:dyDescent="0.25">
      <c r="L37" t="s">
        <v>53</v>
      </c>
    </row>
    <row r="38" spans="8:12" x14ac:dyDescent="0.25">
      <c r="L38" t="s">
        <v>54</v>
      </c>
    </row>
    <row r="39" spans="8:12" x14ac:dyDescent="0.25">
      <c r="L39" t="s">
        <v>55</v>
      </c>
    </row>
    <row r="40" spans="8:12" x14ac:dyDescent="0.25">
      <c r="L40" t="s">
        <v>56</v>
      </c>
    </row>
    <row r="41" spans="8:12" x14ac:dyDescent="0.25">
      <c r="L41" t="s">
        <v>57</v>
      </c>
    </row>
    <row r="42" spans="8:12" x14ac:dyDescent="0.25">
      <c r="L42" t="s">
        <v>414</v>
      </c>
    </row>
    <row r="43" spans="8:12" x14ac:dyDescent="0.25">
      <c r="L43" t="s">
        <v>59</v>
      </c>
    </row>
    <row r="44" spans="8:12" x14ac:dyDescent="0.25">
      <c r="L44" t="s">
        <v>60</v>
      </c>
    </row>
    <row r="45" spans="8:12" x14ac:dyDescent="0.25">
      <c r="L45" t="s">
        <v>77</v>
      </c>
    </row>
    <row r="46" spans="8:12" x14ac:dyDescent="0.25">
      <c r="L46" t="s">
        <v>78</v>
      </c>
    </row>
    <row r="47" spans="8:12" x14ac:dyDescent="0.25">
      <c r="L47" t="s">
        <v>83</v>
      </c>
    </row>
    <row r="48" spans="8:12" x14ac:dyDescent="0.25">
      <c r="L48" t="s">
        <v>81</v>
      </c>
    </row>
    <row r="49" spans="12:12" x14ac:dyDescent="0.25">
      <c r="L49" t="s">
        <v>79</v>
      </c>
    </row>
    <row r="50" spans="12:12" x14ac:dyDescent="0.25">
      <c r="L50" t="s">
        <v>82</v>
      </c>
    </row>
    <row r="51" spans="12:12" x14ac:dyDescent="0.25">
      <c r="L51" t="s">
        <v>84</v>
      </c>
    </row>
    <row r="52" spans="12:12" x14ac:dyDescent="0.25">
      <c r="L52" t="s">
        <v>150</v>
      </c>
    </row>
    <row r="53" spans="12:12" x14ac:dyDescent="0.25">
      <c r="L53" t="s">
        <v>85</v>
      </c>
    </row>
    <row r="54" spans="12:12" x14ac:dyDescent="0.25">
      <c r="L54" t="s">
        <v>80</v>
      </c>
    </row>
    <row r="55" spans="12:12" x14ac:dyDescent="0.25">
      <c r="L55" t="s">
        <v>87</v>
      </c>
    </row>
    <row r="56" spans="12:12" x14ac:dyDescent="0.25">
      <c r="L56" t="s">
        <v>86</v>
      </c>
    </row>
    <row r="57" spans="12:12" x14ac:dyDescent="0.25">
      <c r="L57" t="s">
        <v>61</v>
      </c>
    </row>
    <row r="58" spans="12:12" x14ac:dyDescent="0.25">
      <c r="L58" t="s">
        <v>62</v>
      </c>
    </row>
    <row r="59" spans="12:12" x14ac:dyDescent="0.25">
      <c r="L59" t="s">
        <v>63</v>
      </c>
    </row>
    <row r="60" spans="12:12" x14ac:dyDescent="0.25">
      <c r="L60" t="s">
        <v>64</v>
      </c>
    </row>
    <row r="61" spans="12:12" x14ac:dyDescent="0.25">
      <c r="L61" t="s">
        <v>65</v>
      </c>
    </row>
    <row r="62" spans="12:12" x14ac:dyDescent="0.25">
      <c r="L62" t="s">
        <v>66</v>
      </c>
    </row>
    <row r="63" spans="12:12" x14ac:dyDescent="0.25">
      <c r="L63" t="s">
        <v>413</v>
      </c>
    </row>
    <row r="64" spans="12:12" x14ac:dyDescent="0.25">
      <c r="L64" t="s">
        <v>412</v>
      </c>
    </row>
    <row r="65" spans="2:12" x14ac:dyDescent="0.25">
      <c r="L65" t="s">
        <v>418</v>
      </c>
    </row>
    <row r="66" spans="2:12" x14ac:dyDescent="0.25">
      <c r="L66" t="s">
        <v>67</v>
      </c>
    </row>
    <row r="67" spans="2:12" x14ac:dyDescent="0.25">
      <c r="L67" t="s">
        <v>68</v>
      </c>
    </row>
    <row r="68" spans="2:12" x14ac:dyDescent="0.25">
      <c r="L68" t="s">
        <v>69</v>
      </c>
    </row>
    <row r="69" spans="2:12" x14ac:dyDescent="0.25">
      <c r="L69" t="s">
        <v>70</v>
      </c>
    </row>
    <row r="70" spans="2:12" x14ac:dyDescent="0.25">
      <c r="L70" t="s">
        <v>94</v>
      </c>
    </row>
    <row r="79" spans="2:12" ht="60" x14ac:dyDescent="0.25">
      <c r="B79" s="2" t="s">
        <v>164</v>
      </c>
      <c r="C79" s="3" t="s">
        <v>165</v>
      </c>
      <c r="D79" s="3" t="s">
        <v>166</v>
      </c>
      <c r="E79" s="3" t="s">
        <v>167</v>
      </c>
      <c r="F79" s="3" t="s">
        <v>168</v>
      </c>
      <c r="G79" s="3" t="s">
        <v>169</v>
      </c>
      <c r="H79" s="3" t="s">
        <v>170</v>
      </c>
      <c r="I79" s="3"/>
      <c r="J79" s="3"/>
    </row>
    <row r="80" spans="2:12" ht="30" x14ac:dyDescent="0.25">
      <c r="B80" s="4" t="s">
        <v>165</v>
      </c>
      <c r="C80" t="s">
        <v>26</v>
      </c>
      <c r="D80" t="s">
        <v>171</v>
      </c>
      <c r="E80" t="s">
        <v>172</v>
      </c>
      <c r="F80" t="s">
        <v>23</v>
      </c>
      <c r="G80" t="s">
        <v>173</v>
      </c>
      <c r="H80" t="s">
        <v>174</v>
      </c>
    </row>
    <row r="81" spans="2:8" ht="30" x14ac:dyDescent="0.25">
      <c r="B81" s="4" t="s">
        <v>166</v>
      </c>
      <c r="C81" t="s">
        <v>30</v>
      </c>
      <c r="D81" t="s">
        <v>175</v>
      </c>
      <c r="E81" t="s">
        <v>176</v>
      </c>
      <c r="F81" t="s">
        <v>177</v>
      </c>
      <c r="G81" t="s">
        <v>178</v>
      </c>
      <c r="H81" t="s">
        <v>179</v>
      </c>
    </row>
    <row r="82" spans="2:8" ht="45" x14ac:dyDescent="0.25">
      <c r="B82" s="4" t="s">
        <v>167</v>
      </c>
      <c r="C82" t="s">
        <v>130</v>
      </c>
      <c r="E82" t="s">
        <v>180</v>
      </c>
      <c r="F82" t="s">
        <v>181</v>
      </c>
      <c r="G82" t="s">
        <v>182</v>
      </c>
      <c r="H82" t="s">
        <v>183</v>
      </c>
    </row>
    <row r="83" spans="2:8" ht="30" x14ac:dyDescent="0.25">
      <c r="B83" s="4" t="s">
        <v>168</v>
      </c>
      <c r="C83" t="s">
        <v>184</v>
      </c>
      <c r="E83" t="s">
        <v>22</v>
      </c>
      <c r="F83" t="s">
        <v>185</v>
      </c>
      <c r="G83" t="s">
        <v>184</v>
      </c>
      <c r="H83" t="s">
        <v>186</v>
      </c>
    </row>
    <row r="84" spans="2:8" ht="30" x14ac:dyDescent="0.25">
      <c r="B84" s="4" t="s">
        <v>169</v>
      </c>
      <c r="C84" t="s">
        <v>187</v>
      </c>
      <c r="F84" t="s">
        <v>188</v>
      </c>
      <c r="G84" t="s">
        <v>189</v>
      </c>
      <c r="H84" t="s">
        <v>190</v>
      </c>
    </row>
    <row r="85" spans="2:8" ht="45" x14ac:dyDescent="0.25">
      <c r="B85" s="4" t="s">
        <v>170</v>
      </c>
      <c r="C85" t="s">
        <v>191</v>
      </c>
      <c r="F85" t="s">
        <v>192</v>
      </c>
      <c r="G85" t="s">
        <v>257</v>
      </c>
      <c r="H85" t="s">
        <v>193</v>
      </c>
    </row>
    <row r="86" spans="2:8" x14ac:dyDescent="0.25">
      <c r="C86" t="s">
        <v>194</v>
      </c>
      <c r="F86" t="s">
        <v>258</v>
      </c>
      <c r="H86" t="s">
        <v>195</v>
      </c>
    </row>
    <row r="87" spans="2:8" x14ac:dyDescent="0.25">
      <c r="C87" t="s">
        <v>196</v>
      </c>
      <c r="F87" t="s">
        <v>99</v>
      </c>
    </row>
  </sheetData>
  <sortState ref="L5:L69">
    <sortCondition ref="L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696"/>
  <sheetViews>
    <sheetView showGridLines="0" tabSelected="1" topLeftCell="A37" zoomScale="68" zoomScaleNormal="68" workbookViewId="0">
      <pane xSplit="1" topLeftCell="B1" activePane="topRight" state="frozen"/>
      <selection activeCell="A5" sqref="A5"/>
      <selection pane="topRight" activeCell="I68" sqref="I68"/>
    </sheetView>
  </sheetViews>
  <sheetFormatPr baseColWidth="10" defaultColWidth="0" defaultRowHeight="15" x14ac:dyDescent="0.25"/>
  <cols>
    <col min="1" max="1" width="3.42578125" style="23" customWidth="1"/>
    <col min="2" max="2" width="30.5703125" style="23" customWidth="1"/>
    <col min="3" max="3" width="16.7109375" style="23" customWidth="1"/>
    <col min="4" max="4" width="13.28515625" style="23" customWidth="1"/>
    <col min="5" max="5" width="11.7109375" style="46" customWidth="1"/>
    <col min="6" max="6" width="19.28515625" style="12" customWidth="1"/>
    <col min="7" max="7" width="18.7109375" style="23" customWidth="1"/>
    <col min="8" max="8" width="24.140625" style="60" customWidth="1"/>
    <col min="9" max="9" width="26" style="23" customWidth="1"/>
    <col min="10" max="10" width="36" style="23" customWidth="1"/>
    <col min="11" max="11" width="13.85546875" style="23" customWidth="1"/>
    <col min="12" max="12" width="12.28515625" style="23" customWidth="1"/>
    <col min="13" max="13" width="13.85546875" style="23" customWidth="1"/>
    <col min="14" max="14" width="25.42578125" style="12" customWidth="1"/>
    <col min="15" max="15" width="17.5703125" style="23" customWidth="1"/>
    <col min="16" max="18" width="0" style="23" hidden="1" customWidth="1"/>
    <col min="19" max="16382" width="11.42578125" style="23" hidden="1"/>
    <col min="16383" max="16383" width="9.85546875" style="23" customWidth="1"/>
    <col min="16384" max="16384" width="2.5703125" style="23" customWidth="1"/>
  </cols>
  <sheetData>
    <row r="1" spans="2:15" ht="28.5" customHeight="1" x14ac:dyDescent="0.25">
      <c r="B1" s="264" t="s">
        <v>766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N1" s="23"/>
    </row>
    <row r="2" spans="2:15" ht="21" customHeight="1" x14ac:dyDescent="0.25"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N2" s="23"/>
    </row>
    <row r="3" spans="2:15" ht="28.5" customHeight="1" x14ac:dyDescent="0.25"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N3" s="23"/>
    </row>
    <row r="4" spans="2:15" x14ac:dyDescent="0.25"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N4" s="23"/>
    </row>
    <row r="5" spans="2:15" x14ac:dyDescent="0.25"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N5" s="23"/>
    </row>
    <row r="6" spans="2:15" x14ac:dyDescent="0.25"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N6" s="23"/>
    </row>
    <row r="7" spans="2:15" x14ac:dyDescent="0.25"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N7" s="23"/>
    </row>
    <row r="8" spans="2:15" x14ac:dyDescent="0.25"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N8" s="23"/>
    </row>
    <row r="9" spans="2:15" x14ac:dyDescent="0.25"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N9" s="23"/>
    </row>
    <row r="10" spans="2:15" x14ac:dyDescent="0.25"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N10" s="23"/>
    </row>
    <row r="11" spans="2:15" ht="13.5" customHeight="1" thickBot="1" x14ac:dyDescent="0.3"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N11" s="23"/>
    </row>
    <row r="12" spans="2:15" ht="19.5" customHeight="1" x14ac:dyDescent="0.25"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N12" s="265" t="s">
        <v>118</v>
      </c>
      <c r="O12" s="266"/>
    </row>
    <row r="13" spans="2:15" x14ac:dyDescent="0.25"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N13" s="244" t="s">
        <v>111</v>
      </c>
      <c r="O13" s="245">
        <f>SUMIF(Tabla22[TIPO DE ÁREA],"CONSTRUIDA",Tabla22[ÁREA (Metros2)])</f>
        <v>26919.361000000004</v>
      </c>
    </row>
    <row r="14" spans="2:15" x14ac:dyDescent="0.25"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N14" s="244" t="s">
        <v>112</v>
      </c>
      <c r="O14" s="246">
        <f>SUM(Tabla22[CAPACIDAD FÍSICA])</f>
        <v>8813</v>
      </c>
    </row>
    <row r="15" spans="2:15" x14ac:dyDescent="0.25">
      <c r="B15" s="264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N15" s="244" t="s">
        <v>119</v>
      </c>
      <c r="O15" s="246">
        <v>6165</v>
      </c>
    </row>
    <row r="16" spans="2:15" x14ac:dyDescent="0.25"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N16" s="244" t="s">
        <v>120</v>
      </c>
      <c r="O16" s="247">
        <f>O15/O13</f>
        <v>0.22901732325667012</v>
      </c>
    </row>
    <row r="17" spans="2:15" x14ac:dyDescent="0.25"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N17" s="244" t="s">
        <v>121</v>
      </c>
      <c r="O17" s="245">
        <f>SUMIF(Tabla22[Acceso Autónomo],"Si",Tabla22[ÁREA (Metros2)])</f>
        <v>15404.930999999993</v>
      </c>
    </row>
    <row r="18" spans="2:15" ht="15.75" thickBot="1" x14ac:dyDescent="0.3"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N18" s="248" t="s">
        <v>122</v>
      </c>
      <c r="O18" s="249">
        <f>+O17/O13</f>
        <v>0.57226213504845047</v>
      </c>
    </row>
    <row r="19" spans="2:15" x14ac:dyDescent="0.25">
      <c r="B19" s="264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N19" s="14" t="s">
        <v>123</v>
      </c>
      <c r="O19" s="28"/>
    </row>
    <row r="20" spans="2:15" x14ac:dyDescent="0.25"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N20" s="23"/>
    </row>
    <row r="21" spans="2:15" s="29" customFormat="1" ht="17.25" x14ac:dyDescent="0.25">
      <c r="B21" s="15" t="s">
        <v>163</v>
      </c>
      <c r="C21" s="16" t="s">
        <v>0</v>
      </c>
      <c r="D21" s="16" t="s">
        <v>4</v>
      </c>
      <c r="E21" s="16" t="s">
        <v>1</v>
      </c>
      <c r="F21" s="16" t="s">
        <v>108</v>
      </c>
      <c r="G21" s="16" t="s">
        <v>302</v>
      </c>
      <c r="H21" s="16" t="s">
        <v>383</v>
      </c>
      <c r="I21" s="16" t="s">
        <v>2</v>
      </c>
      <c r="J21" s="16" t="s">
        <v>5</v>
      </c>
      <c r="K21" s="16" t="s">
        <v>384</v>
      </c>
      <c r="L21" s="16" t="s">
        <v>3</v>
      </c>
      <c r="M21" s="16" t="s">
        <v>161</v>
      </c>
      <c r="N21" s="16" t="s">
        <v>109</v>
      </c>
      <c r="O21" s="17" t="s">
        <v>113</v>
      </c>
    </row>
    <row r="22" spans="2:15" s="30" customFormat="1" ht="30.75" customHeight="1" x14ac:dyDescent="0.25">
      <c r="B22" s="30" t="s">
        <v>168</v>
      </c>
      <c r="C22" s="30" t="s">
        <v>6</v>
      </c>
      <c r="D22" s="30" t="s">
        <v>11</v>
      </c>
      <c r="E22" s="30" t="s">
        <v>162</v>
      </c>
      <c r="F22" s="11">
        <v>202</v>
      </c>
      <c r="G22" s="30">
        <v>1</v>
      </c>
      <c r="H22" s="263" t="s">
        <v>23</v>
      </c>
      <c r="I22" s="21" t="s">
        <v>64</v>
      </c>
      <c r="J22" s="21" t="s">
        <v>435</v>
      </c>
      <c r="K22" s="30" t="s">
        <v>107</v>
      </c>
      <c r="L22" s="32">
        <v>5</v>
      </c>
      <c r="M22" s="22">
        <v>42.93</v>
      </c>
      <c r="N22" s="31">
        <v>44691</v>
      </c>
      <c r="O22" s="30" t="s">
        <v>114</v>
      </c>
    </row>
    <row r="23" spans="2:15" s="30" customFormat="1" ht="15" customHeight="1" x14ac:dyDescent="0.25">
      <c r="B23" s="30" t="s">
        <v>168</v>
      </c>
      <c r="C23" s="30" t="s">
        <v>6</v>
      </c>
      <c r="D23" s="30" t="s">
        <v>11</v>
      </c>
      <c r="E23" s="30" t="s">
        <v>17</v>
      </c>
      <c r="F23" s="11" t="s">
        <v>127</v>
      </c>
      <c r="G23" s="30">
        <v>1</v>
      </c>
      <c r="H23" s="263" t="s">
        <v>23</v>
      </c>
      <c r="I23" s="21" t="s">
        <v>62</v>
      </c>
      <c r="J23" s="21" t="s">
        <v>436</v>
      </c>
      <c r="K23" s="30" t="s">
        <v>116</v>
      </c>
      <c r="L23" s="32">
        <v>2</v>
      </c>
      <c r="M23" s="22">
        <v>44.36</v>
      </c>
      <c r="N23" s="31">
        <v>44691</v>
      </c>
      <c r="O23" s="30" t="s">
        <v>114</v>
      </c>
    </row>
    <row r="24" spans="2:15" s="30" customFormat="1" x14ac:dyDescent="0.25">
      <c r="B24" s="30" t="s">
        <v>168</v>
      </c>
      <c r="C24" s="30" t="s">
        <v>6</v>
      </c>
      <c r="D24" s="30" t="s">
        <v>11</v>
      </c>
      <c r="E24" s="30" t="s">
        <v>17</v>
      </c>
      <c r="F24" s="11">
        <v>204</v>
      </c>
      <c r="G24" s="30">
        <v>1</v>
      </c>
      <c r="H24" s="263" t="s">
        <v>117</v>
      </c>
      <c r="I24" s="21" t="s">
        <v>62</v>
      </c>
      <c r="J24" s="21" t="s">
        <v>411</v>
      </c>
      <c r="K24" s="30" t="s">
        <v>107</v>
      </c>
      <c r="L24" s="32">
        <v>20</v>
      </c>
      <c r="M24" s="22">
        <v>40.799999999999997</v>
      </c>
      <c r="N24" s="31">
        <v>44691</v>
      </c>
      <c r="O24" s="30" t="s">
        <v>114</v>
      </c>
    </row>
    <row r="25" spans="2:15" s="30" customFormat="1" ht="27.75" customHeight="1" x14ac:dyDescent="0.25">
      <c r="B25" s="30" t="s">
        <v>168</v>
      </c>
      <c r="C25" s="30" t="s">
        <v>6</v>
      </c>
      <c r="D25" s="30" t="s">
        <v>11</v>
      </c>
      <c r="E25" s="30" t="s">
        <v>17</v>
      </c>
      <c r="F25" s="11" t="s">
        <v>127</v>
      </c>
      <c r="G25" s="30">
        <v>1</v>
      </c>
      <c r="H25" s="263" t="s">
        <v>398</v>
      </c>
      <c r="I25" s="21" t="s">
        <v>62</v>
      </c>
      <c r="J25" s="21" t="s">
        <v>128</v>
      </c>
      <c r="K25" s="30" t="s">
        <v>94</v>
      </c>
      <c r="L25" s="32">
        <v>1</v>
      </c>
      <c r="M25" s="22">
        <v>3.57</v>
      </c>
      <c r="N25" s="31">
        <v>44691</v>
      </c>
      <c r="O25" s="30" t="s">
        <v>114</v>
      </c>
    </row>
    <row r="26" spans="2:15" s="30" customFormat="1" ht="30.75" customHeight="1" x14ac:dyDescent="0.25">
      <c r="B26" s="30" t="s">
        <v>168</v>
      </c>
      <c r="C26" s="30" t="s">
        <v>6</v>
      </c>
      <c r="D26" s="30" t="s">
        <v>11</v>
      </c>
      <c r="E26" s="30" t="s">
        <v>17</v>
      </c>
      <c r="F26" s="11" t="s">
        <v>125</v>
      </c>
      <c r="G26" s="30">
        <v>1</v>
      </c>
      <c r="H26" s="263" t="s">
        <v>23</v>
      </c>
      <c r="I26" s="21" t="s">
        <v>34</v>
      </c>
      <c r="J26" s="21" t="s">
        <v>437</v>
      </c>
      <c r="K26" s="30" t="s">
        <v>107</v>
      </c>
      <c r="L26" s="32">
        <v>7</v>
      </c>
      <c r="M26" s="22">
        <v>32.880000000000003</v>
      </c>
      <c r="N26" s="31">
        <v>44691</v>
      </c>
      <c r="O26" s="30" t="s">
        <v>114</v>
      </c>
    </row>
    <row r="27" spans="2:15" s="30" customFormat="1" ht="30.75" customHeight="1" x14ac:dyDescent="0.25">
      <c r="B27" s="30" t="s">
        <v>168</v>
      </c>
      <c r="C27" s="30" t="s">
        <v>6</v>
      </c>
      <c r="D27" s="30" t="s">
        <v>11</v>
      </c>
      <c r="E27" s="30" t="s">
        <v>17</v>
      </c>
      <c r="F27" s="11">
        <v>206</v>
      </c>
      <c r="G27" s="30">
        <v>1</v>
      </c>
      <c r="H27" s="263" t="s">
        <v>23</v>
      </c>
      <c r="I27" s="50" t="s">
        <v>68</v>
      </c>
      <c r="J27" s="21" t="s">
        <v>918</v>
      </c>
      <c r="K27" s="30" t="s">
        <v>107</v>
      </c>
      <c r="L27" s="32">
        <v>3</v>
      </c>
      <c r="M27" s="22">
        <v>28.76</v>
      </c>
      <c r="N27" s="256">
        <v>45117</v>
      </c>
      <c r="O27" s="30" t="s">
        <v>114</v>
      </c>
    </row>
    <row r="28" spans="2:15" s="30" customFormat="1" ht="15" customHeight="1" x14ac:dyDescent="0.25">
      <c r="B28" s="30" t="s">
        <v>168</v>
      </c>
      <c r="C28" s="30" t="s">
        <v>6</v>
      </c>
      <c r="D28" s="30" t="s">
        <v>11</v>
      </c>
      <c r="E28" s="30" t="s">
        <v>17</v>
      </c>
      <c r="F28" s="11">
        <v>207</v>
      </c>
      <c r="G28" s="30">
        <v>1</v>
      </c>
      <c r="H28" s="263" t="s">
        <v>23</v>
      </c>
      <c r="I28" s="50" t="s">
        <v>43</v>
      </c>
      <c r="J28" s="21" t="s">
        <v>439</v>
      </c>
      <c r="K28" s="30" t="s">
        <v>107</v>
      </c>
      <c r="L28" s="32">
        <v>4</v>
      </c>
      <c r="M28" s="22">
        <v>28.03</v>
      </c>
      <c r="N28" s="256">
        <v>45394</v>
      </c>
      <c r="O28" s="30" t="s">
        <v>114</v>
      </c>
    </row>
    <row r="29" spans="2:15" s="30" customFormat="1" ht="30" customHeight="1" x14ac:dyDescent="0.25">
      <c r="B29" s="30" t="s">
        <v>168</v>
      </c>
      <c r="C29" s="30" t="s">
        <v>6</v>
      </c>
      <c r="D29" s="30" t="s">
        <v>11</v>
      </c>
      <c r="E29" s="30" t="s">
        <v>17</v>
      </c>
      <c r="F29" s="11">
        <v>208</v>
      </c>
      <c r="G29" s="30">
        <v>1</v>
      </c>
      <c r="H29" s="263" t="s">
        <v>23</v>
      </c>
      <c r="I29" s="21" t="s">
        <v>44</v>
      </c>
      <c r="J29" s="21" t="s">
        <v>929</v>
      </c>
      <c r="K29" s="30" t="s">
        <v>93</v>
      </c>
      <c r="L29" s="32">
        <v>2</v>
      </c>
      <c r="M29" s="22">
        <v>16.18</v>
      </c>
      <c r="N29" s="31">
        <v>45606</v>
      </c>
      <c r="O29" s="30" t="s">
        <v>114</v>
      </c>
    </row>
    <row r="30" spans="2:15" s="30" customFormat="1" ht="28.5" customHeight="1" x14ac:dyDescent="0.25">
      <c r="B30" s="30" t="s">
        <v>168</v>
      </c>
      <c r="C30" s="30" t="s">
        <v>6</v>
      </c>
      <c r="D30" s="30" t="s">
        <v>11</v>
      </c>
      <c r="E30" s="30" t="s">
        <v>17</v>
      </c>
      <c r="F30" s="11">
        <v>210</v>
      </c>
      <c r="G30" s="30">
        <v>1</v>
      </c>
      <c r="H30" s="263" t="s">
        <v>23</v>
      </c>
      <c r="I30" s="50" t="s">
        <v>68</v>
      </c>
      <c r="J30" s="21" t="s">
        <v>917</v>
      </c>
      <c r="K30" s="30" t="s">
        <v>107</v>
      </c>
      <c r="L30" s="32">
        <v>2</v>
      </c>
      <c r="M30" s="22">
        <v>15.81</v>
      </c>
      <c r="N30" s="256">
        <v>45394</v>
      </c>
      <c r="O30" s="30" t="s">
        <v>114</v>
      </c>
    </row>
    <row r="31" spans="2:15" s="30" customFormat="1" ht="27" customHeight="1" x14ac:dyDescent="0.25">
      <c r="B31" s="30" t="s">
        <v>168</v>
      </c>
      <c r="C31" s="30" t="s">
        <v>6</v>
      </c>
      <c r="D31" s="30" t="s">
        <v>11</v>
      </c>
      <c r="E31" s="30" t="s">
        <v>17</v>
      </c>
      <c r="F31" s="11">
        <v>209</v>
      </c>
      <c r="G31" s="30">
        <v>1</v>
      </c>
      <c r="H31" s="263" t="s">
        <v>390</v>
      </c>
      <c r="I31" s="21" t="s">
        <v>38</v>
      </c>
      <c r="J31" s="21" t="s">
        <v>95</v>
      </c>
      <c r="K31" s="30" t="s">
        <v>107</v>
      </c>
      <c r="L31" s="32">
        <v>0</v>
      </c>
      <c r="M31" s="22">
        <v>13.02</v>
      </c>
      <c r="N31" s="31">
        <v>44691</v>
      </c>
      <c r="O31" s="30" t="s">
        <v>114</v>
      </c>
    </row>
    <row r="32" spans="2:15" s="30" customFormat="1" ht="15" customHeight="1" x14ac:dyDescent="0.25">
      <c r="B32" s="30" t="s">
        <v>169</v>
      </c>
      <c r="C32" s="30" t="s">
        <v>6</v>
      </c>
      <c r="D32" s="30" t="s">
        <v>11</v>
      </c>
      <c r="E32" s="30" t="s">
        <v>17</v>
      </c>
      <c r="F32" s="11">
        <v>214</v>
      </c>
      <c r="G32" s="30">
        <v>1</v>
      </c>
      <c r="H32" s="263" t="s">
        <v>385</v>
      </c>
      <c r="I32" s="21" t="s">
        <v>68</v>
      </c>
      <c r="J32" s="21" t="s">
        <v>96</v>
      </c>
      <c r="K32" s="30" t="s">
        <v>107</v>
      </c>
      <c r="L32" s="32">
        <v>30</v>
      </c>
      <c r="M32" s="22">
        <v>56.3</v>
      </c>
      <c r="N32" s="31">
        <v>44691</v>
      </c>
      <c r="O32" s="30" t="s">
        <v>114</v>
      </c>
    </row>
    <row r="33" spans="2:15" s="30" customFormat="1" ht="27.75" customHeight="1" x14ac:dyDescent="0.25">
      <c r="B33" s="30" t="s">
        <v>168</v>
      </c>
      <c r="C33" s="30" t="s">
        <v>6</v>
      </c>
      <c r="D33" s="30" t="s">
        <v>11</v>
      </c>
      <c r="E33" s="30" t="s">
        <v>17</v>
      </c>
      <c r="F33" s="11">
        <v>218</v>
      </c>
      <c r="G33" s="30">
        <v>1</v>
      </c>
      <c r="H33" s="263" t="s">
        <v>23</v>
      </c>
      <c r="I33" s="21" t="s">
        <v>44</v>
      </c>
      <c r="J33" s="21" t="s">
        <v>441</v>
      </c>
      <c r="K33" s="30" t="s">
        <v>116</v>
      </c>
      <c r="L33" s="32">
        <v>6</v>
      </c>
      <c r="M33" s="22">
        <v>49.95</v>
      </c>
      <c r="N33" s="31">
        <v>44691</v>
      </c>
      <c r="O33" s="30" t="s">
        <v>114</v>
      </c>
    </row>
    <row r="34" spans="2:15" s="30" customFormat="1" ht="15" customHeight="1" x14ac:dyDescent="0.25">
      <c r="B34" s="30" t="s">
        <v>168</v>
      </c>
      <c r="C34" s="30" t="s">
        <v>6</v>
      </c>
      <c r="D34" s="30" t="s">
        <v>11</v>
      </c>
      <c r="E34" s="30" t="s">
        <v>17</v>
      </c>
      <c r="F34" s="11">
        <v>219</v>
      </c>
      <c r="G34" s="30">
        <v>1</v>
      </c>
      <c r="H34" s="263" t="s">
        <v>390</v>
      </c>
      <c r="I34" s="21" t="s">
        <v>38</v>
      </c>
      <c r="J34" s="21" t="s">
        <v>470</v>
      </c>
      <c r="K34" s="30" t="s">
        <v>94</v>
      </c>
      <c r="L34" s="32">
        <v>0</v>
      </c>
      <c r="M34" s="22">
        <v>4.51</v>
      </c>
      <c r="N34" s="31">
        <v>44691</v>
      </c>
      <c r="O34" s="30" t="s">
        <v>114</v>
      </c>
    </row>
    <row r="35" spans="2:15" s="30" customFormat="1" ht="26.25" customHeight="1" x14ac:dyDescent="0.25">
      <c r="B35" s="30" t="s">
        <v>168</v>
      </c>
      <c r="C35" s="30" t="s">
        <v>6</v>
      </c>
      <c r="D35" s="30" t="s">
        <v>11</v>
      </c>
      <c r="E35" s="30" t="s">
        <v>17</v>
      </c>
      <c r="F35" s="11" t="s">
        <v>124</v>
      </c>
      <c r="G35" s="30">
        <v>1</v>
      </c>
      <c r="H35" s="263" t="s">
        <v>23</v>
      </c>
      <c r="I35" s="21" t="s">
        <v>54</v>
      </c>
      <c r="J35" s="21" t="s">
        <v>437</v>
      </c>
      <c r="K35" s="30" t="s">
        <v>107</v>
      </c>
      <c r="L35" s="32">
        <v>6</v>
      </c>
      <c r="M35" s="22">
        <v>34.43</v>
      </c>
      <c r="N35" s="31">
        <v>44691</v>
      </c>
      <c r="O35" s="30" t="s">
        <v>114</v>
      </c>
    </row>
    <row r="36" spans="2:15" s="30" customFormat="1" ht="15" customHeight="1" x14ac:dyDescent="0.25">
      <c r="B36" s="30" t="s">
        <v>168</v>
      </c>
      <c r="C36" s="30" t="s">
        <v>6</v>
      </c>
      <c r="D36" s="30" t="s">
        <v>11</v>
      </c>
      <c r="E36" s="30" t="s">
        <v>17</v>
      </c>
      <c r="F36" s="11" t="s">
        <v>126</v>
      </c>
      <c r="G36" s="30">
        <v>1</v>
      </c>
      <c r="H36" s="263" t="s">
        <v>23</v>
      </c>
      <c r="I36" s="21" t="s">
        <v>66</v>
      </c>
      <c r="J36" s="21" t="s">
        <v>110</v>
      </c>
      <c r="K36" s="30" t="s">
        <v>107</v>
      </c>
      <c r="L36" s="32">
        <v>2</v>
      </c>
      <c r="M36" s="22">
        <v>6.24</v>
      </c>
      <c r="N36" s="31">
        <v>44691</v>
      </c>
      <c r="O36" s="30" t="s">
        <v>114</v>
      </c>
    </row>
    <row r="37" spans="2:15" s="30" customFormat="1" ht="15" customHeight="1" x14ac:dyDescent="0.25">
      <c r="B37" s="30" t="s">
        <v>168</v>
      </c>
      <c r="C37" s="30" t="s">
        <v>6</v>
      </c>
      <c r="D37" s="30" t="s">
        <v>11</v>
      </c>
      <c r="E37" s="30" t="s">
        <v>17</v>
      </c>
      <c r="F37" s="11" t="s">
        <v>259</v>
      </c>
      <c r="G37" s="30">
        <v>1</v>
      </c>
      <c r="H37" s="263" t="s">
        <v>23</v>
      </c>
      <c r="I37" s="21" t="s">
        <v>66</v>
      </c>
      <c r="J37" s="21" t="s">
        <v>437</v>
      </c>
      <c r="K37" s="30" t="s">
        <v>107</v>
      </c>
      <c r="L37" s="32">
        <v>8</v>
      </c>
      <c r="M37" s="22">
        <v>65.23</v>
      </c>
      <c r="N37" s="31">
        <v>44691</v>
      </c>
      <c r="O37" s="30" t="s">
        <v>114</v>
      </c>
    </row>
    <row r="38" spans="2:15" s="30" customFormat="1" ht="15" customHeight="1" x14ac:dyDescent="0.25">
      <c r="B38" s="30" t="s">
        <v>168</v>
      </c>
      <c r="C38" s="30" t="s">
        <v>6</v>
      </c>
      <c r="D38" s="30" t="s">
        <v>11</v>
      </c>
      <c r="E38" s="30" t="s">
        <v>17</v>
      </c>
      <c r="F38" s="11">
        <v>210</v>
      </c>
      <c r="G38" s="30">
        <v>1</v>
      </c>
      <c r="H38" s="263" t="s">
        <v>117</v>
      </c>
      <c r="I38" s="21" t="s">
        <v>129</v>
      </c>
      <c r="J38" s="21" t="s">
        <v>97</v>
      </c>
      <c r="K38" s="30" t="s">
        <v>107</v>
      </c>
      <c r="L38" s="32">
        <v>30</v>
      </c>
      <c r="M38" s="22">
        <v>56.63</v>
      </c>
      <c r="N38" s="31">
        <v>44691</v>
      </c>
      <c r="O38" s="30" t="s">
        <v>114</v>
      </c>
    </row>
    <row r="39" spans="2:15" s="30" customFormat="1" ht="15" customHeight="1" x14ac:dyDescent="0.25">
      <c r="B39" s="30" t="s">
        <v>168</v>
      </c>
      <c r="C39" s="30" t="s">
        <v>6</v>
      </c>
      <c r="D39" s="30" t="s">
        <v>11</v>
      </c>
      <c r="E39" s="30" t="s">
        <v>17</v>
      </c>
      <c r="F39" s="11"/>
      <c r="G39" s="30">
        <v>1</v>
      </c>
      <c r="H39" s="263" t="s">
        <v>398</v>
      </c>
      <c r="I39" s="21" t="s">
        <v>68</v>
      </c>
      <c r="J39" s="21" t="s">
        <v>131</v>
      </c>
      <c r="K39" s="30" t="s">
        <v>94</v>
      </c>
      <c r="L39" s="32">
        <v>4</v>
      </c>
      <c r="M39" s="22">
        <v>10.64</v>
      </c>
      <c r="N39" s="31">
        <v>44691</v>
      </c>
      <c r="O39" s="30" t="s">
        <v>114</v>
      </c>
    </row>
    <row r="40" spans="2:15" s="30" customFormat="1" ht="15" customHeight="1" x14ac:dyDescent="0.25">
      <c r="B40" s="30" t="s">
        <v>168</v>
      </c>
      <c r="C40" s="30" t="s">
        <v>6</v>
      </c>
      <c r="D40" s="30" t="s">
        <v>11</v>
      </c>
      <c r="E40" s="30" t="s">
        <v>17</v>
      </c>
      <c r="F40" s="11"/>
      <c r="G40" s="30">
        <v>1</v>
      </c>
      <c r="H40" s="263" t="s">
        <v>398</v>
      </c>
      <c r="I40" s="21" t="s">
        <v>68</v>
      </c>
      <c r="J40" s="21" t="s">
        <v>132</v>
      </c>
      <c r="K40" s="30" t="s">
        <v>94</v>
      </c>
      <c r="L40" s="32">
        <v>4</v>
      </c>
      <c r="M40" s="22">
        <v>9.3800000000000008</v>
      </c>
      <c r="N40" s="31">
        <v>44691</v>
      </c>
      <c r="O40" s="30" t="s">
        <v>114</v>
      </c>
    </row>
    <row r="41" spans="2:15" s="30" customFormat="1" ht="28.5" customHeight="1" x14ac:dyDescent="0.25">
      <c r="B41" s="30" t="s">
        <v>170</v>
      </c>
      <c r="C41" s="30" t="s">
        <v>6</v>
      </c>
      <c r="D41" s="30" t="s">
        <v>11</v>
      </c>
      <c r="E41" s="30" t="s">
        <v>17</v>
      </c>
      <c r="F41" s="11"/>
      <c r="G41" s="30">
        <v>1</v>
      </c>
      <c r="H41" s="263" t="s">
        <v>394</v>
      </c>
      <c r="I41" s="21" t="s">
        <v>68</v>
      </c>
      <c r="J41" s="21" t="s">
        <v>98</v>
      </c>
      <c r="K41" s="30" t="s">
        <v>94</v>
      </c>
      <c r="L41" s="32">
        <v>0</v>
      </c>
      <c r="M41" s="22">
        <v>115.23</v>
      </c>
      <c r="N41" s="31">
        <v>44691</v>
      </c>
      <c r="O41" s="30" t="s">
        <v>114</v>
      </c>
    </row>
    <row r="42" spans="2:15" s="30" customFormat="1" ht="30.75" customHeight="1" x14ac:dyDescent="0.25">
      <c r="B42" s="30" t="s">
        <v>170</v>
      </c>
      <c r="C42" s="30" t="s">
        <v>6</v>
      </c>
      <c r="D42" s="30" t="s">
        <v>11</v>
      </c>
      <c r="E42" s="30" t="s">
        <v>17</v>
      </c>
      <c r="F42" s="11"/>
      <c r="G42" s="30">
        <v>1</v>
      </c>
      <c r="H42" s="263" t="s">
        <v>394</v>
      </c>
      <c r="I42" s="21" t="s">
        <v>68</v>
      </c>
      <c r="J42" s="21" t="s">
        <v>133</v>
      </c>
      <c r="K42" s="30" t="s">
        <v>94</v>
      </c>
      <c r="L42" s="32">
        <v>0</v>
      </c>
      <c r="M42" s="22">
        <v>65.81</v>
      </c>
      <c r="N42" s="31">
        <v>44691</v>
      </c>
      <c r="O42" s="30" t="s">
        <v>114</v>
      </c>
    </row>
    <row r="43" spans="2:15" s="30" customFormat="1" ht="29.25" customHeight="1" x14ac:dyDescent="0.25">
      <c r="B43" s="30" t="s">
        <v>168</v>
      </c>
      <c r="C43" s="30" t="s">
        <v>6</v>
      </c>
      <c r="D43" s="30" t="s">
        <v>11</v>
      </c>
      <c r="E43" s="30" t="s">
        <v>17</v>
      </c>
      <c r="F43" s="11"/>
      <c r="G43" s="30">
        <v>1</v>
      </c>
      <c r="H43" s="263" t="s">
        <v>390</v>
      </c>
      <c r="I43" s="20" t="s">
        <v>129</v>
      </c>
      <c r="J43" s="21" t="s">
        <v>807</v>
      </c>
      <c r="K43" s="30" t="s">
        <v>107</v>
      </c>
      <c r="L43" s="32">
        <v>1</v>
      </c>
      <c r="M43" s="22">
        <v>5.47</v>
      </c>
      <c r="N43" s="31">
        <v>44691</v>
      </c>
      <c r="O43" s="30" t="s">
        <v>114</v>
      </c>
    </row>
    <row r="44" spans="2:15" s="30" customFormat="1" ht="31.5" customHeight="1" x14ac:dyDescent="0.25">
      <c r="B44" s="30" t="s">
        <v>169</v>
      </c>
      <c r="C44" s="30" t="s">
        <v>6</v>
      </c>
      <c r="D44" s="30" t="s">
        <v>11</v>
      </c>
      <c r="E44" s="30" t="s">
        <v>17</v>
      </c>
      <c r="F44" s="11"/>
      <c r="G44" s="30">
        <v>1</v>
      </c>
      <c r="H44" s="263" t="s">
        <v>388</v>
      </c>
      <c r="I44" s="20" t="s">
        <v>129</v>
      </c>
      <c r="J44" s="33" t="s">
        <v>428</v>
      </c>
      <c r="K44" s="30" t="s">
        <v>107</v>
      </c>
      <c r="L44" s="32">
        <v>2</v>
      </c>
      <c r="M44" s="22">
        <v>11.88</v>
      </c>
      <c r="N44" s="31">
        <v>44691</v>
      </c>
      <c r="O44" s="30" t="s">
        <v>114</v>
      </c>
    </row>
    <row r="45" spans="2:15" s="30" customFormat="1" ht="15" customHeight="1" x14ac:dyDescent="0.25">
      <c r="B45" s="30" t="s">
        <v>169</v>
      </c>
      <c r="C45" s="30" t="s">
        <v>6</v>
      </c>
      <c r="D45" s="30" t="s">
        <v>11</v>
      </c>
      <c r="E45" s="30" t="s">
        <v>17</v>
      </c>
      <c r="F45" s="11"/>
      <c r="G45" s="30">
        <v>1</v>
      </c>
      <c r="H45" s="263" t="s">
        <v>389</v>
      </c>
      <c r="I45" s="20" t="s">
        <v>129</v>
      </c>
      <c r="J45" s="21" t="s">
        <v>323</v>
      </c>
      <c r="K45" s="30" t="s">
        <v>107</v>
      </c>
      <c r="L45" s="32">
        <v>1</v>
      </c>
      <c r="M45" s="22">
        <v>12.07</v>
      </c>
      <c r="N45" s="31">
        <v>44691</v>
      </c>
      <c r="O45" s="30" t="s">
        <v>114</v>
      </c>
    </row>
    <row r="46" spans="2:15" s="30" customFormat="1" ht="15" customHeight="1" x14ac:dyDescent="0.25">
      <c r="B46" s="30" t="s">
        <v>169</v>
      </c>
      <c r="C46" s="30" t="s">
        <v>6</v>
      </c>
      <c r="D46" s="30" t="s">
        <v>11</v>
      </c>
      <c r="E46" s="30" t="s">
        <v>17</v>
      </c>
      <c r="F46" s="11"/>
      <c r="G46" s="30">
        <v>1</v>
      </c>
      <c r="H46" s="263" t="s">
        <v>388</v>
      </c>
      <c r="I46" s="20" t="s">
        <v>129</v>
      </c>
      <c r="J46" s="21" t="s">
        <v>320</v>
      </c>
      <c r="K46" s="30" t="s">
        <v>107</v>
      </c>
      <c r="L46" s="32">
        <v>2</v>
      </c>
      <c r="M46" s="22">
        <v>11.57</v>
      </c>
      <c r="N46" s="31">
        <v>44691</v>
      </c>
      <c r="O46" s="30" t="s">
        <v>114</v>
      </c>
    </row>
    <row r="47" spans="2:15" s="30" customFormat="1" ht="15" customHeight="1" x14ac:dyDescent="0.25">
      <c r="B47" s="30" t="s">
        <v>169</v>
      </c>
      <c r="C47" s="30" t="s">
        <v>6</v>
      </c>
      <c r="D47" s="30" t="s">
        <v>11</v>
      </c>
      <c r="E47" s="30" t="s">
        <v>17</v>
      </c>
      <c r="F47" s="11"/>
      <c r="G47" s="30">
        <v>1</v>
      </c>
      <c r="H47" s="263" t="s">
        <v>99</v>
      </c>
      <c r="I47" s="20" t="s">
        <v>129</v>
      </c>
      <c r="J47" s="21" t="s">
        <v>99</v>
      </c>
      <c r="K47" s="30" t="s">
        <v>107</v>
      </c>
      <c r="L47" s="32">
        <v>6</v>
      </c>
      <c r="M47" s="22">
        <v>10.26</v>
      </c>
      <c r="N47" s="31">
        <v>44691</v>
      </c>
      <c r="O47" s="30" t="s">
        <v>114</v>
      </c>
    </row>
    <row r="48" spans="2:15" s="30" customFormat="1" ht="15" customHeight="1" x14ac:dyDescent="0.25">
      <c r="B48" s="30" t="s">
        <v>169</v>
      </c>
      <c r="C48" s="30" t="s">
        <v>6</v>
      </c>
      <c r="D48" s="30" t="s">
        <v>11</v>
      </c>
      <c r="E48" s="30" t="s">
        <v>17</v>
      </c>
      <c r="F48" s="11"/>
      <c r="G48" s="30">
        <v>1</v>
      </c>
      <c r="H48" s="263" t="s">
        <v>399</v>
      </c>
      <c r="I48" s="20" t="s">
        <v>129</v>
      </c>
      <c r="J48" s="21" t="s">
        <v>100</v>
      </c>
      <c r="K48" s="30" t="s">
        <v>94</v>
      </c>
      <c r="L48" s="32">
        <v>1</v>
      </c>
      <c r="M48" s="22">
        <v>2.77</v>
      </c>
      <c r="N48" s="31">
        <v>44691</v>
      </c>
      <c r="O48" s="30" t="s">
        <v>114</v>
      </c>
    </row>
    <row r="49" spans="2:15" s="30" customFormat="1" ht="15" customHeight="1" x14ac:dyDescent="0.25">
      <c r="B49" s="30" t="s">
        <v>169</v>
      </c>
      <c r="C49" s="30" t="s">
        <v>6</v>
      </c>
      <c r="D49" s="30" t="s">
        <v>11</v>
      </c>
      <c r="E49" s="30" t="s">
        <v>17</v>
      </c>
      <c r="F49" s="11"/>
      <c r="G49" s="30">
        <v>1</v>
      </c>
      <c r="H49" s="263" t="s">
        <v>399</v>
      </c>
      <c r="I49" s="20" t="s">
        <v>129</v>
      </c>
      <c r="J49" s="21" t="s">
        <v>101</v>
      </c>
      <c r="K49" s="30" t="s">
        <v>94</v>
      </c>
      <c r="L49" s="32">
        <v>1</v>
      </c>
      <c r="M49" s="22">
        <v>1.3</v>
      </c>
      <c r="N49" s="31">
        <v>44691</v>
      </c>
      <c r="O49" s="30" t="s">
        <v>114</v>
      </c>
    </row>
    <row r="50" spans="2:15" s="30" customFormat="1" ht="15" customHeight="1" x14ac:dyDescent="0.25">
      <c r="B50" s="30" t="s">
        <v>169</v>
      </c>
      <c r="C50" s="30" t="s">
        <v>6</v>
      </c>
      <c r="D50" s="30" t="s">
        <v>11</v>
      </c>
      <c r="E50" s="30" t="s">
        <v>17</v>
      </c>
      <c r="F50" s="11"/>
      <c r="G50" s="30">
        <v>1</v>
      </c>
      <c r="H50" s="263" t="s">
        <v>399</v>
      </c>
      <c r="I50" s="20" t="s">
        <v>129</v>
      </c>
      <c r="J50" s="21" t="s">
        <v>410</v>
      </c>
      <c r="K50" s="30" t="s">
        <v>94</v>
      </c>
      <c r="L50" s="32">
        <v>1</v>
      </c>
      <c r="M50" s="22">
        <v>1.51</v>
      </c>
      <c r="N50" s="31">
        <v>44691</v>
      </c>
      <c r="O50" s="30" t="s">
        <v>114</v>
      </c>
    </row>
    <row r="51" spans="2:15" s="30" customFormat="1" ht="15" customHeight="1" x14ac:dyDescent="0.25">
      <c r="B51" s="30" t="s">
        <v>168</v>
      </c>
      <c r="C51" s="30" t="s">
        <v>6</v>
      </c>
      <c r="D51" s="30" t="s">
        <v>11</v>
      </c>
      <c r="E51" s="30" t="s">
        <v>17</v>
      </c>
      <c r="F51" s="11"/>
      <c r="G51" s="30">
        <v>1</v>
      </c>
      <c r="H51" s="263" t="s">
        <v>398</v>
      </c>
      <c r="I51" s="20" t="s">
        <v>129</v>
      </c>
      <c r="J51" s="21" t="s">
        <v>102</v>
      </c>
      <c r="K51" s="30" t="s">
        <v>94</v>
      </c>
      <c r="L51" s="32">
        <v>1</v>
      </c>
      <c r="M51" s="22">
        <v>4.46</v>
      </c>
      <c r="N51" s="31">
        <v>44691</v>
      </c>
      <c r="O51" s="30" t="s">
        <v>114</v>
      </c>
    </row>
    <row r="52" spans="2:15" s="30" customFormat="1" ht="25.5" customHeight="1" x14ac:dyDescent="0.25">
      <c r="B52" s="30" t="s">
        <v>168</v>
      </c>
      <c r="C52" s="30" t="s">
        <v>6</v>
      </c>
      <c r="D52" s="30" t="s">
        <v>11</v>
      </c>
      <c r="E52" s="30" t="s">
        <v>17</v>
      </c>
      <c r="F52" s="11"/>
      <c r="G52" s="30">
        <v>1</v>
      </c>
      <c r="H52" s="263" t="s">
        <v>398</v>
      </c>
      <c r="I52" s="20" t="s">
        <v>129</v>
      </c>
      <c r="J52" s="21" t="s">
        <v>103</v>
      </c>
      <c r="K52" s="30" t="s">
        <v>94</v>
      </c>
      <c r="L52" s="32">
        <v>1</v>
      </c>
      <c r="M52" s="22">
        <v>4.67</v>
      </c>
      <c r="N52" s="31">
        <v>44691</v>
      </c>
      <c r="O52" s="30" t="s">
        <v>114</v>
      </c>
    </row>
    <row r="53" spans="2:15" s="30" customFormat="1" ht="15" customHeight="1" x14ac:dyDescent="0.25">
      <c r="B53" s="30" t="s">
        <v>168</v>
      </c>
      <c r="C53" s="30" t="s">
        <v>6</v>
      </c>
      <c r="D53" s="30" t="s">
        <v>11</v>
      </c>
      <c r="E53" s="30" t="s">
        <v>17</v>
      </c>
      <c r="F53" s="11"/>
      <c r="G53" s="30">
        <v>1</v>
      </c>
      <c r="H53" s="263" t="s">
        <v>389</v>
      </c>
      <c r="I53" s="20" t="s">
        <v>129</v>
      </c>
      <c r="J53" s="21" t="s">
        <v>104</v>
      </c>
      <c r="K53" s="30" t="s">
        <v>94</v>
      </c>
      <c r="L53" s="32">
        <v>0</v>
      </c>
      <c r="M53" s="22">
        <v>1.06</v>
      </c>
      <c r="N53" s="31">
        <v>44691</v>
      </c>
      <c r="O53" s="30" t="s">
        <v>114</v>
      </c>
    </row>
    <row r="54" spans="2:15" s="30" customFormat="1" ht="15" customHeight="1" x14ac:dyDescent="0.25">
      <c r="B54" s="30" t="s">
        <v>169</v>
      </c>
      <c r="C54" s="30" t="s">
        <v>6</v>
      </c>
      <c r="D54" s="30" t="s">
        <v>11</v>
      </c>
      <c r="E54" s="30" t="s">
        <v>17</v>
      </c>
      <c r="F54" s="11"/>
      <c r="G54" s="30">
        <v>1</v>
      </c>
      <c r="H54" s="263" t="s">
        <v>388</v>
      </c>
      <c r="I54" s="20" t="s">
        <v>129</v>
      </c>
      <c r="J54" s="33" t="s">
        <v>429</v>
      </c>
      <c r="K54" s="30" t="s">
        <v>107</v>
      </c>
      <c r="L54" s="32">
        <v>1</v>
      </c>
      <c r="M54" s="22">
        <v>12.3</v>
      </c>
      <c r="N54" s="31">
        <v>44691</v>
      </c>
      <c r="O54" s="30" t="s">
        <v>114</v>
      </c>
    </row>
    <row r="55" spans="2:15" s="30" customFormat="1" ht="15" customHeight="1" x14ac:dyDescent="0.25">
      <c r="B55" s="30" t="s">
        <v>168</v>
      </c>
      <c r="C55" s="30" t="s">
        <v>6</v>
      </c>
      <c r="D55" s="30" t="s">
        <v>11</v>
      </c>
      <c r="E55" s="30" t="s">
        <v>17</v>
      </c>
      <c r="F55" s="11"/>
      <c r="G55" s="30">
        <v>1</v>
      </c>
      <c r="H55" s="263" t="s">
        <v>258</v>
      </c>
      <c r="I55" s="20" t="s">
        <v>129</v>
      </c>
      <c r="J55" s="21" t="s">
        <v>324</v>
      </c>
      <c r="K55" s="30" t="s">
        <v>94</v>
      </c>
      <c r="L55" s="32">
        <v>0</v>
      </c>
      <c r="M55" s="22">
        <v>2.68</v>
      </c>
      <c r="N55" s="31">
        <v>44691</v>
      </c>
      <c r="O55" s="30" t="s">
        <v>114</v>
      </c>
    </row>
    <row r="56" spans="2:15" s="30" customFormat="1" ht="15" customHeight="1" x14ac:dyDescent="0.25">
      <c r="B56" s="30" t="s">
        <v>168</v>
      </c>
      <c r="C56" s="30" t="s">
        <v>6</v>
      </c>
      <c r="D56" s="30" t="s">
        <v>11</v>
      </c>
      <c r="E56" s="30" t="s">
        <v>17</v>
      </c>
      <c r="F56" s="11"/>
      <c r="G56" s="30">
        <v>1</v>
      </c>
      <c r="H56" s="263" t="s">
        <v>258</v>
      </c>
      <c r="I56" s="20" t="s">
        <v>129</v>
      </c>
      <c r="J56" s="21" t="s">
        <v>260</v>
      </c>
      <c r="K56" s="30" t="s">
        <v>94</v>
      </c>
      <c r="L56" s="32">
        <v>0</v>
      </c>
      <c r="M56" s="22">
        <v>9</v>
      </c>
      <c r="N56" s="31">
        <v>44691</v>
      </c>
      <c r="O56" s="30" t="s">
        <v>114</v>
      </c>
    </row>
    <row r="57" spans="2:15" s="30" customFormat="1" ht="15" customHeight="1" x14ac:dyDescent="0.25">
      <c r="B57" s="30" t="s">
        <v>169</v>
      </c>
      <c r="C57" s="30" t="s">
        <v>6</v>
      </c>
      <c r="D57" s="30" t="s">
        <v>11</v>
      </c>
      <c r="E57" s="30" t="s">
        <v>17</v>
      </c>
      <c r="F57" s="11"/>
      <c r="G57" s="30">
        <v>1</v>
      </c>
      <c r="H57" s="263" t="s">
        <v>388</v>
      </c>
      <c r="I57" s="20" t="s">
        <v>129</v>
      </c>
      <c r="J57" s="33" t="s">
        <v>808</v>
      </c>
      <c r="K57" s="30" t="s">
        <v>107</v>
      </c>
      <c r="L57" s="32">
        <v>2</v>
      </c>
      <c r="M57" s="22">
        <v>8.4</v>
      </c>
      <c r="N57" s="31">
        <v>44691</v>
      </c>
      <c r="O57" s="30" t="s">
        <v>114</v>
      </c>
    </row>
    <row r="58" spans="2:15" s="30" customFormat="1" ht="15" customHeight="1" x14ac:dyDescent="0.25">
      <c r="B58" s="30" t="s">
        <v>169</v>
      </c>
      <c r="C58" s="30" t="s">
        <v>6</v>
      </c>
      <c r="D58" s="30" t="s">
        <v>11</v>
      </c>
      <c r="E58" s="30" t="s">
        <v>17</v>
      </c>
      <c r="F58" s="11"/>
      <c r="G58" s="30">
        <v>1</v>
      </c>
      <c r="H58" s="263" t="s">
        <v>388</v>
      </c>
      <c r="I58" s="20" t="s">
        <v>129</v>
      </c>
      <c r="J58" s="33" t="s">
        <v>847</v>
      </c>
      <c r="K58" s="30" t="s">
        <v>107</v>
      </c>
      <c r="L58" s="32">
        <v>2</v>
      </c>
      <c r="M58" s="22">
        <v>4.13</v>
      </c>
      <c r="N58" s="31">
        <v>44691</v>
      </c>
      <c r="O58" s="30" t="s">
        <v>114</v>
      </c>
    </row>
    <row r="59" spans="2:15" s="30" customFormat="1" ht="15" customHeight="1" x14ac:dyDescent="0.25">
      <c r="B59" s="30" t="s">
        <v>169</v>
      </c>
      <c r="C59" s="30" t="s">
        <v>6</v>
      </c>
      <c r="D59" s="30" t="s">
        <v>11</v>
      </c>
      <c r="E59" s="30" t="s">
        <v>17</v>
      </c>
      <c r="F59" s="11"/>
      <c r="G59" s="30">
        <v>1</v>
      </c>
      <c r="H59" s="263" t="s">
        <v>388</v>
      </c>
      <c r="I59" s="20" t="s">
        <v>129</v>
      </c>
      <c r="J59" s="33" t="s">
        <v>848</v>
      </c>
      <c r="K59" s="30" t="s">
        <v>107</v>
      </c>
      <c r="L59" s="32">
        <v>2</v>
      </c>
      <c r="M59" s="22">
        <v>5.77</v>
      </c>
      <c r="N59" s="31">
        <v>44691</v>
      </c>
      <c r="O59" s="30" t="s">
        <v>114</v>
      </c>
    </row>
    <row r="60" spans="2:15" s="30" customFormat="1" ht="15" customHeight="1" x14ac:dyDescent="0.25">
      <c r="B60" s="30" t="s">
        <v>169</v>
      </c>
      <c r="C60" s="30" t="s">
        <v>6</v>
      </c>
      <c r="D60" s="30" t="s">
        <v>11</v>
      </c>
      <c r="E60" s="30" t="s">
        <v>17</v>
      </c>
      <c r="F60" s="11"/>
      <c r="G60" s="30">
        <v>1</v>
      </c>
      <c r="H60" s="263" t="s">
        <v>388</v>
      </c>
      <c r="I60" s="20" t="s">
        <v>129</v>
      </c>
      <c r="J60" s="33" t="s">
        <v>849</v>
      </c>
      <c r="K60" s="30" t="s">
        <v>107</v>
      </c>
      <c r="L60" s="32">
        <v>2</v>
      </c>
      <c r="M60" s="22">
        <v>9.5399999999999991</v>
      </c>
      <c r="N60" s="31">
        <v>44691</v>
      </c>
      <c r="O60" s="30" t="s">
        <v>114</v>
      </c>
    </row>
    <row r="61" spans="2:15" s="30" customFormat="1" ht="15" customHeight="1" x14ac:dyDescent="0.25">
      <c r="B61" s="30" t="s">
        <v>169</v>
      </c>
      <c r="C61" s="30" t="s">
        <v>6</v>
      </c>
      <c r="D61" s="30" t="s">
        <v>11</v>
      </c>
      <c r="E61" s="30" t="s">
        <v>17</v>
      </c>
      <c r="F61" s="11"/>
      <c r="G61" s="30">
        <v>1</v>
      </c>
      <c r="H61" s="263" t="s">
        <v>388</v>
      </c>
      <c r="I61" s="20" t="s">
        <v>129</v>
      </c>
      <c r="J61" s="33" t="s">
        <v>850</v>
      </c>
      <c r="K61" s="30" t="s">
        <v>107</v>
      </c>
      <c r="L61" s="32">
        <v>2</v>
      </c>
      <c r="M61" s="22">
        <v>5.86</v>
      </c>
      <c r="N61" s="31">
        <v>44691</v>
      </c>
      <c r="O61" s="30" t="s">
        <v>114</v>
      </c>
    </row>
    <row r="62" spans="2:15" s="30" customFormat="1" ht="15" customHeight="1" x14ac:dyDescent="0.25">
      <c r="B62" s="30" t="s">
        <v>169</v>
      </c>
      <c r="C62" s="30" t="s">
        <v>6</v>
      </c>
      <c r="D62" s="30" t="s">
        <v>11</v>
      </c>
      <c r="E62" s="30" t="s">
        <v>17</v>
      </c>
      <c r="F62" s="11"/>
      <c r="G62" s="30">
        <v>1</v>
      </c>
      <c r="H62" s="263" t="s">
        <v>99</v>
      </c>
      <c r="I62" s="20" t="s">
        <v>129</v>
      </c>
      <c r="J62" s="33" t="s">
        <v>851</v>
      </c>
      <c r="K62" s="30" t="s">
        <v>107</v>
      </c>
      <c r="L62" s="32">
        <v>2</v>
      </c>
      <c r="M62" s="22">
        <v>16.739999999999998</v>
      </c>
      <c r="N62" s="31">
        <v>44691</v>
      </c>
      <c r="O62" s="30" t="s">
        <v>114</v>
      </c>
    </row>
    <row r="63" spans="2:15" s="30" customFormat="1" ht="15" customHeight="1" x14ac:dyDescent="0.25">
      <c r="B63" s="30" t="s">
        <v>169</v>
      </c>
      <c r="C63" s="30" t="s">
        <v>6</v>
      </c>
      <c r="D63" s="30" t="s">
        <v>11</v>
      </c>
      <c r="E63" s="30" t="s">
        <v>17</v>
      </c>
      <c r="F63" s="11"/>
      <c r="G63" s="30">
        <v>1</v>
      </c>
      <c r="H63" s="263" t="s">
        <v>23</v>
      </c>
      <c r="I63" s="20" t="s">
        <v>129</v>
      </c>
      <c r="J63" s="33" t="s">
        <v>846</v>
      </c>
      <c r="K63" s="30" t="s">
        <v>107</v>
      </c>
      <c r="L63" s="32">
        <v>2</v>
      </c>
      <c r="M63" s="22">
        <v>14.28</v>
      </c>
      <c r="N63" s="31">
        <v>44691</v>
      </c>
      <c r="O63" s="30" t="s">
        <v>114</v>
      </c>
    </row>
    <row r="64" spans="2:15" s="30" customFormat="1" ht="15" customHeight="1" x14ac:dyDescent="0.25">
      <c r="B64" s="30" t="s">
        <v>169</v>
      </c>
      <c r="C64" s="30" t="s">
        <v>6</v>
      </c>
      <c r="D64" s="30" t="s">
        <v>11</v>
      </c>
      <c r="E64" s="30" t="s">
        <v>17</v>
      </c>
      <c r="F64" s="11"/>
      <c r="G64" s="30">
        <v>1</v>
      </c>
      <c r="H64" s="263" t="s">
        <v>117</v>
      </c>
      <c r="I64" s="20" t="s">
        <v>129</v>
      </c>
      <c r="J64" s="33" t="s">
        <v>852</v>
      </c>
      <c r="K64" s="30" t="s">
        <v>107</v>
      </c>
      <c r="L64" s="32">
        <v>2</v>
      </c>
      <c r="M64" s="22">
        <v>19.12</v>
      </c>
      <c r="N64" s="31">
        <v>44691</v>
      </c>
      <c r="O64" s="30" t="s">
        <v>114</v>
      </c>
    </row>
    <row r="65" spans="1:15" s="30" customFormat="1" ht="15" customHeight="1" x14ac:dyDescent="0.25">
      <c r="B65" s="30" t="s">
        <v>169</v>
      </c>
      <c r="C65" s="30" t="s">
        <v>6</v>
      </c>
      <c r="D65" s="30" t="s">
        <v>11</v>
      </c>
      <c r="E65" s="30" t="s">
        <v>17</v>
      </c>
      <c r="F65" s="11"/>
      <c r="G65" s="30">
        <v>1</v>
      </c>
      <c r="H65" s="263" t="s">
        <v>23</v>
      </c>
      <c r="I65" s="20" t="s">
        <v>129</v>
      </c>
      <c r="J65" s="33" t="s">
        <v>853</v>
      </c>
      <c r="K65" s="30" t="s">
        <v>107</v>
      </c>
      <c r="L65" s="32">
        <v>2</v>
      </c>
      <c r="M65" s="22">
        <v>17.52</v>
      </c>
      <c r="N65" s="31">
        <v>44691</v>
      </c>
      <c r="O65" s="30" t="s">
        <v>114</v>
      </c>
    </row>
    <row r="66" spans="1:15" s="30" customFormat="1" ht="15" customHeight="1" x14ac:dyDescent="0.25">
      <c r="B66" s="30" t="s">
        <v>169</v>
      </c>
      <c r="C66" s="30" t="s">
        <v>6</v>
      </c>
      <c r="D66" s="30" t="s">
        <v>11</v>
      </c>
      <c r="E66" s="30" t="s">
        <v>17</v>
      </c>
      <c r="F66" s="11"/>
      <c r="G66" s="30">
        <v>1</v>
      </c>
      <c r="H66" s="263" t="s">
        <v>23</v>
      </c>
      <c r="I66" s="20" t="s">
        <v>129</v>
      </c>
      <c r="J66" s="33" t="s">
        <v>853</v>
      </c>
      <c r="K66" s="30" t="s">
        <v>107</v>
      </c>
      <c r="L66" s="32">
        <v>2</v>
      </c>
      <c r="M66" s="22">
        <v>15.35</v>
      </c>
      <c r="N66" s="31">
        <v>44691</v>
      </c>
      <c r="O66" s="30" t="s">
        <v>114</v>
      </c>
    </row>
    <row r="67" spans="1:15" s="30" customFormat="1" ht="15" customHeight="1" x14ac:dyDescent="0.25">
      <c r="B67" s="30" t="s">
        <v>169</v>
      </c>
      <c r="C67" s="30" t="s">
        <v>6</v>
      </c>
      <c r="D67" s="30" t="s">
        <v>11</v>
      </c>
      <c r="E67" s="30" t="s">
        <v>17</v>
      </c>
      <c r="F67" s="11"/>
      <c r="G67" s="30">
        <v>1</v>
      </c>
      <c r="H67" s="263" t="s">
        <v>23</v>
      </c>
      <c r="I67" s="20" t="s">
        <v>129</v>
      </c>
      <c r="J67" s="33" t="s">
        <v>853</v>
      </c>
      <c r="K67" s="30" t="s">
        <v>107</v>
      </c>
      <c r="L67" s="32">
        <v>2</v>
      </c>
      <c r="M67" s="22">
        <v>18.100000000000001</v>
      </c>
      <c r="N67" s="31">
        <v>44691</v>
      </c>
      <c r="O67" s="30" t="s">
        <v>114</v>
      </c>
    </row>
    <row r="68" spans="1:15" s="30" customFormat="1" ht="15" customHeight="1" x14ac:dyDescent="0.25">
      <c r="B68" s="30" t="s">
        <v>169</v>
      </c>
      <c r="C68" s="30" t="s">
        <v>6</v>
      </c>
      <c r="D68" s="30" t="s">
        <v>11</v>
      </c>
      <c r="E68" s="30" t="s">
        <v>17</v>
      </c>
      <c r="F68" s="11"/>
      <c r="G68" s="30">
        <v>1</v>
      </c>
      <c r="H68" s="263" t="s">
        <v>23</v>
      </c>
      <c r="I68" s="20" t="s">
        <v>129</v>
      </c>
      <c r="J68" s="33" t="s">
        <v>853</v>
      </c>
      <c r="K68" s="30" t="s">
        <v>107</v>
      </c>
      <c r="L68" s="32">
        <v>2</v>
      </c>
      <c r="M68" s="22">
        <v>20.059999999999999</v>
      </c>
      <c r="N68" s="31">
        <v>44691</v>
      </c>
      <c r="O68" s="30" t="s">
        <v>114</v>
      </c>
    </row>
    <row r="69" spans="1:15" s="30" customFormat="1" ht="15" customHeight="1" x14ac:dyDescent="0.25">
      <c r="B69" s="30" t="s">
        <v>169</v>
      </c>
      <c r="C69" s="30" t="s">
        <v>6</v>
      </c>
      <c r="D69" s="30" t="s">
        <v>11</v>
      </c>
      <c r="E69" s="30" t="s">
        <v>17</v>
      </c>
      <c r="F69" s="11"/>
      <c r="G69" s="30">
        <v>1</v>
      </c>
      <c r="H69" s="263" t="s">
        <v>394</v>
      </c>
      <c r="I69" s="20" t="s">
        <v>129</v>
      </c>
      <c r="J69" s="33" t="s">
        <v>854</v>
      </c>
      <c r="K69" s="30" t="s">
        <v>107</v>
      </c>
      <c r="L69" s="32">
        <v>2</v>
      </c>
      <c r="M69" s="22">
        <v>27.4</v>
      </c>
      <c r="N69" s="31">
        <v>44691</v>
      </c>
      <c r="O69" s="30" t="s">
        <v>114</v>
      </c>
    </row>
    <row r="70" spans="1:15" s="30" customFormat="1" ht="15" customHeight="1" x14ac:dyDescent="0.25">
      <c r="B70" s="30" t="s">
        <v>169</v>
      </c>
      <c r="C70" s="30" t="s">
        <v>6</v>
      </c>
      <c r="D70" s="30" t="s">
        <v>11</v>
      </c>
      <c r="E70" s="30" t="s">
        <v>17</v>
      </c>
      <c r="F70" s="11"/>
      <c r="G70" s="30">
        <v>1</v>
      </c>
      <c r="H70" s="263" t="s">
        <v>394</v>
      </c>
      <c r="I70" s="20" t="s">
        <v>129</v>
      </c>
      <c r="J70" s="33" t="s">
        <v>855</v>
      </c>
      <c r="K70" s="30" t="s">
        <v>107</v>
      </c>
      <c r="L70" s="32">
        <v>2</v>
      </c>
      <c r="M70" s="22">
        <v>34.92</v>
      </c>
      <c r="N70" s="31">
        <v>44691</v>
      </c>
      <c r="O70" s="30" t="s">
        <v>114</v>
      </c>
    </row>
    <row r="71" spans="1:15" s="30" customFormat="1" ht="15" customHeight="1" x14ac:dyDescent="0.25">
      <c r="B71" s="30" t="s">
        <v>168</v>
      </c>
      <c r="C71" s="30" t="s">
        <v>6</v>
      </c>
      <c r="D71" s="30" t="s">
        <v>11</v>
      </c>
      <c r="E71" s="30" t="s">
        <v>17</v>
      </c>
      <c r="F71" s="11"/>
      <c r="G71" s="30">
        <v>1</v>
      </c>
      <c r="H71" s="263" t="s">
        <v>23</v>
      </c>
      <c r="I71" s="21" t="s">
        <v>49</v>
      </c>
      <c r="J71" s="50" t="s">
        <v>919</v>
      </c>
      <c r="K71" s="30" t="s">
        <v>94</v>
      </c>
      <c r="L71" s="32">
        <v>3</v>
      </c>
      <c r="M71" s="22">
        <v>58</v>
      </c>
      <c r="N71" s="256">
        <v>45464</v>
      </c>
      <c r="O71" s="30" t="s">
        <v>114</v>
      </c>
    </row>
    <row r="72" spans="1:15" s="30" customFormat="1" ht="15" customHeight="1" x14ac:dyDescent="0.25">
      <c r="B72" s="30" t="s">
        <v>170</v>
      </c>
      <c r="C72" s="30" t="s">
        <v>6</v>
      </c>
      <c r="D72" s="30" t="s">
        <v>11</v>
      </c>
      <c r="E72" s="30" t="s">
        <v>17</v>
      </c>
      <c r="F72" s="11"/>
      <c r="G72" s="30">
        <v>1</v>
      </c>
      <c r="H72" s="263" t="s">
        <v>174</v>
      </c>
      <c r="I72" s="21" t="s">
        <v>68</v>
      </c>
      <c r="J72" s="21" t="s">
        <v>133</v>
      </c>
      <c r="K72" s="30" t="s">
        <v>94</v>
      </c>
      <c r="L72" s="32">
        <v>0</v>
      </c>
      <c r="M72" s="22">
        <v>28.41</v>
      </c>
      <c r="N72" s="31">
        <v>44691</v>
      </c>
      <c r="O72" s="30" t="s">
        <v>114</v>
      </c>
    </row>
    <row r="73" spans="1:15" s="30" customFormat="1" ht="30" customHeight="1" x14ac:dyDescent="0.25">
      <c r="B73" s="30" t="s">
        <v>170</v>
      </c>
      <c r="C73" s="30" t="s">
        <v>6</v>
      </c>
      <c r="D73" s="30" t="s">
        <v>11</v>
      </c>
      <c r="E73" s="30" t="s">
        <v>17</v>
      </c>
      <c r="F73" s="11"/>
      <c r="G73" s="19">
        <v>1</v>
      </c>
      <c r="H73" s="263" t="s">
        <v>193</v>
      </c>
      <c r="I73" s="21" t="s">
        <v>68</v>
      </c>
      <c r="J73" s="21" t="s">
        <v>433</v>
      </c>
      <c r="K73" s="21" t="s">
        <v>107</v>
      </c>
      <c r="L73" s="32">
        <v>50</v>
      </c>
      <c r="M73" s="34">
        <v>3138.69</v>
      </c>
      <c r="N73" s="31">
        <v>44691</v>
      </c>
      <c r="O73" s="30" t="s">
        <v>114</v>
      </c>
    </row>
    <row r="74" spans="1:15" s="30" customFormat="1" ht="28.5" customHeight="1" x14ac:dyDescent="0.25">
      <c r="B74" s="30" t="s">
        <v>168</v>
      </c>
      <c r="C74" s="30" t="s">
        <v>6</v>
      </c>
      <c r="D74" s="30" t="s">
        <v>11</v>
      </c>
      <c r="E74" s="30" t="s">
        <v>15</v>
      </c>
      <c r="F74" s="11" t="s">
        <v>139</v>
      </c>
      <c r="G74" s="30">
        <v>2</v>
      </c>
      <c r="H74" s="263" t="s">
        <v>23</v>
      </c>
      <c r="I74" s="21" t="s">
        <v>48</v>
      </c>
      <c r="J74" s="21" t="s">
        <v>950</v>
      </c>
      <c r="K74" s="30" t="s">
        <v>107</v>
      </c>
      <c r="L74" s="32">
        <v>5</v>
      </c>
      <c r="M74" s="22">
        <v>42.98</v>
      </c>
      <c r="N74" s="31">
        <v>45607</v>
      </c>
      <c r="O74" s="30" t="s">
        <v>114</v>
      </c>
    </row>
    <row r="75" spans="1:15" s="30" customFormat="1" ht="15" customHeight="1" x14ac:dyDescent="0.25">
      <c r="B75" s="30" t="s">
        <v>168</v>
      </c>
      <c r="C75" s="30" t="s">
        <v>6</v>
      </c>
      <c r="D75" s="30" t="s">
        <v>11</v>
      </c>
      <c r="E75" s="30" t="s">
        <v>15</v>
      </c>
      <c r="F75" s="11" t="s">
        <v>142</v>
      </c>
      <c r="G75" s="30">
        <v>2</v>
      </c>
      <c r="H75" s="263" t="s">
        <v>23</v>
      </c>
      <c r="I75" s="21" t="s">
        <v>58</v>
      </c>
      <c r="J75" s="21" t="s">
        <v>135</v>
      </c>
      <c r="K75" s="30" t="s">
        <v>107</v>
      </c>
      <c r="L75" s="32">
        <v>2</v>
      </c>
      <c r="M75" s="22">
        <v>23.84</v>
      </c>
      <c r="N75" s="31">
        <v>44694</v>
      </c>
      <c r="O75" s="30" t="s">
        <v>114</v>
      </c>
    </row>
    <row r="76" spans="1:15" s="30" customFormat="1" ht="27.75" customHeight="1" x14ac:dyDescent="0.25">
      <c r="A76" s="30">
        <v>1</v>
      </c>
      <c r="B76" s="30" t="s">
        <v>165</v>
      </c>
      <c r="C76" s="30" t="s">
        <v>6</v>
      </c>
      <c r="D76" s="30" t="s">
        <v>11</v>
      </c>
      <c r="E76" s="30" t="s">
        <v>15</v>
      </c>
      <c r="F76" s="11" t="s">
        <v>261</v>
      </c>
      <c r="G76" s="30">
        <v>2</v>
      </c>
      <c r="H76" s="263" t="s">
        <v>26</v>
      </c>
      <c r="I76" s="21" t="s">
        <v>32</v>
      </c>
      <c r="J76" s="21" t="s">
        <v>138</v>
      </c>
      <c r="K76" s="30" t="s">
        <v>107</v>
      </c>
      <c r="L76" s="32">
        <v>28</v>
      </c>
      <c r="M76" s="22">
        <v>32.74</v>
      </c>
      <c r="N76" s="31">
        <v>44694</v>
      </c>
      <c r="O76" s="30" t="s">
        <v>114</v>
      </c>
    </row>
    <row r="77" spans="1:15" s="30" customFormat="1" ht="15" customHeight="1" x14ac:dyDescent="0.25">
      <c r="A77" s="30">
        <v>2</v>
      </c>
      <c r="B77" s="30" t="s">
        <v>165</v>
      </c>
      <c r="C77" s="30" t="s">
        <v>6</v>
      </c>
      <c r="D77" s="30" t="s">
        <v>11</v>
      </c>
      <c r="E77" s="30" t="s">
        <v>15</v>
      </c>
      <c r="F77" s="11" t="s">
        <v>141</v>
      </c>
      <c r="G77" s="30">
        <v>2</v>
      </c>
      <c r="H77" s="263" t="s">
        <v>26</v>
      </c>
      <c r="I77" s="21" t="s">
        <v>32</v>
      </c>
      <c r="J77" s="21" t="s">
        <v>138</v>
      </c>
      <c r="K77" s="30" t="s">
        <v>107</v>
      </c>
      <c r="L77" s="32">
        <v>43</v>
      </c>
      <c r="M77" s="22">
        <v>55.89</v>
      </c>
      <c r="N77" s="31">
        <v>44694</v>
      </c>
      <c r="O77" s="30" t="s">
        <v>114</v>
      </c>
    </row>
    <row r="78" spans="1:15" s="30" customFormat="1" ht="15" customHeight="1" x14ac:dyDescent="0.25">
      <c r="A78" s="30">
        <v>3</v>
      </c>
      <c r="B78" s="30" t="s">
        <v>165</v>
      </c>
      <c r="C78" s="30" t="s">
        <v>6</v>
      </c>
      <c r="D78" s="30" t="s">
        <v>11</v>
      </c>
      <c r="E78" s="30" t="s">
        <v>15</v>
      </c>
      <c r="F78" s="11" t="s">
        <v>140</v>
      </c>
      <c r="G78" s="30">
        <v>2</v>
      </c>
      <c r="H78" s="263" t="s">
        <v>26</v>
      </c>
      <c r="I78" s="21" t="s">
        <v>32</v>
      </c>
      <c r="J78" s="21" t="s">
        <v>138</v>
      </c>
      <c r="K78" s="30" t="s">
        <v>107</v>
      </c>
      <c r="L78" s="32">
        <v>35</v>
      </c>
      <c r="M78" s="22">
        <v>37.630000000000003</v>
      </c>
      <c r="N78" s="31">
        <v>44694</v>
      </c>
      <c r="O78" s="30" t="s">
        <v>114</v>
      </c>
    </row>
    <row r="79" spans="1:15" s="30" customFormat="1" ht="15" customHeight="1" x14ac:dyDescent="0.25">
      <c r="A79" s="30">
        <v>4</v>
      </c>
      <c r="B79" s="30" t="s">
        <v>165</v>
      </c>
      <c r="C79" s="30" t="s">
        <v>6</v>
      </c>
      <c r="D79" s="30" t="s">
        <v>11</v>
      </c>
      <c r="E79" s="30" t="s">
        <v>15</v>
      </c>
      <c r="F79" s="11" t="s">
        <v>144</v>
      </c>
      <c r="G79" s="30">
        <v>2</v>
      </c>
      <c r="H79" s="263" t="s">
        <v>26</v>
      </c>
      <c r="I79" s="21" t="s">
        <v>32</v>
      </c>
      <c r="J79" s="21" t="s">
        <v>138</v>
      </c>
      <c r="K79" s="30" t="s">
        <v>107</v>
      </c>
      <c r="L79" s="32">
        <v>55</v>
      </c>
      <c r="M79" s="22">
        <v>57.91</v>
      </c>
      <c r="N79" s="31">
        <v>44694</v>
      </c>
      <c r="O79" s="30" t="s">
        <v>114</v>
      </c>
    </row>
    <row r="80" spans="1:15" s="30" customFormat="1" ht="15" customHeight="1" x14ac:dyDescent="0.25">
      <c r="A80" s="30">
        <v>5</v>
      </c>
      <c r="B80" s="30" t="s">
        <v>165</v>
      </c>
      <c r="C80" s="30" t="s">
        <v>6</v>
      </c>
      <c r="D80" s="30" t="s">
        <v>11</v>
      </c>
      <c r="E80" s="30" t="s">
        <v>15</v>
      </c>
      <c r="F80" s="11" t="s">
        <v>145</v>
      </c>
      <c r="G80" s="30">
        <v>2</v>
      </c>
      <c r="H80" s="263" t="s">
        <v>26</v>
      </c>
      <c r="I80" s="21" t="s">
        <v>32</v>
      </c>
      <c r="J80" s="21" t="s">
        <v>138</v>
      </c>
      <c r="K80" s="30" t="s">
        <v>107</v>
      </c>
      <c r="L80" s="32">
        <v>55</v>
      </c>
      <c r="M80" s="22">
        <v>62.62</v>
      </c>
      <c r="N80" s="31">
        <v>44694</v>
      </c>
      <c r="O80" s="30" t="s">
        <v>114</v>
      </c>
    </row>
    <row r="81" spans="1:15" s="30" customFormat="1" ht="15" customHeight="1" x14ac:dyDescent="0.25">
      <c r="A81" s="30">
        <v>1</v>
      </c>
      <c r="B81" s="30" t="s">
        <v>165</v>
      </c>
      <c r="C81" s="30" t="s">
        <v>6</v>
      </c>
      <c r="D81" s="30" t="s">
        <v>11</v>
      </c>
      <c r="E81" s="30" t="s">
        <v>15</v>
      </c>
      <c r="F81" s="11"/>
      <c r="G81" s="30">
        <v>2</v>
      </c>
      <c r="H81" s="263" t="s">
        <v>23</v>
      </c>
      <c r="I81" s="21" t="s">
        <v>33</v>
      </c>
      <c r="J81" s="21" t="s">
        <v>789</v>
      </c>
      <c r="K81" s="30" t="s">
        <v>107</v>
      </c>
      <c r="L81" s="32">
        <v>40</v>
      </c>
      <c r="M81" s="22">
        <v>44.16</v>
      </c>
      <c r="N81" s="31">
        <v>44694</v>
      </c>
      <c r="O81" s="30" t="s">
        <v>114</v>
      </c>
    </row>
    <row r="82" spans="1:15" s="30" customFormat="1" ht="15" customHeight="1" x14ac:dyDescent="0.25">
      <c r="A82" s="30">
        <v>1</v>
      </c>
      <c r="B82" s="30" t="s">
        <v>165</v>
      </c>
      <c r="C82" s="30" t="s">
        <v>6</v>
      </c>
      <c r="D82" s="30" t="s">
        <v>11</v>
      </c>
      <c r="E82" s="30" t="s">
        <v>15</v>
      </c>
      <c r="F82" s="11"/>
      <c r="G82" s="30">
        <v>2</v>
      </c>
      <c r="H82" s="263" t="s">
        <v>23</v>
      </c>
      <c r="I82" s="21" t="s">
        <v>33</v>
      </c>
      <c r="J82" s="21" t="s">
        <v>789</v>
      </c>
      <c r="K82" s="30" t="s">
        <v>107</v>
      </c>
      <c r="L82" s="32">
        <v>40</v>
      </c>
      <c r="M82" s="22">
        <v>43.24</v>
      </c>
      <c r="N82" s="31">
        <v>44694</v>
      </c>
      <c r="O82" s="30" t="s">
        <v>114</v>
      </c>
    </row>
    <row r="83" spans="1:15" s="30" customFormat="1" ht="15" customHeight="1" x14ac:dyDescent="0.25">
      <c r="A83" s="30">
        <v>1</v>
      </c>
      <c r="B83" s="30" t="s">
        <v>165</v>
      </c>
      <c r="C83" s="30" t="s">
        <v>6</v>
      </c>
      <c r="D83" s="30" t="s">
        <v>11</v>
      </c>
      <c r="E83" s="30" t="s">
        <v>15</v>
      </c>
      <c r="F83" s="11"/>
      <c r="G83" s="30">
        <v>2</v>
      </c>
      <c r="H83" s="263" t="s">
        <v>396</v>
      </c>
      <c r="I83" s="21" t="s">
        <v>33</v>
      </c>
      <c r="J83" s="21" t="s">
        <v>790</v>
      </c>
      <c r="K83" s="30" t="s">
        <v>107</v>
      </c>
      <c r="L83" s="32">
        <v>40</v>
      </c>
      <c r="M83" s="22">
        <v>43.77</v>
      </c>
      <c r="N83" s="31">
        <v>44694</v>
      </c>
      <c r="O83" s="30" t="s">
        <v>114</v>
      </c>
    </row>
    <row r="84" spans="1:15" s="30" customFormat="1" ht="15" customHeight="1" x14ac:dyDescent="0.25">
      <c r="A84" s="30">
        <v>1</v>
      </c>
      <c r="B84" s="30" t="s">
        <v>165</v>
      </c>
      <c r="C84" s="30" t="s">
        <v>6</v>
      </c>
      <c r="D84" s="30" t="s">
        <v>11</v>
      </c>
      <c r="E84" s="30" t="s">
        <v>15</v>
      </c>
      <c r="F84" s="11"/>
      <c r="G84" s="30">
        <v>2</v>
      </c>
      <c r="H84" s="263" t="s">
        <v>396</v>
      </c>
      <c r="I84" s="21" t="s">
        <v>33</v>
      </c>
      <c r="J84" s="21" t="s">
        <v>790</v>
      </c>
      <c r="K84" s="30" t="s">
        <v>107</v>
      </c>
      <c r="L84" s="32">
        <v>46</v>
      </c>
      <c r="M84" s="22">
        <v>49.25</v>
      </c>
      <c r="N84" s="31">
        <v>44694</v>
      </c>
      <c r="O84" s="30" t="s">
        <v>114</v>
      </c>
    </row>
    <row r="85" spans="1:15" s="30" customFormat="1" ht="15" customHeight="1" x14ac:dyDescent="0.25">
      <c r="A85" s="30">
        <v>1</v>
      </c>
      <c r="B85" s="30" t="s">
        <v>165</v>
      </c>
      <c r="C85" s="30" t="s">
        <v>6</v>
      </c>
      <c r="D85" s="30" t="s">
        <v>11</v>
      </c>
      <c r="E85" s="30" t="s">
        <v>15</v>
      </c>
      <c r="F85" s="11"/>
      <c r="G85" s="30">
        <v>2</v>
      </c>
      <c r="H85" s="263" t="s">
        <v>27</v>
      </c>
      <c r="I85" s="21" t="s">
        <v>33</v>
      </c>
      <c r="J85" s="262" t="s">
        <v>233</v>
      </c>
      <c r="K85" s="30" t="s">
        <v>107</v>
      </c>
      <c r="L85" s="32">
        <v>38</v>
      </c>
      <c r="M85" s="22">
        <v>37.090000000000003</v>
      </c>
      <c r="N85" s="31">
        <v>44694</v>
      </c>
      <c r="O85" s="30" t="s">
        <v>114</v>
      </c>
    </row>
    <row r="86" spans="1:15" s="30" customFormat="1" ht="27" customHeight="1" x14ac:dyDescent="0.25">
      <c r="A86" s="30">
        <v>1</v>
      </c>
      <c r="B86" s="30" t="s">
        <v>168</v>
      </c>
      <c r="C86" s="30" t="s">
        <v>6</v>
      </c>
      <c r="D86" s="30" t="s">
        <v>11</v>
      </c>
      <c r="E86" s="30" t="s">
        <v>15</v>
      </c>
      <c r="F86" s="11"/>
      <c r="G86" s="30">
        <v>2</v>
      </c>
      <c r="H86" s="263" t="s">
        <v>23</v>
      </c>
      <c r="I86" s="21" t="s">
        <v>33</v>
      </c>
      <c r="J86" s="21" t="s">
        <v>952</v>
      </c>
      <c r="K86" s="30" t="s">
        <v>107</v>
      </c>
      <c r="L86" s="32">
        <v>2</v>
      </c>
      <c r="M86" s="22">
        <v>14.64</v>
      </c>
      <c r="N86" s="31">
        <v>44694</v>
      </c>
      <c r="O86" s="30" t="s">
        <v>114</v>
      </c>
    </row>
    <row r="87" spans="1:15" s="30" customFormat="1" ht="27" customHeight="1" x14ac:dyDescent="0.25">
      <c r="A87" s="30">
        <v>1</v>
      </c>
      <c r="B87" s="30" t="s">
        <v>168</v>
      </c>
      <c r="C87" s="30" t="s">
        <v>6</v>
      </c>
      <c r="D87" s="30" t="s">
        <v>11</v>
      </c>
      <c r="E87" s="30" t="s">
        <v>15</v>
      </c>
      <c r="F87" s="11"/>
      <c r="G87" s="30">
        <v>2</v>
      </c>
      <c r="H87" s="263" t="s">
        <v>23</v>
      </c>
      <c r="I87" s="21" t="s">
        <v>33</v>
      </c>
      <c r="J87" s="21" t="s">
        <v>951</v>
      </c>
      <c r="K87" s="30" t="s">
        <v>107</v>
      </c>
      <c r="L87" s="32">
        <v>2</v>
      </c>
      <c r="M87" s="22">
        <v>16.933</v>
      </c>
      <c r="N87" s="31">
        <v>45607</v>
      </c>
      <c r="O87" s="30" t="s">
        <v>114</v>
      </c>
    </row>
    <row r="88" spans="1:15" s="30" customFormat="1" ht="27" customHeight="1" x14ac:dyDescent="0.25">
      <c r="A88" s="30">
        <v>1</v>
      </c>
      <c r="B88" s="30" t="s">
        <v>168</v>
      </c>
      <c r="C88" s="30" t="s">
        <v>6</v>
      </c>
      <c r="D88" s="30" t="s">
        <v>11</v>
      </c>
      <c r="E88" s="30" t="s">
        <v>15</v>
      </c>
      <c r="F88" s="11"/>
      <c r="G88" s="30">
        <v>2</v>
      </c>
      <c r="H88" s="263" t="s">
        <v>390</v>
      </c>
      <c r="I88" s="21" t="s">
        <v>33</v>
      </c>
      <c r="J88" s="21" t="s">
        <v>770</v>
      </c>
      <c r="K88" s="30" t="s">
        <v>107</v>
      </c>
      <c r="L88" s="32">
        <v>1</v>
      </c>
      <c r="M88" s="22">
        <v>8.42</v>
      </c>
      <c r="N88" s="31">
        <v>44694</v>
      </c>
      <c r="O88" s="30" t="s">
        <v>114</v>
      </c>
    </row>
    <row r="89" spans="1:15" s="30" customFormat="1" ht="27" customHeight="1" x14ac:dyDescent="0.25">
      <c r="A89" s="30">
        <v>1</v>
      </c>
      <c r="B89" s="30" t="s">
        <v>168</v>
      </c>
      <c r="C89" s="30" t="s">
        <v>6</v>
      </c>
      <c r="D89" s="30" t="s">
        <v>11</v>
      </c>
      <c r="E89" s="30" t="s">
        <v>15</v>
      </c>
      <c r="F89" s="11"/>
      <c r="G89" s="30">
        <v>2</v>
      </c>
      <c r="H89" s="263" t="s">
        <v>23</v>
      </c>
      <c r="I89" s="20" t="s">
        <v>33</v>
      </c>
      <c r="J89" s="21" t="s">
        <v>769</v>
      </c>
      <c r="K89" s="30" t="s">
        <v>107</v>
      </c>
      <c r="L89" s="32">
        <v>2</v>
      </c>
      <c r="M89" s="22">
        <v>25.56</v>
      </c>
      <c r="N89" s="31">
        <v>44694</v>
      </c>
      <c r="O89" s="30" t="s">
        <v>114</v>
      </c>
    </row>
    <row r="90" spans="1:15" s="30" customFormat="1" ht="27" customHeight="1" x14ac:dyDescent="0.25">
      <c r="A90" s="30">
        <v>1</v>
      </c>
      <c r="B90" s="30" t="s">
        <v>168</v>
      </c>
      <c r="C90" s="30" t="s">
        <v>6</v>
      </c>
      <c r="D90" s="30" t="s">
        <v>11</v>
      </c>
      <c r="E90" s="30" t="s">
        <v>15</v>
      </c>
      <c r="F90" s="11"/>
      <c r="G90" s="30">
        <v>2</v>
      </c>
      <c r="H90" s="263" t="s">
        <v>398</v>
      </c>
      <c r="I90" s="20" t="s">
        <v>33</v>
      </c>
      <c r="J90" s="21" t="s">
        <v>792</v>
      </c>
      <c r="K90" s="30" t="s">
        <v>94</v>
      </c>
      <c r="L90" s="32">
        <v>0</v>
      </c>
      <c r="M90" s="22">
        <v>13.1</v>
      </c>
      <c r="N90" s="31">
        <v>44694</v>
      </c>
      <c r="O90" s="30" t="s">
        <v>114</v>
      </c>
    </row>
    <row r="91" spans="1:15" s="30" customFormat="1" ht="27" customHeight="1" x14ac:dyDescent="0.25">
      <c r="A91" s="30">
        <v>1</v>
      </c>
      <c r="B91" s="30" t="s">
        <v>168</v>
      </c>
      <c r="C91" s="30" t="s">
        <v>6</v>
      </c>
      <c r="D91" s="30" t="s">
        <v>11</v>
      </c>
      <c r="E91" s="30" t="s">
        <v>15</v>
      </c>
      <c r="F91" s="11"/>
      <c r="G91" s="30">
        <v>2</v>
      </c>
      <c r="H91" s="263" t="s">
        <v>23</v>
      </c>
      <c r="I91" s="283" t="s">
        <v>33</v>
      </c>
      <c r="J91" s="262" t="s">
        <v>771</v>
      </c>
      <c r="K91" s="263" t="s">
        <v>107</v>
      </c>
      <c r="L91" s="32">
        <v>10</v>
      </c>
      <c r="M91" s="22">
        <v>32.049999999999997</v>
      </c>
      <c r="N91" s="31">
        <v>44694</v>
      </c>
      <c r="O91" s="30" t="s">
        <v>114</v>
      </c>
    </row>
    <row r="92" spans="1:15" s="30" customFormat="1" ht="27" customHeight="1" x14ac:dyDescent="0.25">
      <c r="A92" s="30">
        <v>1</v>
      </c>
      <c r="B92" s="30" t="s">
        <v>168</v>
      </c>
      <c r="C92" s="30" t="s">
        <v>6</v>
      </c>
      <c r="D92" s="30" t="s">
        <v>11</v>
      </c>
      <c r="E92" s="30" t="s">
        <v>15</v>
      </c>
      <c r="F92" s="11"/>
      <c r="G92" s="30">
        <v>2</v>
      </c>
      <c r="H92" s="263" t="s">
        <v>389</v>
      </c>
      <c r="I92" s="20" t="s">
        <v>33</v>
      </c>
      <c r="J92" s="21" t="s">
        <v>606</v>
      </c>
      <c r="K92" s="30" t="s">
        <v>107</v>
      </c>
      <c r="L92" s="32"/>
      <c r="M92" s="22">
        <v>9.85</v>
      </c>
      <c r="N92" s="31">
        <v>44694</v>
      </c>
      <c r="O92" s="30" t="s">
        <v>114</v>
      </c>
    </row>
    <row r="93" spans="1:15" s="30" customFormat="1" ht="27" customHeight="1" x14ac:dyDescent="0.25">
      <c r="A93" s="30">
        <v>1</v>
      </c>
      <c r="B93" s="30" t="s">
        <v>168</v>
      </c>
      <c r="C93" s="30" t="s">
        <v>6</v>
      </c>
      <c r="D93" s="30" t="s">
        <v>11</v>
      </c>
      <c r="E93" s="30" t="s">
        <v>15</v>
      </c>
      <c r="F93" s="11"/>
      <c r="G93" s="30">
        <v>2</v>
      </c>
      <c r="H93" s="263" t="s">
        <v>23</v>
      </c>
      <c r="I93" s="20" t="s">
        <v>33</v>
      </c>
      <c r="J93" s="21" t="s">
        <v>953</v>
      </c>
      <c r="K93" s="30" t="s">
        <v>107</v>
      </c>
      <c r="L93" s="32">
        <v>417</v>
      </c>
      <c r="M93" s="22">
        <v>17.72</v>
      </c>
      <c r="N93" s="31">
        <v>44694</v>
      </c>
      <c r="O93" s="30" t="s">
        <v>114</v>
      </c>
    </row>
    <row r="94" spans="1:15" s="30" customFormat="1" ht="15" customHeight="1" x14ac:dyDescent="0.25">
      <c r="A94" s="30">
        <v>1</v>
      </c>
      <c r="B94" s="30" t="s">
        <v>165</v>
      </c>
      <c r="C94" s="30" t="s">
        <v>6</v>
      </c>
      <c r="D94" s="30" t="s">
        <v>11</v>
      </c>
      <c r="E94" s="30" t="s">
        <v>15</v>
      </c>
      <c r="F94" s="11" t="s">
        <v>143</v>
      </c>
      <c r="G94" s="30">
        <v>2</v>
      </c>
      <c r="H94" s="263" t="s">
        <v>396</v>
      </c>
      <c r="I94" s="21" t="s">
        <v>58</v>
      </c>
      <c r="J94" s="21" t="s">
        <v>137</v>
      </c>
      <c r="K94" s="30" t="s">
        <v>90</v>
      </c>
      <c r="L94" s="32">
        <v>30</v>
      </c>
      <c r="M94" s="22">
        <v>56.99</v>
      </c>
      <c r="N94" s="31">
        <v>44694</v>
      </c>
      <c r="O94" s="30" t="s">
        <v>114</v>
      </c>
    </row>
    <row r="95" spans="1:15" s="30" customFormat="1" ht="15" customHeight="1" x14ac:dyDescent="0.25">
      <c r="A95" s="30">
        <v>1</v>
      </c>
      <c r="B95" s="30" t="s">
        <v>165</v>
      </c>
      <c r="C95" s="30" t="s">
        <v>6</v>
      </c>
      <c r="D95" s="30" t="s">
        <v>11</v>
      </c>
      <c r="E95" s="30" t="s">
        <v>15</v>
      </c>
      <c r="F95" s="11" t="s">
        <v>146</v>
      </c>
      <c r="G95" s="30">
        <v>2</v>
      </c>
      <c r="H95" s="263" t="s">
        <v>23</v>
      </c>
      <c r="I95" s="21" t="s">
        <v>33</v>
      </c>
      <c r="J95" s="21" t="s">
        <v>774</v>
      </c>
      <c r="K95" s="30" t="s">
        <v>90</v>
      </c>
      <c r="L95" s="32">
        <v>40</v>
      </c>
      <c r="M95" s="22">
        <v>23.55</v>
      </c>
      <c r="N95" s="31">
        <v>44694</v>
      </c>
      <c r="O95" s="30" t="s">
        <v>114</v>
      </c>
    </row>
    <row r="96" spans="1:15" s="30" customFormat="1" ht="15" customHeight="1" x14ac:dyDescent="0.25">
      <c r="A96" s="30">
        <v>1</v>
      </c>
      <c r="B96" s="30" t="s">
        <v>165</v>
      </c>
      <c r="C96" s="30" t="s">
        <v>6</v>
      </c>
      <c r="D96" s="30" t="s">
        <v>11</v>
      </c>
      <c r="E96" s="30" t="s">
        <v>15</v>
      </c>
      <c r="F96" s="11"/>
      <c r="H96" s="263" t="s">
        <v>23</v>
      </c>
      <c r="I96" s="21" t="s">
        <v>33</v>
      </c>
      <c r="J96" s="21" t="s">
        <v>954</v>
      </c>
      <c r="K96" s="30" t="s">
        <v>90</v>
      </c>
      <c r="L96" s="32"/>
      <c r="M96" s="22">
        <v>23.78</v>
      </c>
      <c r="N96" s="31"/>
      <c r="O96" s="30" t="s">
        <v>114</v>
      </c>
    </row>
    <row r="97" spans="1:15" s="30" customFormat="1" ht="15" customHeight="1" x14ac:dyDescent="0.25">
      <c r="A97" s="30">
        <v>6</v>
      </c>
      <c r="B97" s="30" t="s">
        <v>165</v>
      </c>
      <c r="C97" s="30" t="s">
        <v>6</v>
      </c>
      <c r="D97" s="30" t="s">
        <v>11</v>
      </c>
      <c r="E97" s="30" t="s">
        <v>15</v>
      </c>
      <c r="F97" s="11" t="s">
        <v>147</v>
      </c>
      <c r="G97" s="30">
        <v>2</v>
      </c>
      <c r="H97" s="263" t="s">
        <v>26</v>
      </c>
      <c r="I97" s="21" t="s">
        <v>32</v>
      </c>
      <c r="J97" s="21" t="s">
        <v>138</v>
      </c>
      <c r="K97" s="30" t="s">
        <v>90</v>
      </c>
      <c r="L97" s="32">
        <v>40</v>
      </c>
      <c r="M97" s="22">
        <v>57.33</v>
      </c>
      <c r="N97" s="31">
        <v>44694</v>
      </c>
      <c r="O97" s="30" t="s">
        <v>114</v>
      </c>
    </row>
    <row r="98" spans="1:15" s="30" customFormat="1" ht="15" customHeight="1" x14ac:dyDescent="0.25">
      <c r="A98" s="30">
        <v>7</v>
      </c>
      <c r="B98" s="30" t="s">
        <v>165</v>
      </c>
      <c r="C98" s="30" t="s">
        <v>6</v>
      </c>
      <c r="D98" s="30" t="s">
        <v>11</v>
      </c>
      <c r="E98" s="30" t="s">
        <v>15</v>
      </c>
      <c r="F98" s="11" t="s">
        <v>148</v>
      </c>
      <c r="G98" s="30">
        <v>2</v>
      </c>
      <c r="H98" s="263" t="s">
        <v>26</v>
      </c>
      <c r="I98" s="21" t="s">
        <v>32</v>
      </c>
      <c r="J98" s="21" t="s">
        <v>138</v>
      </c>
      <c r="K98" s="30" t="s">
        <v>90</v>
      </c>
      <c r="L98" s="32">
        <v>54</v>
      </c>
      <c r="M98" s="22">
        <v>60.03</v>
      </c>
      <c r="N98" s="31">
        <v>44694</v>
      </c>
      <c r="O98" s="30" t="s">
        <v>114</v>
      </c>
    </row>
    <row r="99" spans="1:15" s="30" customFormat="1" ht="15" customHeight="1" x14ac:dyDescent="0.25">
      <c r="A99" s="30">
        <v>1</v>
      </c>
      <c r="B99" s="30" t="s">
        <v>169</v>
      </c>
      <c r="C99" s="30" t="s">
        <v>6</v>
      </c>
      <c r="D99" s="30" t="s">
        <v>11</v>
      </c>
      <c r="E99" s="30" t="s">
        <v>15</v>
      </c>
      <c r="F99" s="11"/>
      <c r="G99" s="30">
        <v>2</v>
      </c>
      <c r="H99" s="263" t="s">
        <v>391</v>
      </c>
      <c r="I99" s="21" t="s">
        <v>68</v>
      </c>
      <c r="J99" s="21" t="s">
        <v>134</v>
      </c>
      <c r="K99" s="30" t="s">
        <v>107</v>
      </c>
      <c r="L99" s="32">
        <v>20</v>
      </c>
      <c r="M99" s="22">
        <v>30.38</v>
      </c>
      <c r="N99" s="31">
        <v>44694</v>
      </c>
      <c r="O99" s="30" t="s">
        <v>114</v>
      </c>
    </row>
    <row r="100" spans="1:15" s="30" customFormat="1" ht="15" customHeight="1" x14ac:dyDescent="0.25">
      <c r="A100" s="30">
        <v>1</v>
      </c>
      <c r="B100" s="30" t="s">
        <v>170</v>
      </c>
      <c r="C100" s="30" t="s">
        <v>6</v>
      </c>
      <c r="D100" s="30" t="s">
        <v>11</v>
      </c>
      <c r="E100" s="30" t="s">
        <v>15</v>
      </c>
      <c r="F100" s="11"/>
      <c r="G100" s="30">
        <v>2</v>
      </c>
      <c r="H100" s="263" t="s">
        <v>394</v>
      </c>
      <c r="I100" s="21" t="s">
        <v>68</v>
      </c>
      <c r="J100" s="21" t="s">
        <v>133</v>
      </c>
      <c r="K100" s="30" t="s">
        <v>94</v>
      </c>
      <c r="L100" s="32">
        <v>0</v>
      </c>
      <c r="M100" s="22">
        <v>19.21</v>
      </c>
      <c r="N100" s="31">
        <v>44694</v>
      </c>
      <c r="O100" s="30" t="s">
        <v>114</v>
      </c>
    </row>
    <row r="101" spans="1:15" s="30" customFormat="1" ht="15" customHeight="1" x14ac:dyDescent="0.25">
      <c r="A101" s="30">
        <v>1</v>
      </c>
      <c r="B101" s="30" t="s">
        <v>170</v>
      </c>
      <c r="C101" s="30" t="s">
        <v>6</v>
      </c>
      <c r="D101" s="30" t="s">
        <v>11</v>
      </c>
      <c r="E101" s="30" t="s">
        <v>15</v>
      </c>
      <c r="F101" s="11"/>
      <c r="G101" s="30">
        <v>2</v>
      </c>
      <c r="H101" s="263" t="s">
        <v>394</v>
      </c>
      <c r="I101" s="21" t="s">
        <v>68</v>
      </c>
      <c r="J101" s="21" t="s">
        <v>98</v>
      </c>
      <c r="K101" s="30" t="s">
        <v>94</v>
      </c>
      <c r="L101" s="32">
        <v>0</v>
      </c>
      <c r="M101" s="22">
        <v>210.05</v>
      </c>
      <c r="N101" s="31">
        <v>44694</v>
      </c>
      <c r="O101" s="30" t="s">
        <v>114</v>
      </c>
    </row>
    <row r="102" spans="1:15" s="30" customFormat="1" ht="15" customHeight="1" x14ac:dyDescent="0.25">
      <c r="A102" s="30">
        <v>1</v>
      </c>
      <c r="B102" s="30" t="s">
        <v>170</v>
      </c>
      <c r="C102" s="30" t="s">
        <v>6</v>
      </c>
      <c r="D102" s="30" t="s">
        <v>11</v>
      </c>
      <c r="E102" s="30" t="s">
        <v>15</v>
      </c>
      <c r="F102" s="11"/>
      <c r="G102" s="30">
        <v>2</v>
      </c>
      <c r="H102" s="263" t="s">
        <v>394</v>
      </c>
      <c r="I102" s="21" t="s">
        <v>68</v>
      </c>
      <c r="J102" s="21" t="s">
        <v>264</v>
      </c>
      <c r="K102" s="30" t="s">
        <v>94</v>
      </c>
      <c r="L102" s="32">
        <v>0</v>
      </c>
      <c r="M102" s="22">
        <v>5.65</v>
      </c>
      <c r="N102" s="31">
        <v>44694</v>
      </c>
      <c r="O102" s="30" t="s">
        <v>114</v>
      </c>
    </row>
    <row r="103" spans="1:15" s="30" customFormat="1" ht="15" customHeight="1" x14ac:dyDescent="0.25">
      <c r="A103" s="30">
        <v>1</v>
      </c>
      <c r="B103" s="30" t="s">
        <v>165</v>
      </c>
      <c r="C103" s="30" t="s">
        <v>6</v>
      </c>
      <c r="D103" s="30" t="s">
        <v>11</v>
      </c>
      <c r="E103" s="30" t="s">
        <v>15</v>
      </c>
      <c r="F103" s="11"/>
      <c r="G103" s="30">
        <v>2</v>
      </c>
      <c r="H103" s="263" t="s">
        <v>391</v>
      </c>
      <c r="I103" s="21" t="s">
        <v>69</v>
      </c>
      <c r="J103" s="21" t="s">
        <v>920</v>
      </c>
      <c r="K103" s="30" t="s">
        <v>107</v>
      </c>
      <c r="L103" s="32">
        <v>24</v>
      </c>
      <c r="M103" s="22">
        <v>34.270000000000003</v>
      </c>
      <c r="N103" s="256">
        <v>45212</v>
      </c>
      <c r="O103" s="30" t="s">
        <v>114</v>
      </c>
    </row>
    <row r="104" spans="1:15" s="30" customFormat="1" ht="15" customHeight="1" x14ac:dyDescent="0.25">
      <c r="A104" s="30">
        <v>1</v>
      </c>
      <c r="B104" s="69" t="s">
        <v>165</v>
      </c>
      <c r="C104" s="69" t="s">
        <v>6</v>
      </c>
      <c r="D104" s="69" t="s">
        <v>11</v>
      </c>
      <c r="E104" s="69" t="s">
        <v>15</v>
      </c>
      <c r="F104" s="70"/>
      <c r="G104" s="69">
        <v>2</v>
      </c>
      <c r="H104" s="285" t="s">
        <v>393</v>
      </c>
      <c r="I104" s="71" t="s">
        <v>32</v>
      </c>
      <c r="J104" s="71" t="s">
        <v>136</v>
      </c>
      <c r="K104" s="69" t="s">
        <v>90</v>
      </c>
      <c r="L104" s="72">
        <v>30</v>
      </c>
      <c r="M104" s="73">
        <v>47.13</v>
      </c>
      <c r="N104" s="232">
        <v>44694</v>
      </c>
      <c r="O104" s="69" t="s">
        <v>114</v>
      </c>
    </row>
    <row r="105" spans="1:15" s="30" customFormat="1" ht="15" customHeight="1" x14ac:dyDescent="0.25">
      <c r="A105" s="30">
        <v>1</v>
      </c>
      <c r="B105" s="30" t="s">
        <v>165</v>
      </c>
      <c r="C105" s="30" t="s">
        <v>6</v>
      </c>
      <c r="D105" s="30" t="s">
        <v>11</v>
      </c>
      <c r="E105" s="30" t="s">
        <v>15</v>
      </c>
      <c r="F105" s="11"/>
      <c r="G105" s="30">
        <v>2</v>
      </c>
      <c r="H105" s="263" t="s">
        <v>391</v>
      </c>
      <c r="I105" s="21" t="s">
        <v>69</v>
      </c>
      <c r="J105" s="21" t="s">
        <v>920</v>
      </c>
      <c r="K105" s="30" t="s">
        <v>107</v>
      </c>
      <c r="L105" s="32">
        <v>24</v>
      </c>
      <c r="M105" s="22">
        <v>31.63</v>
      </c>
      <c r="N105" s="256">
        <v>45212</v>
      </c>
      <c r="O105" s="30" t="s">
        <v>114</v>
      </c>
    </row>
    <row r="106" spans="1:15" s="30" customFormat="1" ht="15" customHeight="1" x14ac:dyDescent="0.25">
      <c r="A106" s="30">
        <v>1</v>
      </c>
      <c r="B106" s="30" t="s">
        <v>169</v>
      </c>
      <c r="C106" s="30" t="s">
        <v>6</v>
      </c>
      <c r="D106" s="30" t="s">
        <v>11</v>
      </c>
      <c r="E106" s="30" t="s">
        <v>15</v>
      </c>
      <c r="F106" s="11"/>
      <c r="G106" s="30">
        <v>2</v>
      </c>
      <c r="H106" s="263" t="s">
        <v>399</v>
      </c>
      <c r="I106" s="21" t="s">
        <v>68</v>
      </c>
      <c r="J106" s="21" t="s">
        <v>921</v>
      </c>
      <c r="K106" s="30" t="s">
        <v>94</v>
      </c>
      <c r="L106" s="32">
        <v>4</v>
      </c>
      <c r="M106" s="22">
        <v>11.12</v>
      </c>
      <c r="N106" s="31">
        <v>44694</v>
      </c>
      <c r="O106" s="30" t="s">
        <v>114</v>
      </c>
    </row>
    <row r="107" spans="1:15" s="30" customFormat="1" ht="15" customHeight="1" x14ac:dyDescent="0.25">
      <c r="A107" s="30">
        <v>1</v>
      </c>
      <c r="B107" s="30" t="s">
        <v>169</v>
      </c>
      <c r="C107" s="30" t="s">
        <v>6</v>
      </c>
      <c r="D107" s="30" t="s">
        <v>11</v>
      </c>
      <c r="E107" s="30" t="s">
        <v>15</v>
      </c>
      <c r="F107" s="11"/>
      <c r="G107" s="30">
        <v>2</v>
      </c>
      <c r="H107" s="263" t="s">
        <v>399</v>
      </c>
      <c r="I107" s="21" t="s">
        <v>68</v>
      </c>
      <c r="J107" s="21" t="s">
        <v>922</v>
      </c>
      <c r="K107" s="30" t="s">
        <v>94</v>
      </c>
      <c r="L107" s="32">
        <v>4</v>
      </c>
      <c r="M107" s="22">
        <v>10.69</v>
      </c>
      <c r="N107" s="31">
        <v>44694</v>
      </c>
      <c r="O107" s="30" t="s">
        <v>114</v>
      </c>
    </row>
    <row r="108" spans="1:15" s="30" customFormat="1" ht="15" customHeight="1" x14ac:dyDescent="0.25">
      <c r="A108" s="30">
        <v>1</v>
      </c>
      <c r="B108" s="30" t="s">
        <v>168</v>
      </c>
      <c r="C108" s="30" t="s">
        <v>6</v>
      </c>
      <c r="D108" s="30" t="s">
        <v>11</v>
      </c>
      <c r="E108" s="30" t="s">
        <v>15</v>
      </c>
      <c r="F108" s="11"/>
      <c r="G108" s="30">
        <v>2</v>
      </c>
      <c r="H108" s="263" t="s">
        <v>398</v>
      </c>
      <c r="I108" s="21" t="s">
        <v>69</v>
      </c>
      <c r="J108" s="21" t="s">
        <v>923</v>
      </c>
      <c r="K108" s="30" t="s">
        <v>94</v>
      </c>
      <c r="L108" s="32">
        <v>1</v>
      </c>
      <c r="M108" s="22">
        <v>2.3199999999999998</v>
      </c>
      <c r="N108" s="256">
        <v>45212</v>
      </c>
      <c r="O108" s="30" t="s">
        <v>114</v>
      </c>
    </row>
    <row r="109" spans="1:15" s="30" customFormat="1" ht="15" customHeight="1" x14ac:dyDescent="0.25">
      <c r="A109" s="30">
        <v>1</v>
      </c>
      <c r="B109" s="30" t="s">
        <v>168</v>
      </c>
      <c r="C109" s="30" t="s">
        <v>6</v>
      </c>
      <c r="D109" s="30" t="s">
        <v>11</v>
      </c>
      <c r="E109" s="30" t="s">
        <v>15</v>
      </c>
      <c r="F109" s="11"/>
      <c r="G109" s="30">
        <v>2</v>
      </c>
      <c r="H109" s="263" t="s">
        <v>390</v>
      </c>
      <c r="I109" s="21" t="s">
        <v>68</v>
      </c>
      <c r="J109" s="21" t="s">
        <v>326</v>
      </c>
      <c r="K109" s="30" t="s">
        <v>94</v>
      </c>
      <c r="L109" s="32">
        <v>0</v>
      </c>
      <c r="M109" s="22">
        <v>10.73</v>
      </c>
      <c r="N109" s="31">
        <v>44694</v>
      </c>
      <c r="O109" s="30" t="s">
        <v>114</v>
      </c>
    </row>
    <row r="110" spans="1:15" s="30" customFormat="1" ht="28.5" customHeight="1" x14ac:dyDescent="0.25">
      <c r="A110" s="30">
        <v>1</v>
      </c>
      <c r="B110" s="30" t="s">
        <v>168</v>
      </c>
      <c r="C110" s="30" t="s">
        <v>6</v>
      </c>
      <c r="D110" s="30" t="s">
        <v>11</v>
      </c>
      <c r="E110" s="30" t="s">
        <v>15</v>
      </c>
      <c r="F110" s="11"/>
      <c r="G110" s="30">
        <v>2</v>
      </c>
      <c r="H110" s="263" t="s">
        <v>23</v>
      </c>
      <c r="I110" s="21" t="s">
        <v>33</v>
      </c>
      <c r="J110" s="21" t="s">
        <v>787</v>
      </c>
      <c r="K110" s="30" t="s">
        <v>107</v>
      </c>
      <c r="L110" s="32">
        <v>2</v>
      </c>
      <c r="M110" s="22">
        <v>21.81</v>
      </c>
      <c r="N110" s="31">
        <v>44694</v>
      </c>
      <c r="O110" s="30" t="s">
        <v>114</v>
      </c>
    </row>
    <row r="111" spans="1:15" s="30" customFormat="1" ht="28.5" customHeight="1" x14ac:dyDescent="0.25">
      <c r="A111" s="30">
        <v>1</v>
      </c>
      <c r="B111" s="30" t="s">
        <v>168</v>
      </c>
      <c r="C111" s="30" t="s">
        <v>6</v>
      </c>
      <c r="D111" s="30" t="s">
        <v>11</v>
      </c>
      <c r="E111" s="30" t="s">
        <v>15</v>
      </c>
      <c r="F111" s="11"/>
      <c r="G111" s="30">
        <v>2</v>
      </c>
      <c r="H111" s="263" t="s">
        <v>23</v>
      </c>
      <c r="I111" s="20" t="s">
        <v>33</v>
      </c>
      <c r="J111" s="21" t="s">
        <v>788</v>
      </c>
      <c r="K111" s="30" t="s">
        <v>90</v>
      </c>
      <c r="L111" s="32">
        <v>2</v>
      </c>
      <c r="M111" s="22">
        <v>17.649999999999999</v>
      </c>
      <c r="N111" s="31">
        <v>44694</v>
      </c>
      <c r="O111" s="30" t="s">
        <v>114</v>
      </c>
    </row>
    <row r="112" spans="1:15" s="30" customFormat="1" ht="29.25" customHeight="1" x14ac:dyDescent="0.25">
      <c r="A112" s="30">
        <v>1</v>
      </c>
      <c r="B112" s="30" t="s">
        <v>168</v>
      </c>
      <c r="C112" s="30" t="s">
        <v>6</v>
      </c>
      <c r="D112" s="30" t="s">
        <v>11</v>
      </c>
      <c r="E112" s="30" t="s">
        <v>15</v>
      </c>
      <c r="F112" s="11"/>
      <c r="G112" s="30">
        <v>2</v>
      </c>
      <c r="H112" s="263" t="s">
        <v>23</v>
      </c>
      <c r="I112" s="20" t="s">
        <v>33</v>
      </c>
      <c r="J112" s="250" t="s">
        <v>924</v>
      </c>
      <c r="K112" s="30" t="s">
        <v>94</v>
      </c>
      <c r="L112" s="32">
        <v>0</v>
      </c>
      <c r="M112" s="22">
        <v>11.07</v>
      </c>
      <c r="N112" s="31">
        <v>44694</v>
      </c>
      <c r="O112" s="30" t="s">
        <v>114</v>
      </c>
    </row>
    <row r="113" spans="1:15" s="30" customFormat="1" ht="30.75" customHeight="1" x14ac:dyDescent="0.25">
      <c r="A113" s="30">
        <v>1</v>
      </c>
      <c r="B113" s="30" t="s">
        <v>168</v>
      </c>
      <c r="C113" s="30" t="s">
        <v>6</v>
      </c>
      <c r="D113" s="30" t="s">
        <v>11</v>
      </c>
      <c r="E113" s="30" t="s">
        <v>15</v>
      </c>
      <c r="F113" s="11"/>
      <c r="G113" s="30">
        <v>2</v>
      </c>
      <c r="H113" s="263" t="s">
        <v>23</v>
      </c>
      <c r="I113" s="20" t="s">
        <v>33</v>
      </c>
      <c r="J113" s="21" t="s">
        <v>776</v>
      </c>
      <c r="K113" s="30" t="s">
        <v>107</v>
      </c>
      <c r="L113" s="32">
        <v>15</v>
      </c>
      <c r="M113" s="22">
        <v>19.13</v>
      </c>
      <c r="N113" s="31">
        <v>44694</v>
      </c>
      <c r="O113" s="30" t="s">
        <v>114</v>
      </c>
    </row>
    <row r="114" spans="1:15" s="30" customFormat="1" ht="15" customHeight="1" x14ac:dyDescent="0.25">
      <c r="A114" s="30">
        <v>1</v>
      </c>
      <c r="B114" s="30" t="s">
        <v>165</v>
      </c>
      <c r="C114" s="30" t="s">
        <v>6</v>
      </c>
      <c r="D114" s="30" t="s">
        <v>11</v>
      </c>
      <c r="E114" s="30" t="s">
        <v>16</v>
      </c>
      <c r="F114" s="11"/>
      <c r="G114" s="30">
        <v>2</v>
      </c>
      <c r="H114" s="263" t="s">
        <v>23</v>
      </c>
      <c r="I114" s="21" t="s">
        <v>412</v>
      </c>
      <c r="J114" s="50" t="s">
        <v>925</v>
      </c>
      <c r="K114" s="30" t="s">
        <v>107</v>
      </c>
      <c r="L114" s="32">
        <v>41</v>
      </c>
      <c r="M114" s="22">
        <v>35.479999999999997</v>
      </c>
      <c r="N114" s="256">
        <v>45343</v>
      </c>
      <c r="O114" s="30" t="s">
        <v>114</v>
      </c>
    </row>
    <row r="115" spans="1:15" s="30" customFormat="1" ht="15" customHeight="1" x14ac:dyDescent="0.25">
      <c r="A115" s="30">
        <v>1</v>
      </c>
      <c r="B115" s="30" t="s">
        <v>165</v>
      </c>
      <c r="C115" s="30" t="s">
        <v>6</v>
      </c>
      <c r="D115" s="30" t="s">
        <v>11</v>
      </c>
      <c r="E115" s="30" t="s">
        <v>16</v>
      </c>
      <c r="F115" s="11"/>
      <c r="G115" s="30">
        <v>2</v>
      </c>
      <c r="H115" s="263" t="s">
        <v>391</v>
      </c>
      <c r="I115" s="21" t="s">
        <v>412</v>
      </c>
      <c r="J115" s="50" t="s">
        <v>926</v>
      </c>
      <c r="K115" s="30" t="s">
        <v>107</v>
      </c>
      <c r="L115" s="32">
        <v>37</v>
      </c>
      <c r="M115" s="22">
        <v>35.44</v>
      </c>
      <c r="N115" s="256">
        <v>45343</v>
      </c>
      <c r="O115" s="30" t="s">
        <v>114</v>
      </c>
    </row>
    <row r="116" spans="1:15" s="30" customFormat="1" ht="15" customHeight="1" x14ac:dyDescent="0.25">
      <c r="A116" s="30">
        <v>1</v>
      </c>
      <c r="B116" s="30" t="s">
        <v>165</v>
      </c>
      <c r="C116" s="30" t="s">
        <v>6</v>
      </c>
      <c r="D116" s="30" t="s">
        <v>11</v>
      </c>
      <c r="E116" s="30" t="s">
        <v>16</v>
      </c>
      <c r="F116" s="11"/>
      <c r="G116" s="30">
        <v>2</v>
      </c>
      <c r="H116" s="263" t="s">
        <v>389</v>
      </c>
      <c r="I116" s="21" t="s">
        <v>64</v>
      </c>
      <c r="J116" s="21" t="s">
        <v>606</v>
      </c>
      <c r="K116" s="30" t="s">
        <v>107</v>
      </c>
      <c r="L116" s="32">
        <v>36</v>
      </c>
      <c r="M116" s="22">
        <v>37.26</v>
      </c>
      <c r="N116" s="31">
        <v>44698</v>
      </c>
      <c r="O116" s="30" t="s">
        <v>114</v>
      </c>
    </row>
    <row r="117" spans="1:15" s="30" customFormat="1" ht="15" customHeight="1" x14ac:dyDescent="0.25">
      <c r="A117" s="30">
        <v>1</v>
      </c>
      <c r="B117" s="30" t="s">
        <v>165</v>
      </c>
      <c r="C117" s="30" t="s">
        <v>6</v>
      </c>
      <c r="D117" s="30" t="s">
        <v>11</v>
      </c>
      <c r="E117" s="30" t="s">
        <v>16</v>
      </c>
      <c r="F117" s="11"/>
      <c r="G117" s="30">
        <v>2</v>
      </c>
      <c r="H117" s="263" t="s">
        <v>396</v>
      </c>
      <c r="I117" s="21" t="s">
        <v>58</v>
      </c>
      <c r="J117" s="21" t="s">
        <v>153</v>
      </c>
      <c r="K117" s="30" t="s">
        <v>107</v>
      </c>
      <c r="L117" s="32">
        <v>50</v>
      </c>
      <c r="M117" s="22">
        <v>86.05</v>
      </c>
      <c r="N117" s="31">
        <v>44698</v>
      </c>
      <c r="O117" s="30" t="s">
        <v>114</v>
      </c>
    </row>
    <row r="118" spans="1:15" s="30" customFormat="1" ht="30.75" customHeight="1" x14ac:dyDescent="0.25">
      <c r="A118" s="30">
        <v>1</v>
      </c>
      <c r="B118" s="30" t="s">
        <v>168</v>
      </c>
      <c r="C118" s="30" t="s">
        <v>6</v>
      </c>
      <c r="D118" s="30" t="s">
        <v>11</v>
      </c>
      <c r="E118" s="30" t="s">
        <v>16</v>
      </c>
      <c r="F118" s="11"/>
      <c r="G118" s="30">
        <v>2</v>
      </c>
      <c r="H118" s="263" t="s">
        <v>23</v>
      </c>
      <c r="I118" s="21" t="s">
        <v>35</v>
      </c>
      <c r="J118" s="21" t="s">
        <v>442</v>
      </c>
      <c r="K118" s="30" t="s">
        <v>107</v>
      </c>
      <c r="L118" s="32">
        <v>2</v>
      </c>
      <c r="M118" s="22">
        <v>22.96</v>
      </c>
      <c r="N118" s="31">
        <v>44698</v>
      </c>
      <c r="O118" s="30" t="s">
        <v>114</v>
      </c>
    </row>
    <row r="119" spans="1:15" s="30" customFormat="1" ht="15" customHeight="1" x14ac:dyDescent="0.25">
      <c r="A119" s="30">
        <v>1</v>
      </c>
      <c r="B119" s="30" t="s">
        <v>168</v>
      </c>
      <c r="C119" s="30" t="s">
        <v>6</v>
      </c>
      <c r="D119" s="30" t="s">
        <v>11</v>
      </c>
      <c r="E119" s="30" t="s">
        <v>16</v>
      </c>
      <c r="F119" s="11"/>
      <c r="G119" s="19">
        <v>3</v>
      </c>
      <c r="H119" s="263" t="s">
        <v>23</v>
      </c>
      <c r="I119" s="21" t="s">
        <v>51</v>
      </c>
      <c r="J119" s="21" t="s">
        <v>443</v>
      </c>
      <c r="K119" s="30" t="s">
        <v>107</v>
      </c>
      <c r="L119" s="32">
        <v>9</v>
      </c>
      <c r="M119" s="22">
        <v>83.43</v>
      </c>
      <c r="N119" s="31">
        <v>44698</v>
      </c>
      <c r="O119" s="30" t="s">
        <v>114</v>
      </c>
    </row>
    <row r="120" spans="1:15" s="30" customFormat="1" ht="15" customHeight="1" x14ac:dyDescent="0.25">
      <c r="A120" s="30">
        <v>1</v>
      </c>
      <c r="B120" s="30" t="s">
        <v>168</v>
      </c>
      <c r="C120" s="30" t="s">
        <v>6</v>
      </c>
      <c r="D120" s="30" t="s">
        <v>11</v>
      </c>
      <c r="E120" s="30" t="s">
        <v>16</v>
      </c>
      <c r="F120" s="11"/>
      <c r="G120" s="19">
        <v>3</v>
      </c>
      <c r="H120" s="263" t="s">
        <v>23</v>
      </c>
      <c r="I120" s="21" t="s">
        <v>412</v>
      </c>
      <c r="J120" s="50" t="s">
        <v>927</v>
      </c>
      <c r="K120" s="30" t="s">
        <v>107</v>
      </c>
      <c r="L120" s="32">
        <v>5</v>
      </c>
      <c r="M120" s="22">
        <v>27.16</v>
      </c>
      <c r="N120" s="256">
        <v>45429</v>
      </c>
      <c r="O120" s="30" t="s">
        <v>114</v>
      </c>
    </row>
    <row r="121" spans="1:15" s="30" customFormat="1" ht="30" x14ac:dyDescent="0.25">
      <c r="A121" s="30">
        <v>1</v>
      </c>
      <c r="B121" s="30" t="s">
        <v>169</v>
      </c>
      <c r="C121" s="30" t="s">
        <v>6</v>
      </c>
      <c r="D121" s="30" t="s">
        <v>11</v>
      </c>
      <c r="E121" s="30" t="s">
        <v>16</v>
      </c>
      <c r="F121" s="11" t="s">
        <v>159</v>
      </c>
      <c r="G121" s="19">
        <v>2</v>
      </c>
      <c r="H121" s="263" t="s">
        <v>391</v>
      </c>
      <c r="I121" s="21" t="s">
        <v>69</v>
      </c>
      <c r="J121" s="21" t="s">
        <v>371</v>
      </c>
      <c r="K121" s="30" t="s">
        <v>107</v>
      </c>
      <c r="L121" s="32">
        <v>10</v>
      </c>
      <c r="M121" s="22">
        <v>11.5</v>
      </c>
      <c r="N121" s="31">
        <v>44698</v>
      </c>
      <c r="O121" s="30" t="s">
        <v>114</v>
      </c>
    </row>
    <row r="122" spans="1:15" s="30" customFormat="1" ht="15" customHeight="1" x14ac:dyDescent="0.25">
      <c r="A122" s="30">
        <v>1</v>
      </c>
      <c r="B122" s="30" t="s">
        <v>168</v>
      </c>
      <c r="C122" s="30" t="s">
        <v>6</v>
      </c>
      <c r="D122" s="30" t="s">
        <v>11</v>
      </c>
      <c r="E122" s="30" t="s">
        <v>16</v>
      </c>
      <c r="F122" s="11" t="s">
        <v>160</v>
      </c>
      <c r="G122" s="19">
        <v>2</v>
      </c>
      <c r="H122" s="263" t="s">
        <v>390</v>
      </c>
      <c r="I122" s="21" t="s">
        <v>38</v>
      </c>
      <c r="J122" s="21" t="s">
        <v>362</v>
      </c>
      <c r="K122" s="30" t="s">
        <v>94</v>
      </c>
      <c r="L122" s="32">
        <v>0</v>
      </c>
      <c r="M122" s="22">
        <v>5.98</v>
      </c>
      <c r="N122" s="31">
        <v>44698</v>
      </c>
      <c r="O122" s="30" t="s">
        <v>114</v>
      </c>
    </row>
    <row r="123" spans="1:15" s="30" customFormat="1" ht="15" customHeight="1" x14ac:dyDescent="0.25">
      <c r="A123" s="30">
        <v>1</v>
      </c>
      <c r="B123" s="30" t="s">
        <v>169</v>
      </c>
      <c r="C123" s="30" t="s">
        <v>6</v>
      </c>
      <c r="D123" s="30" t="s">
        <v>11</v>
      </c>
      <c r="E123" s="30" t="s">
        <v>16</v>
      </c>
      <c r="F123" s="11" t="s">
        <v>158</v>
      </c>
      <c r="G123" s="19">
        <v>2</v>
      </c>
      <c r="H123" s="263" t="s">
        <v>258</v>
      </c>
      <c r="I123" s="21" t="s">
        <v>69</v>
      </c>
      <c r="J123" s="21" t="s">
        <v>928</v>
      </c>
      <c r="K123" s="30" t="s">
        <v>107</v>
      </c>
      <c r="L123" s="32">
        <v>0</v>
      </c>
      <c r="M123" s="22">
        <v>11.3</v>
      </c>
      <c r="N123" s="31">
        <v>44698</v>
      </c>
      <c r="O123" s="30" t="s">
        <v>114</v>
      </c>
    </row>
    <row r="124" spans="1:15" s="30" customFormat="1" ht="15" customHeight="1" x14ac:dyDescent="0.25">
      <c r="A124" s="30">
        <v>1</v>
      </c>
      <c r="B124" s="30" t="s">
        <v>169</v>
      </c>
      <c r="C124" s="30" t="s">
        <v>6</v>
      </c>
      <c r="D124" s="30" t="s">
        <v>11</v>
      </c>
      <c r="E124" s="30" t="s">
        <v>16</v>
      </c>
      <c r="F124" s="11" t="s">
        <v>157</v>
      </c>
      <c r="G124" s="19">
        <v>2</v>
      </c>
      <c r="H124" s="263" t="s">
        <v>391</v>
      </c>
      <c r="I124" s="21" t="s">
        <v>69</v>
      </c>
      <c r="J124" s="21" t="s">
        <v>417</v>
      </c>
      <c r="K124" s="30" t="s">
        <v>107</v>
      </c>
      <c r="L124" s="32">
        <v>15</v>
      </c>
      <c r="M124" s="22">
        <v>70.56</v>
      </c>
      <c r="N124" s="31">
        <v>44698</v>
      </c>
      <c r="O124" s="30" t="s">
        <v>114</v>
      </c>
    </row>
    <row r="125" spans="1:15" s="30" customFormat="1" ht="15" customHeight="1" x14ac:dyDescent="0.25">
      <c r="A125" s="30">
        <v>1</v>
      </c>
      <c r="B125" s="30" t="s">
        <v>167</v>
      </c>
      <c r="C125" s="30" t="s">
        <v>6</v>
      </c>
      <c r="D125" s="30" t="s">
        <v>11</v>
      </c>
      <c r="E125" s="30" t="s">
        <v>16</v>
      </c>
      <c r="F125" s="11"/>
      <c r="G125" s="19">
        <v>2</v>
      </c>
      <c r="H125" s="263" t="s">
        <v>22</v>
      </c>
      <c r="I125" s="21" t="s">
        <v>32</v>
      </c>
      <c r="J125" s="21" t="s">
        <v>154</v>
      </c>
      <c r="K125" s="30" t="s">
        <v>107</v>
      </c>
      <c r="L125" s="32">
        <v>80</v>
      </c>
      <c r="M125" s="22">
        <v>110</v>
      </c>
      <c r="N125" s="31">
        <v>44698</v>
      </c>
      <c r="O125" s="30" t="s">
        <v>114</v>
      </c>
    </row>
    <row r="126" spans="1:15" s="30" customFormat="1" ht="15" customHeight="1" x14ac:dyDescent="0.25">
      <c r="A126" s="30">
        <v>1</v>
      </c>
      <c r="B126" s="30" t="s">
        <v>168</v>
      </c>
      <c r="C126" s="30" t="s">
        <v>6</v>
      </c>
      <c r="D126" s="30" t="s">
        <v>11</v>
      </c>
      <c r="E126" s="30" t="s">
        <v>16</v>
      </c>
      <c r="F126" s="11"/>
      <c r="G126" s="19" t="s">
        <v>273</v>
      </c>
      <c r="H126" s="263" t="s">
        <v>389</v>
      </c>
      <c r="I126" s="21" t="s">
        <v>64</v>
      </c>
      <c r="J126" s="21" t="s">
        <v>405</v>
      </c>
      <c r="K126" s="30" t="s">
        <v>94</v>
      </c>
      <c r="L126" s="32">
        <v>0</v>
      </c>
      <c r="M126" s="22">
        <v>44.73</v>
      </c>
      <c r="N126" s="31">
        <v>44698</v>
      </c>
      <c r="O126" s="30" t="s">
        <v>114</v>
      </c>
    </row>
    <row r="127" spans="1:15" s="30" customFormat="1" ht="15" customHeight="1" x14ac:dyDescent="0.25">
      <c r="A127" s="30">
        <v>1</v>
      </c>
      <c r="B127" s="30" t="s">
        <v>168</v>
      </c>
      <c r="C127" s="30" t="s">
        <v>6</v>
      </c>
      <c r="D127" s="30" t="s">
        <v>11</v>
      </c>
      <c r="E127" s="30" t="s">
        <v>16</v>
      </c>
      <c r="F127" s="11"/>
      <c r="G127" s="19" t="s">
        <v>273</v>
      </c>
      <c r="H127" s="263" t="s">
        <v>389</v>
      </c>
      <c r="I127" s="21" t="s">
        <v>68</v>
      </c>
      <c r="J127" s="21" t="s">
        <v>104</v>
      </c>
      <c r="K127" s="30" t="s">
        <v>94</v>
      </c>
      <c r="L127" s="32">
        <v>0</v>
      </c>
      <c r="M127" s="22">
        <v>2.7</v>
      </c>
      <c r="N127" s="31">
        <v>44698</v>
      </c>
      <c r="O127" s="30" t="s">
        <v>114</v>
      </c>
    </row>
    <row r="128" spans="1:15" s="30" customFormat="1" ht="15" customHeight="1" x14ac:dyDescent="0.25">
      <c r="A128" s="30">
        <v>1</v>
      </c>
      <c r="B128" s="30" t="s">
        <v>169</v>
      </c>
      <c r="C128" s="30" t="s">
        <v>6</v>
      </c>
      <c r="D128" s="30" t="s">
        <v>11</v>
      </c>
      <c r="E128" s="30" t="s">
        <v>16</v>
      </c>
      <c r="F128" s="11"/>
      <c r="G128" s="19" t="s">
        <v>273</v>
      </c>
      <c r="H128" s="263" t="s">
        <v>399</v>
      </c>
      <c r="I128" s="21" t="s">
        <v>68</v>
      </c>
      <c r="J128" s="21" t="s">
        <v>155</v>
      </c>
      <c r="K128" s="30" t="s">
        <v>94</v>
      </c>
      <c r="L128" s="32">
        <v>2</v>
      </c>
      <c r="M128" s="22">
        <v>9.25</v>
      </c>
      <c r="N128" s="31">
        <v>44698</v>
      </c>
      <c r="O128" s="30" t="s">
        <v>114</v>
      </c>
    </row>
    <row r="129" spans="1:15" s="30" customFormat="1" ht="15" customHeight="1" x14ac:dyDescent="0.25">
      <c r="A129" s="30">
        <v>1</v>
      </c>
      <c r="B129" s="30" t="s">
        <v>169</v>
      </c>
      <c r="C129" s="30" t="s">
        <v>6</v>
      </c>
      <c r="D129" s="30" t="s">
        <v>11</v>
      </c>
      <c r="E129" s="30" t="s">
        <v>16</v>
      </c>
      <c r="F129" s="11"/>
      <c r="G129" s="30">
        <v>2</v>
      </c>
      <c r="H129" s="263" t="s">
        <v>399</v>
      </c>
      <c r="I129" s="21" t="s">
        <v>68</v>
      </c>
      <c r="J129" s="21" t="s">
        <v>373</v>
      </c>
      <c r="K129" s="30" t="s">
        <v>94</v>
      </c>
      <c r="L129" s="32">
        <v>1</v>
      </c>
      <c r="M129" s="22">
        <v>3.35</v>
      </c>
      <c r="N129" s="31">
        <v>44698</v>
      </c>
      <c r="O129" s="30" t="s">
        <v>114</v>
      </c>
    </row>
    <row r="130" spans="1:15" s="30" customFormat="1" ht="15" customHeight="1" x14ac:dyDescent="0.25">
      <c r="A130" s="30">
        <v>1</v>
      </c>
      <c r="B130" s="30" t="s">
        <v>169</v>
      </c>
      <c r="C130" s="30" t="s">
        <v>6</v>
      </c>
      <c r="D130" s="30" t="s">
        <v>11</v>
      </c>
      <c r="E130" s="30" t="s">
        <v>16</v>
      </c>
      <c r="F130" s="11"/>
      <c r="G130" s="30">
        <v>2</v>
      </c>
      <c r="H130" s="263" t="s">
        <v>399</v>
      </c>
      <c r="I130" s="21" t="s">
        <v>68</v>
      </c>
      <c r="J130" s="21" t="s">
        <v>372</v>
      </c>
      <c r="K130" s="30" t="s">
        <v>94</v>
      </c>
      <c r="L130" s="32">
        <v>1</v>
      </c>
      <c r="M130" s="22">
        <v>3.35</v>
      </c>
      <c r="N130" s="31">
        <v>44698</v>
      </c>
      <c r="O130" s="30" t="s">
        <v>114</v>
      </c>
    </row>
    <row r="131" spans="1:15" s="30" customFormat="1" ht="15" customHeight="1" x14ac:dyDescent="0.25">
      <c r="A131" s="30">
        <v>1</v>
      </c>
      <c r="B131" s="30" t="s">
        <v>170</v>
      </c>
      <c r="C131" s="30" t="s">
        <v>6</v>
      </c>
      <c r="D131" s="30" t="s">
        <v>11</v>
      </c>
      <c r="E131" s="30" t="s">
        <v>16</v>
      </c>
      <c r="F131" s="11"/>
      <c r="G131" s="30">
        <v>2</v>
      </c>
      <c r="H131" s="263" t="s">
        <v>394</v>
      </c>
      <c r="I131" s="21" t="s">
        <v>68</v>
      </c>
      <c r="J131" s="21" t="s">
        <v>98</v>
      </c>
      <c r="K131" s="30" t="s">
        <v>94</v>
      </c>
      <c r="L131" s="32">
        <v>0</v>
      </c>
      <c r="M131" s="22">
        <v>196</v>
      </c>
      <c r="N131" s="31">
        <v>44698</v>
      </c>
      <c r="O131" s="30" t="s">
        <v>114</v>
      </c>
    </row>
    <row r="132" spans="1:15" s="30" customFormat="1" ht="15" customHeight="1" x14ac:dyDescent="0.25">
      <c r="A132" s="30">
        <v>1</v>
      </c>
      <c r="B132" s="30" t="s">
        <v>170</v>
      </c>
      <c r="C132" s="30" t="s">
        <v>6</v>
      </c>
      <c r="D132" s="30" t="s">
        <v>11</v>
      </c>
      <c r="E132" s="30" t="s">
        <v>16</v>
      </c>
      <c r="F132" s="11"/>
      <c r="G132" s="30">
        <v>2</v>
      </c>
      <c r="H132" s="263" t="s">
        <v>394</v>
      </c>
      <c r="I132" s="21" t="s">
        <v>68</v>
      </c>
      <c r="J132" s="21" t="s">
        <v>133</v>
      </c>
      <c r="K132" s="30" t="s">
        <v>94</v>
      </c>
      <c r="L132" s="32">
        <v>0</v>
      </c>
      <c r="M132" s="22">
        <v>20.55</v>
      </c>
      <c r="N132" s="31">
        <v>44698</v>
      </c>
      <c r="O132" s="30" t="s">
        <v>114</v>
      </c>
    </row>
    <row r="133" spans="1:15" s="30" customFormat="1" ht="15" customHeight="1" x14ac:dyDescent="0.25">
      <c r="A133" s="30">
        <v>1</v>
      </c>
      <c r="B133" s="30" t="s">
        <v>170</v>
      </c>
      <c r="C133" s="30" t="s">
        <v>6</v>
      </c>
      <c r="D133" s="30" t="s">
        <v>11</v>
      </c>
      <c r="E133" s="30" t="s">
        <v>16</v>
      </c>
      <c r="F133" s="11"/>
      <c r="G133" s="30">
        <v>2</v>
      </c>
      <c r="H133" s="263" t="s">
        <v>183</v>
      </c>
      <c r="I133" s="21" t="s">
        <v>68</v>
      </c>
      <c r="J133" s="21" t="s">
        <v>221</v>
      </c>
      <c r="K133" s="30" t="s">
        <v>107</v>
      </c>
      <c r="L133" s="32">
        <v>0</v>
      </c>
      <c r="M133" s="22">
        <v>23.77</v>
      </c>
      <c r="N133" s="31">
        <v>44698</v>
      </c>
      <c r="O133" s="30" t="s">
        <v>114</v>
      </c>
    </row>
    <row r="134" spans="1:15" s="30" customFormat="1" ht="15" customHeight="1" x14ac:dyDescent="0.25">
      <c r="A134" s="30">
        <v>1</v>
      </c>
      <c r="B134" s="30" t="s">
        <v>169</v>
      </c>
      <c r="C134" s="30" t="s">
        <v>6</v>
      </c>
      <c r="D134" s="30" t="s">
        <v>11</v>
      </c>
      <c r="E134" s="30" t="s">
        <v>16</v>
      </c>
      <c r="F134" s="11"/>
      <c r="G134" s="30">
        <v>3</v>
      </c>
      <c r="H134" s="263" t="s">
        <v>399</v>
      </c>
      <c r="I134" s="21" t="s">
        <v>68</v>
      </c>
      <c r="J134" s="21" t="s">
        <v>262</v>
      </c>
      <c r="K134" s="30" t="s">
        <v>94</v>
      </c>
      <c r="L134" s="32">
        <v>1</v>
      </c>
      <c r="M134" s="22">
        <v>2.94</v>
      </c>
      <c r="N134" s="31">
        <v>44698</v>
      </c>
      <c r="O134" s="30" t="s">
        <v>114</v>
      </c>
    </row>
    <row r="135" spans="1:15" s="30" customFormat="1" ht="15" customHeight="1" x14ac:dyDescent="0.25">
      <c r="A135" s="30">
        <v>1</v>
      </c>
      <c r="B135" s="30" t="s">
        <v>169</v>
      </c>
      <c r="C135" s="30" t="s">
        <v>6</v>
      </c>
      <c r="D135" s="30" t="s">
        <v>11</v>
      </c>
      <c r="E135" s="30" t="s">
        <v>16</v>
      </c>
      <c r="F135" s="11"/>
      <c r="G135" s="30">
        <v>3</v>
      </c>
      <c r="H135" s="263" t="s">
        <v>399</v>
      </c>
      <c r="I135" s="21" t="s">
        <v>68</v>
      </c>
      <c r="J135" s="21" t="s">
        <v>263</v>
      </c>
      <c r="K135" s="30" t="s">
        <v>94</v>
      </c>
      <c r="L135" s="32">
        <v>1</v>
      </c>
      <c r="M135" s="22">
        <v>2.19</v>
      </c>
      <c r="N135" s="31">
        <v>44698</v>
      </c>
      <c r="O135" s="30" t="s">
        <v>114</v>
      </c>
    </row>
    <row r="136" spans="1:15" s="30" customFormat="1" ht="15" customHeight="1" x14ac:dyDescent="0.25">
      <c r="A136" s="30">
        <v>1</v>
      </c>
      <c r="B136" s="30" t="s">
        <v>170</v>
      </c>
      <c r="C136" s="30" t="s">
        <v>6</v>
      </c>
      <c r="D136" s="30" t="s">
        <v>11</v>
      </c>
      <c r="E136" s="30" t="s">
        <v>16</v>
      </c>
      <c r="F136" s="11"/>
      <c r="G136" s="30">
        <v>3</v>
      </c>
      <c r="H136" s="263" t="s">
        <v>174</v>
      </c>
      <c r="I136" s="21" t="s">
        <v>68</v>
      </c>
      <c r="J136" s="21" t="s">
        <v>321</v>
      </c>
      <c r="K136" s="30" t="s">
        <v>94</v>
      </c>
      <c r="L136" s="32">
        <v>0</v>
      </c>
      <c r="M136" s="22">
        <v>31.5</v>
      </c>
      <c r="N136" s="31">
        <v>44698</v>
      </c>
      <c r="O136" s="30" t="s">
        <v>114</v>
      </c>
    </row>
    <row r="137" spans="1:15" s="30" customFormat="1" ht="15" customHeight="1" x14ac:dyDescent="0.25">
      <c r="A137" s="30">
        <v>1</v>
      </c>
      <c r="B137" s="30" t="s">
        <v>168</v>
      </c>
      <c r="C137" s="30" t="s">
        <v>6</v>
      </c>
      <c r="D137" s="30" t="s">
        <v>11</v>
      </c>
      <c r="E137" s="30" t="s">
        <v>16</v>
      </c>
      <c r="F137" s="11"/>
      <c r="G137" s="30">
        <v>2</v>
      </c>
      <c r="H137" s="263" t="s">
        <v>258</v>
      </c>
      <c r="I137" s="21" t="s">
        <v>129</v>
      </c>
      <c r="J137" s="21" t="s">
        <v>929</v>
      </c>
      <c r="K137" s="30" t="s">
        <v>94</v>
      </c>
      <c r="L137" s="32">
        <v>0</v>
      </c>
      <c r="M137" s="22">
        <v>2.7</v>
      </c>
      <c r="N137" s="256">
        <v>45094</v>
      </c>
      <c r="O137" s="30" t="s">
        <v>114</v>
      </c>
    </row>
    <row r="138" spans="1:15" s="30" customFormat="1" ht="15" customHeight="1" x14ac:dyDescent="0.25">
      <c r="A138" s="30">
        <v>1</v>
      </c>
      <c r="B138" s="30" t="s">
        <v>168</v>
      </c>
      <c r="C138" s="30" t="s">
        <v>6</v>
      </c>
      <c r="D138" s="30" t="s">
        <v>11</v>
      </c>
      <c r="E138" s="30" t="s">
        <v>16</v>
      </c>
      <c r="F138" s="11"/>
      <c r="G138" s="30">
        <v>3</v>
      </c>
      <c r="H138" s="263" t="s">
        <v>258</v>
      </c>
      <c r="I138" s="21" t="s">
        <v>32</v>
      </c>
      <c r="J138" s="21" t="s">
        <v>156</v>
      </c>
      <c r="K138" s="30" t="s">
        <v>94</v>
      </c>
      <c r="L138" s="32">
        <v>0</v>
      </c>
      <c r="M138" s="22">
        <v>4.8</v>
      </c>
      <c r="N138" s="31">
        <v>44698</v>
      </c>
      <c r="O138" s="30" t="s">
        <v>114</v>
      </c>
    </row>
    <row r="139" spans="1:15" s="30" customFormat="1" ht="15" customHeight="1" x14ac:dyDescent="0.25">
      <c r="A139" s="30">
        <v>1</v>
      </c>
      <c r="B139" s="30" t="s">
        <v>169</v>
      </c>
      <c r="C139" s="30" t="s">
        <v>6</v>
      </c>
      <c r="D139" s="30" t="s">
        <v>10</v>
      </c>
      <c r="E139" s="30" t="s">
        <v>14</v>
      </c>
      <c r="F139" s="11">
        <v>102</v>
      </c>
      <c r="G139" s="30">
        <v>1</v>
      </c>
      <c r="H139" s="263" t="s">
        <v>385</v>
      </c>
      <c r="I139" s="21" t="s">
        <v>68</v>
      </c>
      <c r="J139" s="21" t="s">
        <v>96</v>
      </c>
      <c r="K139" s="30" t="s">
        <v>107</v>
      </c>
      <c r="L139" s="35">
        <v>25</v>
      </c>
      <c r="M139" s="22">
        <v>37.090000000000003</v>
      </c>
      <c r="N139" s="31">
        <v>44704</v>
      </c>
      <c r="O139" s="30" t="s">
        <v>114</v>
      </c>
    </row>
    <row r="140" spans="1:15" s="30" customFormat="1" ht="15" customHeight="1" x14ac:dyDescent="0.25">
      <c r="A140" s="30">
        <v>1</v>
      </c>
      <c r="B140" s="30" t="s">
        <v>168</v>
      </c>
      <c r="C140" s="30" t="s">
        <v>6</v>
      </c>
      <c r="D140" s="30" t="s">
        <v>10</v>
      </c>
      <c r="E140" s="30" t="s">
        <v>14</v>
      </c>
      <c r="F140" s="11" t="s">
        <v>198</v>
      </c>
      <c r="G140" s="30">
        <v>1</v>
      </c>
      <c r="H140" s="263" t="s">
        <v>23</v>
      </c>
      <c r="I140" s="21" t="s">
        <v>64</v>
      </c>
      <c r="J140" s="20" t="s">
        <v>363</v>
      </c>
      <c r="K140" s="30" t="s">
        <v>107</v>
      </c>
      <c r="L140" s="36">
        <v>1</v>
      </c>
      <c r="M140" s="37">
        <v>10.06</v>
      </c>
      <c r="N140" s="31">
        <v>44704</v>
      </c>
      <c r="O140" s="30" t="s">
        <v>114</v>
      </c>
    </row>
    <row r="141" spans="1:15" s="30" customFormat="1" ht="30" customHeight="1" x14ac:dyDescent="0.25">
      <c r="A141" s="30">
        <v>1</v>
      </c>
      <c r="B141" s="30" t="s">
        <v>168</v>
      </c>
      <c r="C141" s="30" t="s">
        <v>6</v>
      </c>
      <c r="D141" s="30" t="s">
        <v>10</v>
      </c>
      <c r="E141" s="30" t="s">
        <v>14</v>
      </c>
      <c r="F141" s="11" t="s">
        <v>198</v>
      </c>
      <c r="G141" s="30">
        <v>1</v>
      </c>
      <c r="H141" s="263" t="s">
        <v>23</v>
      </c>
      <c r="I141" s="21" t="s">
        <v>64</v>
      </c>
      <c r="J141" s="20" t="s">
        <v>956</v>
      </c>
      <c r="K141" s="30" t="s">
        <v>107</v>
      </c>
      <c r="L141" s="36">
        <v>0</v>
      </c>
      <c r="M141" s="37">
        <v>54.95</v>
      </c>
      <c r="N141" s="31">
        <v>44704</v>
      </c>
      <c r="O141" s="30" t="s">
        <v>114</v>
      </c>
    </row>
    <row r="142" spans="1:15" s="30" customFormat="1" ht="15" customHeight="1" x14ac:dyDescent="0.25">
      <c r="A142" s="30">
        <v>1</v>
      </c>
      <c r="B142" s="30" t="s">
        <v>168</v>
      </c>
      <c r="C142" s="30" t="s">
        <v>6</v>
      </c>
      <c r="D142" s="30" t="s">
        <v>10</v>
      </c>
      <c r="E142" s="30" t="s">
        <v>14</v>
      </c>
      <c r="F142" s="11" t="s">
        <v>199</v>
      </c>
      <c r="G142" s="30">
        <v>1</v>
      </c>
      <c r="H142" s="263" t="s">
        <v>23</v>
      </c>
      <c r="I142" s="21" t="s">
        <v>64</v>
      </c>
      <c r="J142" s="20" t="s">
        <v>955</v>
      </c>
      <c r="K142" s="30" t="s">
        <v>107</v>
      </c>
      <c r="L142" s="36">
        <v>3</v>
      </c>
      <c r="M142" s="37">
        <v>23.61</v>
      </c>
      <c r="N142" s="31">
        <v>44704</v>
      </c>
      <c r="O142" s="30" t="s">
        <v>114</v>
      </c>
    </row>
    <row r="143" spans="1:15" s="30" customFormat="1" ht="15" customHeight="1" x14ac:dyDescent="0.25">
      <c r="A143" s="30">
        <v>1</v>
      </c>
      <c r="B143" s="30" t="s">
        <v>167</v>
      </c>
      <c r="C143" s="30" t="s">
        <v>6</v>
      </c>
      <c r="D143" s="30" t="s">
        <v>10</v>
      </c>
      <c r="E143" s="30" t="s">
        <v>14</v>
      </c>
      <c r="F143" s="11">
        <v>104</v>
      </c>
      <c r="G143" s="30">
        <v>1</v>
      </c>
      <c r="H143" s="263" t="s">
        <v>392</v>
      </c>
      <c r="I143" s="21" t="s">
        <v>418</v>
      </c>
      <c r="J143" s="21" t="s">
        <v>406</v>
      </c>
      <c r="K143" s="30" t="s">
        <v>90</v>
      </c>
      <c r="L143" s="36">
        <v>2</v>
      </c>
      <c r="M143" s="18">
        <v>14.69</v>
      </c>
      <c r="N143" s="31">
        <v>44704</v>
      </c>
      <c r="O143" s="30" t="s">
        <v>114</v>
      </c>
    </row>
    <row r="144" spans="1:15" s="30" customFormat="1" ht="15" customHeight="1" x14ac:dyDescent="0.25">
      <c r="A144" s="30">
        <v>1</v>
      </c>
      <c r="B144" s="30" t="s">
        <v>167</v>
      </c>
      <c r="C144" s="30" t="s">
        <v>6</v>
      </c>
      <c r="D144" s="30" t="s">
        <v>10</v>
      </c>
      <c r="E144" s="30" t="s">
        <v>14</v>
      </c>
      <c r="F144" s="11"/>
      <c r="G144" s="30">
        <v>1</v>
      </c>
      <c r="H144" s="263" t="s">
        <v>388</v>
      </c>
      <c r="I144" s="21" t="s">
        <v>418</v>
      </c>
      <c r="J144" s="21" t="s">
        <v>430</v>
      </c>
      <c r="K144" s="30" t="s">
        <v>90</v>
      </c>
      <c r="L144" s="36">
        <v>2</v>
      </c>
      <c r="M144" s="18">
        <v>5.65</v>
      </c>
      <c r="N144" s="31">
        <v>44704</v>
      </c>
      <c r="O144" s="30" t="s">
        <v>115</v>
      </c>
    </row>
    <row r="145" spans="1:15" s="30" customFormat="1" ht="15" customHeight="1" x14ac:dyDescent="0.25">
      <c r="A145" s="30">
        <v>1</v>
      </c>
      <c r="B145" s="30" t="s">
        <v>167</v>
      </c>
      <c r="C145" s="30" t="s">
        <v>6</v>
      </c>
      <c r="D145" s="30" t="s">
        <v>10</v>
      </c>
      <c r="E145" s="30" t="s">
        <v>14</v>
      </c>
      <c r="F145" s="11"/>
      <c r="G145" s="30">
        <v>1</v>
      </c>
      <c r="H145" s="263" t="s">
        <v>388</v>
      </c>
      <c r="I145" s="21" t="s">
        <v>418</v>
      </c>
      <c r="J145" s="21" t="s">
        <v>432</v>
      </c>
      <c r="K145" s="30" t="s">
        <v>90</v>
      </c>
      <c r="L145" s="36">
        <v>2</v>
      </c>
      <c r="M145" s="18">
        <v>5.65</v>
      </c>
      <c r="N145" s="31">
        <v>44704</v>
      </c>
      <c r="O145" s="30" t="s">
        <v>115</v>
      </c>
    </row>
    <row r="146" spans="1:15" s="30" customFormat="1" ht="15" customHeight="1" x14ac:dyDescent="0.25">
      <c r="A146" s="30">
        <v>1</v>
      </c>
      <c r="B146" s="30" t="s">
        <v>167</v>
      </c>
      <c r="C146" s="30" t="s">
        <v>6</v>
      </c>
      <c r="D146" s="30" t="s">
        <v>10</v>
      </c>
      <c r="E146" s="30" t="s">
        <v>14</v>
      </c>
      <c r="F146" s="11"/>
      <c r="G146" s="30">
        <v>1</v>
      </c>
      <c r="H146" s="263" t="s">
        <v>388</v>
      </c>
      <c r="I146" s="21" t="s">
        <v>418</v>
      </c>
      <c r="J146" s="21" t="s">
        <v>431</v>
      </c>
      <c r="K146" s="30" t="s">
        <v>90</v>
      </c>
      <c r="L146" s="36">
        <v>2</v>
      </c>
      <c r="M146" s="18">
        <v>5.65</v>
      </c>
      <c r="N146" s="31">
        <v>44704</v>
      </c>
      <c r="O146" s="30" t="s">
        <v>115</v>
      </c>
    </row>
    <row r="147" spans="1:15" s="30" customFormat="1" ht="15" customHeight="1" x14ac:dyDescent="0.25">
      <c r="A147" s="30">
        <v>1</v>
      </c>
      <c r="B147" s="30" t="s">
        <v>167</v>
      </c>
      <c r="C147" s="30" t="s">
        <v>6</v>
      </c>
      <c r="D147" s="30" t="s">
        <v>10</v>
      </c>
      <c r="E147" s="30" t="s">
        <v>14</v>
      </c>
      <c r="F147" s="11"/>
      <c r="G147" s="30">
        <v>1</v>
      </c>
      <c r="H147" s="263" t="s">
        <v>388</v>
      </c>
      <c r="I147" s="21" t="s">
        <v>418</v>
      </c>
      <c r="J147" s="21" t="s">
        <v>604</v>
      </c>
      <c r="K147" s="30" t="s">
        <v>90</v>
      </c>
      <c r="L147" s="36">
        <v>2</v>
      </c>
      <c r="M147" s="18">
        <v>5.65</v>
      </c>
      <c r="N147" s="31">
        <v>44704</v>
      </c>
      <c r="O147" s="30" t="s">
        <v>115</v>
      </c>
    </row>
    <row r="148" spans="1:15" s="30" customFormat="1" ht="30" customHeight="1" x14ac:dyDescent="0.25">
      <c r="A148" s="30">
        <v>1</v>
      </c>
      <c r="B148" s="30" t="s">
        <v>167</v>
      </c>
      <c r="C148" s="30" t="s">
        <v>6</v>
      </c>
      <c r="D148" s="30" t="s">
        <v>10</v>
      </c>
      <c r="E148" s="30" t="s">
        <v>14</v>
      </c>
      <c r="F148" s="11"/>
      <c r="G148" s="30">
        <v>1</v>
      </c>
      <c r="H148" s="263" t="s">
        <v>388</v>
      </c>
      <c r="I148" s="21" t="s">
        <v>418</v>
      </c>
      <c r="J148" s="21" t="s">
        <v>605</v>
      </c>
      <c r="K148" s="30" t="s">
        <v>90</v>
      </c>
      <c r="L148" s="36">
        <v>2</v>
      </c>
      <c r="M148" s="18">
        <v>5.65</v>
      </c>
      <c r="N148" s="31">
        <v>44704</v>
      </c>
      <c r="O148" s="30" t="s">
        <v>115</v>
      </c>
    </row>
    <row r="149" spans="1:15" s="30" customFormat="1" ht="15" customHeight="1" x14ac:dyDescent="0.25">
      <c r="A149" s="30">
        <v>1</v>
      </c>
      <c r="B149" s="30" t="s">
        <v>167</v>
      </c>
      <c r="C149" s="30" t="s">
        <v>6</v>
      </c>
      <c r="D149" s="30" t="s">
        <v>10</v>
      </c>
      <c r="E149" s="30" t="s">
        <v>14</v>
      </c>
      <c r="F149" s="11"/>
      <c r="G149" s="30">
        <v>1</v>
      </c>
      <c r="H149" s="263" t="s">
        <v>388</v>
      </c>
      <c r="I149" s="21" t="s">
        <v>418</v>
      </c>
      <c r="J149" s="21" t="s">
        <v>603</v>
      </c>
      <c r="K149" s="30" t="s">
        <v>90</v>
      </c>
      <c r="L149" s="36">
        <v>2</v>
      </c>
      <c r="M149" s="18">
        <v>6.42</v>
      </c>
      <c r="N149" s="31">
        <v>44704</v>
      </c>
      <c r="O149" s="30" t="s">
        <v>115</v>
      </c>
    </row>
    <row r="150" spans="1:15" s="30" customFormat="1" ht="15" customHeight="1" x14ac:dyDescent="0.25">
      <c r="A150" s="30">
        <v>1</v>
      </c>
      <c r="B150" s="30" t="s">
        <v>168</v>
      </c>
      <c r="C150" s="30" t="s">
        <v>6</v>
      </c>
      <c r="D150" s="30" t="s">
        <v>10</v>
      </c>
      <c r="E150" s="30" t="s">
        <v>14</v>
      </c>
      <c r="F150" s="11"/>
      <c r="G150" s="30">
        <v>1</v>
      </c>
      <c r="H150" s="263" t="s">
        <v>390</v>
      </c>
      <c r="I150" s="21" t="s">
        <v>35</v>
      </c>
      <c r="J150" s="21" t="s">
        <v>535</v>
      </c>
      <c r="K150" s="30" t="s">
        <v>116</v>
      </c>
      <c r="L150" s="36">
        <v>1</v>
      </c>
      <c r="M150" s="18">
        <v>6.73</v>
      </c>
      <c r="N150" s="31">
        <v>44704</v>
      </c>
      <c r="O150" s="30" t="s">
        <v>115</v>
      </c>
    </row>
    <row r="151" spans="1:15" s="30" customFormat="1" ht="15" customHeight="1" x14ac:dyDescent="0.25">
      <c r="A151" s="30">
        <v>1</v>
      </c>
      <c r="B151" s="30" t="s">
        <v>168</v>
      </c>
      <c r="C151" s="30" t="s">
        <v>6</v>
      </c>
      <c r="D151" s="30" t="s">
        <v>10</v>
      </c>
      <c r="E151" s="30" t="s">
        <v>14</v>
      </c>
      <c r="F151" s="11"/>
      <c r="G151" s="30">
        <v>1</v>
      </c>
      <c r="H151" s="263" t="s">
        <v>389</v>
      </c>
      <c r="I151" s="21" t="s">
        <v>418</v>
      </c>
      <c r="J151" s="21" t="s">
        <v>607</v>
      </c>
      <c r="K151" s="30" t="s">
        <v>90</v>
      </c>
      <c r="L151" s="36">
        <v>1</v>
      </c>
      <c r="M151" s="18">
        <v>1.34</v>
      </c>
      <c r="N151" s="31">
        <v>44704</v>
      </c>
      <c r="O151" s="30" t="s">
        <v>115</v>
      </c>
    </row>
    <row r="152" spans="1:15" s="30" customFormat="1" ht="15" customHeight="1" x14ac:dyDescent="0.25">
      <c r="A152" s="30">
        <v>1</v>
      </c>
      <c r="B152" s="30" t="s">
        <v>168</v>
      </c>
      <c r="C152" s="30" t="s">
        <v>6</v>
      </c>
      <c r="D152" s="30" t="s">
        <v>10</v>
      </c>
      <c r="E152" s="30" t="s">
        <v>14</v>
      </c>
      <c r="F152" s="11"/>
      <c r="G152" s="30">
        <v>1</v>
      </c>
      <c r="H152" s="263" t="s">
        <v>394</v>
      </c>
      <c r="I152" s="21" t="s">
        <v>418</v>
      </c>
      <c r="J152" s="21" t="s">
        <v>609</v>
      </c>
      <c r="K152" s="30" t="s">
        <v>107</v>
      </c>
      <c r="L152" s="36">
        <v>10</v>
      </c>
      <c r="M152" s="18">
        <v>19.75</v>
      </c>
      <c r="N152" s="31">
        <v>44704</v>
      </c>
      <c r="O152" s="30" t="s">
        <v>114</v>
      </c>
    </row>
    <row r="153" spans="1:15" s="30" customFormat="1" ht="30" customHeight="1" x14ac:dyDescent="0.25">
      <c r="A153" s="30">
        <v>1</v>
      </c>
      <c r="B153" s="30" t="s">
        <v>168</v>
      </c>
      <c r="C153" s="30" t="s">
        <v>6</v>
      </c>
      <c r="D153" s="30" t="s">
        <v>10</v>
      </c>
      <c r="E153" s="30" t="s">
        <v>14</v>
      </c>
      <c r="F153" s="11"/>
      <c r="G153" s="30">
        <v>1</v>
      </c>
      <c r="H153" s="263" t="s">
        <v>394</v>
      </c>
      <c r="I153" s="21" t="s">
        <v>418</v>
      </c>
      <c r="J153" s="21" t="s">
        <v>608</v>
      </c>
      <c r="K153" s="30" t="s">
        <v>107</v>
      </c>
      <c r="L153" s="36">
        <v>15</v>
      </c>
      <c r="M153" s="18">
        <v>11.3</v>
      </c>
      <c r="N153" s="31">
        <v>44704</v>
      </c>
      <c r="O153" s="30" t="s">
        <v>114</v>
      </c>
    </row>
    <row r="154" spans="1:15" s="30" customFormat="1" ht="15" customHeight="1" x14ac:dyDescent="0.25">
      <c r="A154" s="30">
        <v>1</v>
      </c>
      <c r="B154" s="30" t="s">
        <v>167</v>
      </c>
      <c r="C154" s="30" t="s">
        <v>6</v>
      </c>
      <c r="D154" s="30" t="s">
        <v>10</v>
      </c>
      <c r="E154" s="30" t="s">
        <v>14</v>
      </c>
      <c r="F154" s="11">
        <v>105</v>
      </c>
      <c r="G154" s="30">
        <v>1</v>
      </c>
      <c r="H154" s="263" t="s">
        <v>389</v>
      </c>
      <c r="I154" s="21" t="s">
        <v>418</v>
      </c>
      <c r="J154" s="21" t="s">
        <v>606</v>
      </c>
      <c r="K154" s="30" t="s">
        <v>90</v>
      </c>
      <c r="L154" s="36">
        <v>1</v>
      </c>
      <c r="M154" s="18">
        <v>3.17</v>
      </c>
      <c r="N154" s="31">
        <v>44704</v>
      </c>
      <c r="O154" s="30" t="s">
        <v>114</v>
      </c>
    </row>
    <row r="155" spans="1:15" s="30" customFormat="1" ht="30" x14ac:dyDescent="0.25">
      <c r="A155" s="30">
        <v>1</v>
      </c>
      <c r="B155" s="30" t="s">
        <v>168</v>
      </c>
      <c r="C155" s="30" t="s">
        <v>6</v>
      </c>
      <c r="D155" s="30" t="s">
        <v>10</v>
      </c>
      <c r="E155" s="30" t="s">
        <v>14</v>
      </c>
      <c r="F155" s="11">
        <v>106</v>
      </c>
      <c r="G155" s="30">
        <v>1</v>
      </c>
      <c r="H155" s="263" t="s">
        <v>390</v>
      </c>
      <c r="I155" s="21" t="s">
        <v>38</v>
      </c>
      <c r="J155" s="21" t="s">
        <v>328</v>
      </c>
      <c r="K155" s="30" t="s">
        <v>94</v>
      </c>
      <c r="L155" s="36">
        <v>1</v>
      </c>
      <c r="M155" s="18">
        <v>6.73</v>
      </c>
      <c r="N155" s="31">
        <v>44704</v>
      </c>
      <c r="O155" s="30" t="s">
        <v>114</v>
      </c>
    </row>
    <row r="156" spans="1:15" s="30" customFormat="1" ht="15" customHeight="1" x14ac:dyDescent="0.25">
      <c r="A156" s="30">
        <v>1</v>
      </c>
      <c r="B156" s="30" t="s">
        <v>168</v>
      </c>
      <c r="C156" s="30" t="s">
        <v>6</v>
      </c>
      <c r="D156" s="30" t="s">
        <v>10</v>
      </c>
      <c r="E156" s="30" t="s">
        <v>14</v>
      </c>
      <c r="F156" s="11"/>
      <c r="G156" s="30">
        <v>1</v>
      </c>
      <c r="H156" s="263" t="s">
        <v>389</v>
      </c>
      <c r="I156" s="21" t="s">
        <v>68</v>
      </c>
      <c r="J156" s="21" t="s">
        <v>610</v>
      </c>
      <c r="K156" s="30" t="s">
        <v>107</v>
      </c>
      <c r="L156" s="36">
        <v>1</v>
      </c>
      <c r="M156" s="18">
        <v>3.8</v>
      </c>
      <c r="N156" s="31">
        <v>44704</v>
      </c>
      <c r="O156" s="30" t="s">
        <v>114</v>
      </c>
    </row>
    <row r="157" spans="1:15" s="30" customFormat="1" ht="15" customHeight="1" x14ac:dyDescent="0.25">
      <c r="A157" s="30">
        <v>1</v>
      </c>
      <c r="B157" s="30" t="s">
        <v>168</v>
      </c>
      <c r="C157" s="30" t="s">
        <v>6</v>
      </c>
      <c r="D157" s="30" t="s">
        <v>10</v>
      </c>
      <c r="E157" s="30" t="s">
        <v>297</v>
      </c>
      <c r="F157" s="11"/>
      <c r="G157" s="30">
        <v>1</v>
      </c>
      <c r="H157" s="263" t="s">
        <v>386</v>
      </c>
      <c r="I157" s="21" t="s">
        <v>68</v>
      </c>
      <c r="J157" s="21" t="s">
        <v>463</v>
      </c>
      <c r="K157" s="30" t="s">
        <v>107</v>
      </c>
      <c r="L157" s="36">
        <v>93</v>
      </c>
      <c r="M157" s="18">
        <v>234.1</v>
      </c>
      <c r="N157" s="31">
        <v>44704</v>
      </c>
      <c r="O157" s="30" t="s">
        <v>114</v>
      </c>
    </row>
    <row r="158" spans="1:15" s="30" customFormat="1" ht="15" customHeight="1" x14ac:dyDescent="0.25">
      <c r="A158" s="30">
        <v>1</v>
      </c>
      <c r="B158" s="30" t="s">
        <v>168</v>
      </c>
      <c r="C158" s="30" t="s">
        <v>6</v>
      </c>
      <c r="D158" s="30" t="s">
        <v>10</v>
      </c>
      <c r="E158" s="30" t="s">
        <v>297</v>
      </c>
      <c r="F158" s="11"/>
      <c r="G158" s="30">
        <v>1</v>
      </c>
      <c r="H158" s="263" t="s">
        <v>30</v>
      </c>
      <c r="I158" s="21" t="s">
        <v>30</v>
      </c>
      <c r="J158" s="262" t="s">
        <v>900</v>
      </c>
      <c r="K158" s="30" t="s">
        <v>116</v>
      </c>
      <c r="L158" s="36">
        <v>110</v>
      </c>
      <c r="M158" s="37">
        <v>12.08</v>
      </c>
      <c r="N158" s="31">
        <v>44704</v>
      </c>
      <c r="O158" s="30" t="s">
        <v>114</v>
      </c>
    </row>
    <row r="159" spans="1:15" s="30" customFormat="1" ht="15" customHeight="1" x14ac:dyDescent="0.25">
      <c r="A159" s="30">
        <v>1</v>
      </c>
      <c r="B159" s="30" t="s">
        <v>168</v>
      </c>
      <c r="C159" s="30" t="s">
        <v>6</v>
      </c>
      <c r="D159" s="30" t="s">
        <v>10</v>
      </c>
      <c r="E159" s="30" t="s">
        <v>297</v>
      </c>
      <c r="F159" s="11"/>
      <c r="G159" s="30">
        <v>1</v>
      </c>
      <c r="H159" s="263" t="s">
        <v>30</v>
      </c>
      <c r="I159" s="21" t="s">
        <v>30</v>
      </c>
      <c r="J159" s="21" t="s">
        <v>522</v>
      </c>
      <c r="K159" s="30" t="s">
        <v>116</v>
      </c>
      <c r="L159" s="36">
        <v>2</v>
      </c>
      <c r="M159" s="37">
        <v>10.61</v>
      </c>
      <c r="N159" s="31">
        <v>44704</v>
      </c>
      <c r="O159" s="30" t="s">
        <v>114</v>
      </c>
    </row>
    <row r="160" spans="1:15" s="30" customFormat="1" ht="15" customHeight="1" x14ac:dyDescent="0.25">
      <c r="A160" s="30">
        <v>1</v>
      </c>
      <c r="B160" s="30" t="s">
        <v>168</v>
      </c>
      <c r="C160" s="30" t="s">
        <v>6</v>
      </c>
      <c r="D160" s="30" t="s">
        <v>10</v>
      </c>
      <c r="E160" s="30" t="s">
        <v>297</v>
      </c>
      <c r="F160" s="11"/>
      <c r="G160" s="30">
        <v>1</v>
      </c>
      <c r="H160" s="263" t="s">
        <v>30</v>
      </c>
      <c r="I160" s="21" t="s">
        <v>30</v>
      </c>
      <c r="J160" s="21" t="s">
        <v>800</v>
      </c>
      <c r="K160" s="30" t="s">
        <v>116</v>
      </c>
      <c r="L160" s="36"/>
      <c r="M160" s="37">
        <v>67.13</v>
      </c>
      <c r="N160" s="31">
        <v>44704</v>
      </c>
    </row>
    <row r="161" spans="1:15" s="30" customFormat="1" ht="15" customHeight="1" x14ac:dyDescent="0.25">
      <c r="A161" s="30">
        <v>1</v>
      </c>
      <c r="B161" s="30" t="s">
        <v>168</v>
      </c>
      <c r="C161" s="30" t="s">
        <v>6</v>
      </c>
      <c r="D161" s="30" t="s">
        <v>10</v>
      </c>
      <c r="E161" s="30" t="s">
        <v>297</v>
      </c>
      <c r="F161" s="11"/>
      <c r="G161" s="30">
        <v>1</v>
      </c>
      <c r="H161" s="263" t="s">
        <v>389</v>
      </c>
      <c r="I161" s="21" t="s">
        <v>68</v>
      </c>
      <c r="J161" s="21" t="s">
        <v>104</v>
      </c>
      <c r="K161" s="30" t="s">
        <v>116</v>
      </c>
      <c r="L161" s="36">
        <v>1</v>
      </c>
      <c r="M161" s="37">
        <v>5.41</v>
      </c>
      <c r="N161" s="31">
        <v>44704</v>
      </c>
      <c r="O161" s="30" t="s">
        <v>114</v>
      </c>
    </row>
    <row r="162" spans="1:15" s="30" customFormat="1" ht="15" customHeight="1" x14ac:dyDescent="0.25">
      <c r="A162" s="30">
        <v>1</v>
      </c>
      <c r="B162" s="30" t="s">
        <v>168</v>
      </c>
      <c r="C162" s="30" t="s">
        <v>6</v>
      </c>
      <c r="D162" s="30" t="s">
        <v>10</v>
      </c>
      <c r="E162" s="30" t="s">
        <v>297</v>
      </c>
      <c r="F162" s="11"/>
      <c r="G162" s="30">
        <v>1</v>
      </c>
      <c r="H162" s="263" t="s">
        <v>389</v>
      </c>
      <c r="I162" s="21" t="s">
        <v>30</v>
      </c>
      <c r="J162" s="21" t="s">
        <v>523</v>
      </c>
      <c r="K162" s="30" t="s">
        <v>116</v>
      </c>
      <c r="L162" s="36">
        <v>1</v>
      </c>
      <c r="M162" s="37">
        <v>2.71</v>
      </c>
      <c r="N162" s="31">
        <v>44704</v>
      </c>
      <c r="O162" s="30" t="s">
        <v>115</v>
      </c>
    </row>
    <row r="163" spans="1:15" s="30" customFormat="1" ht="15" customHeight="1" x14ac:dyDescent="0.25">
      <c r="A163" s="30">
        <v>1</v>
      </c>
      <c r="B163" s="30" t="s">
        <v>168</v>
      </c>
      <c r="C163" s="30" t="s">
        <v>6</v>
      </c>
      <c r="D163" s="30" t="s">
        <v>10</v>
      </c>
      <c r="E163" s="30" t="s">
        <v>297</v>
      </c>
      <c r="F163" s="11"/>
      <c r="G163" s="30">
        <v>1</v>
      </c>
      <c r="H163" s="263" t="s">
        <v>30</v>
      </c>
      <c r="I163" s="21" t="s">
        <v>30</v>
      </c>
      <c r="J163" s="21" t="s">
        <v>522</v>
      </c>
      <c r="K163" s="30" t="s">
        <v>116</v>
      </c>
      <c r="L163" s="36">
        <v>1</v>
      </c>
      <c r="M163" s="37">
        <v>8.91</v>
      </c>
      <c r="N163" s="31">
        <v>44704</v>
      </c>
      <c r="O163" s="30" t="s">
        <v>114</v>
      </c>
    </row>
    <row r="164" spans="1:15" s="30" customFormat="1" ht="15" customHeight="1" x14ac:dyDescent="0.25">
      <c r="A164" s="30">
        <v>1</v>
      </c>
      <c r="B164" s="30" t="s">
        <v>168</v>
      </c>
      <c r="C164" s="30" t="s">
        <v>6</v>
      </c>
      <c r="D164" s="30" t="s">
        <v>10</v>
      </c>
      <c r="E164" s="30" t="s">
        <v>297</v>
      </c>
      <c r="F164" s="11"/>
      <c r="G164" s="30">
        <v>1</v>
      </c>
      <c r="H164" s="263" t="s">
        <v>23</v>
      </c>
      <c r="I164" s="21" t="s">
        <v>30</v>
      </c>
      <c r="J164" s="21" t="s">
        <v>524</v>
      </c>
      <c r="K164" s="30" t="s">
        <v>116</v>
      </c>
      <c r="L164" s="36">
        <v>1</v>
      </c>
      <c r="M164" s="37">
        <v>10.6</v>
      </c>
      <c r="N164" s="31">
        <v>44704</v>
      </c>
      <c r="O164" s="30" t="s">
        <v>115</v>
      </c>
    </row>
    <row r="165" spans="1:15" s="30" customFormat="1" ht="15" customHeight="1" x14ac:dyDescent="0.25">
      <c r="A165" s="30">
        <v>1</v>
      </c>
      <c r="B165" s="30" t="s">
        <v>168</v>
      </c>
      <c r="C165" s="30" t="s">
        <v>6</v>
      </c>
      <c r="D165" s="30" t="s">
        <v>10</v>
      </c>
      <c r="E165" s="30" t="s">
        <v>297</v>
      </c>
      <c r="F165" s="11"/>
      <c r="G165" s="30">
        <v>1</v>
      </c>
      <c r="H165" s="263" t="s">
        <v>23</v>
      </c>
      <c r="I165" s="21" t="s">
        <v>30</v>
      </c>
      <c r="J165" s="21" t="s">
        <v>525</v>
      </c>
      <c r="K165" s="30" t="s">
        <v>116</v>
      </c>
      <c r="L165" s="36">
        <v>1</v>
      </c>
      <c r="M165" s="37">
        <v>10.57</v>
      </c>
      <c r="N165" s="31">
        <v>44704</v>
      </c>
      <c r="O165" s="30" t="s">
        <v>114</v>
      </c>
    </row>
    <row r="166" spans="1:15" s="30" customFormat="1" ht="15" customHeight="1" x14ac:dyDescent="0.25">
      <c r="A166" s="30">
        <v>1</v>
      </c>
      <c r="B166" s="30" t="s">
        <v>168</v>
      </c>
      <c r="C166" s="30" t="s">
        <v>6</v>
      </c>
      <c r="D166" s="30" t="s">
        <v>10</v>
      </c>
      <c r="E166" s="30" t="s">
        <v>297</v>
      </c>
      <c r="F166" s="11"/>
      <c r="G166" s="30">
        <v>1</v>
      </c>
      <c r="H166" s="263" t="s">
        <v>23</v>
      </c>
      <c r="I166" s="21" t="s">
        <v>30</v>
      </c>
      <c r="J166" s="21" t="s">
        <v>526</v>
      </c>
      <c r="K166" s="30" t="s">
        <v>116</v>
      </c>
      <c r="L166" s="36">
        <v>2</v>
      </c>
      <c r="M166" s="37">
        <v>28.55</v>
      </c>
      <c r="N166" s="31">
        <v>44704</v>
      </c>
      <c r="O166" s="30" t="s">
        <v>115</v>
      </c>
    </row>
    <row r="167" spans="1:15" s="30" customFormat="1" ht="15" customHeight="1" x14ac:dyDescent="0.25">
      <c r="A167" s="30">
        <v>1</v>
      </c>
      <c r="B167" s="30" t="s">
        <v>165</v>
      </c>
      <c r="C167" s="30" t="s">
        <v>6</v>
      </c>
      <c r="D167" s="30" t="s">
        <v>10</v>
      </c>
      <c r="E167" s="30" t="s">
        <v>297</v>
      </c>
      <c r="F167" s="11"/>
      <c r="G167" s="30">
        <v>1</v>
      </c>
      <c r="H167" s="263" t="s">
        <v>23</v>
      </c>
      <c r="I167" s="21" t="s">
        <v>69</v>
      </c>
      <c r="J167" s="50" t="s">
        <v>931</v>
      </c>
      <c r="K167" s="30" t="s">
        <v>116</v>
      </c>
      <c r="L167" s="36">
        <v>6</v>
      </c>
      <c r="M167" s="37">
        <v>16.420000000000002</v>
      </c>
      <c r="N167" s="256">
        <v>44704</v>
      </c>
      <c r="O167" s="30" t="s">
        <v>114</v>
      </c>
    </row>
    <row r="168" spans="1:15" s="30" customFormat="1" ht="15" customHeight="1" x14ac:dyDescent="0.25">
      <c r="A168" s="30">
        <v>1</v>
      </c>
      <c r="B168" s="30" t="s">
        <v>168</v>
      </c>
      <c r="C168" s="30" t="s">
        <v>6</v>
      </c>
      <c r="D168" s="30" t="s">
        <v>10</v>
      </c>
      <c r="E168" s="30" t="s">
        <v>297</v>
      </c>
      <c r="F168" s="11"/>
      <c r="G168" s="30">
        <v>1</v>
      </c>
      <c r="H168" s="263" t="s">
        <v>23</v>
      </c>
      <c r="I168" s="21" t="s">
        <v>69</v>
      </c>
      <c r="J168" s="50" t="s">
        <v>930</v>
      </c>
      <c r="K168" s="30" t="s">
        <v>116</v>
      </c>
      <c r="L168" s="36">
        <v>1</v>
      </c>
      <c r="M168" s="37">
        <v>20.28</v>
      </c>
      <c r="N168" s="256">
        <v>45348</v>
      </c>
      <c r="O168" s="30" t="s">
        <v>114</v>
      </c>
    </row>
    <row r="169" spans="1:15" s="30" customFormat="1" ht="15" customHeight="1" x14ac:dyDescent="0.25">
      <c r="A169" s="30">
        <v>1</v>
      </c>
      <c r="B169" s="30" t="s">
        <v>168</v>
      </c>
      <c r="C169" s="30" t="s">
        <v>6</v>
      </c>
      <c r="D169" s="30" t="s">
        <v>10</v>
      </c>
      <c r="E169" s="30" t="s">
        <v>297</v>
      </c>
      <c r="F169" s="11"/>
      <c r="G169" s="30">
        <v>1</v>
      </c>
      <c r="H169" s="263" t="s">
        <v>30</v>
      </c>
      <c r="I169" s="21" t="s">
        <v>30</v>
      </c>
      <c r="J169" s="21" t="s">
        <v>528</v>
      </c>
      <c r="K169" s="30" t="s">
        <v>116</v>
      </c>
      <c r="L169" s="36">
        <v>51</v>
      </c>
      <c r="M169" s="37">
        <v>96.12</v>
      </c>
      <c r="N169" s="31">
        <v>44704</v>
      </c>
      <c r="O169" s="30" t="s">
        <v>114</v>
      </c>
    </row>
    <row r="170" spans="1:15" s="30" customFormat="1" ht="15" customHeight="1" x14ac:dyDescent="0.25">
      <c r="A170" s="30">
        <v>1</v>
      </c>
      <c r="B170" s="30" t="s">
        <v>170</v>
      </c>
      <c r="C170" s="30" t="s">
        <v>6</v>
      </c>
      <c r="D170" s="30" t="s">
        <v>10</v>
      </c>
      <c r="E170" s="30" t="s">
        <v>297</v>
      </c>
      <c r="F170" s="11"/>
      <c r="G170" s="30">
        <v>1</v>
      </c>
      <c r="H170" s="263" t="s">
        <v>394</v>
      </c>
      <c r="I170" s="21" t="s">
        <v>30</v>
      </c>
      <c r="J170" s="21" t="s">
        <v>331</v>
      </c>
      <c r="K170" s="30" t="s">
        <v>94</v>
      </c>
      <c r="L170" s="36">
        <v>0</v>
      </c>
      <c r="M170" s="37">
        <v>97.81</v>
      </c>
      <c r="N170" s="31">
        <v>44704</v>
      </c>
      <c r="O170" s="30" t="s">
        <v>114</v>
      </c>
    </row>
    <row r="171" spans="1:15" s="30" customFormat="1" ht="15.6" customHeight="1" x14ac:dyDescent="0.25">
      <c r="A171" s="30">
        <v>1</v>
      </c>
      <c r="B171" s="30" t="s">
        <v>168</v>
      </c>
      <c r="C171" s="30" t="s">
        <v>6</v>
      </c>
      <c r="D171" s="30" t="s">
        <v>10</v>
      </c>
      <c r="E171" s="30" t="s">
        <v>297</v>
      </c>
      <c r="F171" s="11"/>
      <c r="G171" s="30">
        <v>1</v>
      </c>
      <c r="H171" s="263" t="s">
        <v>30</v>
      </c>
      <c r="I171" s="21" t="s">
        <v>30</v>
      </c>
      <c r="J171" s="21" t="s">
        <v>529</v>
      </c>
      <c r="K171" s="30" t="s">
        <v>116</v>
      </c>
      <c r="L171" s="36">
        <v>2</v>
      </c>
      <c r="M171" s="37">
        <v>143.11000000000001</v>
      </c>
      <c r="N171" s="31">
        <v>44704</v>
      </c>
      <c r="O171" s="30" t="s">
        <v>114</v>
      </c>
    </row>
    <row r="172" spans="1:15" s="30" customFormat="1" ht="15" customHeight="1" x14ac:dyDescent="0.25">
      <c r="A172" s="30">
        <v>1</v>
      </c>
      <c r="B172" s="30" t="s">
        <v>168</v>
      </c>
      <c r="C172" s="30" t="s">
        <v>6</v>
      </c>
      <c r="D172" s="30" t="s">
        <v>10</v>
      </c>
      <c r="E172" s="30" t="s">
        <v>297</v>
      </c>
      <c r="F172" s="11"/>
      <c r="G172" s="30">
        <v>1</v>
      </c>
      <c r="H172" s="263" t="s">
        <v>30</v>
      </c>
      <c r="I172" s="21" t="s">
        <v>30</v>
      </c>
      <c r="J172" s="21" t="s">
        <v>799</v>
      </c>
      <c r="K172" s="30" t="s">
        <v>116</v>
      </c>
      <c r="L172" s="36">
        <v>10</v>
      </c>
      <c r="M172" s="37">
        <v>5.43</v>
      </c>
      <c r="N172" s="31">
        <v>44704</v>
      </c>
      <c r="O172" s="30" t="s">
        <v>114</v>
      </c>
    </row>
    <row r="173" spans="1:15" s="30" customFormat="1" ht="15" customHeight="1" x14ac:dyDescent="0.25">
      <c r="A173" s="30">
        <v>1</v>
      </c>
      <c r="B173" s="30" t="s">
        <v>168</v>
      </c>
      <c r="C173" s="30" t="s">
        <v>6</v>
      </c>
      <c r="D173" s="30" t="s">
        <v>10</v>
      </c>
      <c r="E173" s="30" t="s">
        <v>297</v>
      </c>
      <c r="F173" s="11"/>
      <c r="G173" s="30">
        <v>1</v>
      </c>
      <c r="H173" s="263" t="s">
        <v>30</v>
      </c>
      <c r="I173" s="21" t="s">
        <v>30</v>
      </c>
      <c r="J173" s="21" t="s">
        <v>531</v>
      </c>
      <c r="K173" s="30" t="s">
        <v>116</v>
      </c>
      <c r="L173" s="36">
        <v>34</v>
      </c>
      <c r="M173" s="37">
        <v>85.47</v>
      </c>
      <c r="N173" s="31">
        <v>44704</v>
      </c>
      <c r="O173" s="30" t="s">
        <v>114</v>
      </c>
    </row>
    <row r="174" spans="1:15" s="30" customFormat="1" ht="15" customHeight="1" x14ac:dyDescent="0.25">
      <c r="A174" s="30">
        <v>1</v>
      </c>
      <c r="B174" s="30" t="s">
        <v>168</v>
      </c>
      <c r="C174" s="30" t="s">
        <v>6</v>
      </c>
      <c r="D174" s="30" t="s">
        <v>10</v>
      </c>
      <c r="E174" s="30" t="s">
        <v>297</v>
      </c>
      <c r="F174" s="11"/>
      <c r="G174" s="30">
        <v>1</v>
      </c>
      <c r="H174" s="263" t="s">
        <v>30</v>
      </c>
      <c r="I174" s="21" t="s">
        <v>30</v>
      </c>
      <c r="J174" s="21" t="s">
        <v>532</v>
      </c>
      <c r="K174" s="30" t="s">
        <v>116</v>
      </c>
      <c r="L174" s="36">
        <v>30</v>
      </c>
      <c r="M174" s="37">
        <v>74.09</v>
      </c>
      <c r="N174" s="31">
        <v>44704</v>
      </c>
      <c r="O174" s="30" t="s">
        <v>114</v>
      </c>
    </row>
    <row r="175" spans="1:15" s="30" customFormat="1" ht="15" customHeight="1" x14ac:dyDescent="0.25">
      <c r="A175" s="30">
        <v>1</v>
      </c>
      <c r="B175" s="30" t="s">
        <v>168</v>
      </c>
      <c r="C175" s="30" t="s">
        <v>6</v>
      </c>
      <c r="D175" s="30" t="s">
        <v>10</v>
      </c>
      <c r="E175" s="30" t="s">
        <v>297</v>
      </c>
      <c r="F175" s="11"/>
      <c r="G175" s="30">
        <v>1</v>
      </c>
      <c r="H175" s="263" t="s">
        <v>394</v>
      </c>
      <c r="I175" s="21" t="s">
        <v>30</v>
      </c>
      <c r="J175" s="21" t="s">
        <v>533</v>
      </c>
      <c r="K175" s="30" t="s">
        <v>116</v>
      </c>
      <c r="L175" s="36">
        <v>0</v>
      </c>
      <c r="M175" s="37">
        <v>10.35</v>
      </c>
      <c r="N175" s="31">
        <v>44704</v>
      </c>
      <c r="O175" s="30" t="s">
        <v>114</v>
      </c>
    </row>
    <row r="176" spans="1:15" s="30" customFormat="1" ht="15" customHeight="1" x14ac:dyDescent="0.25">
      <c r="A176" s="30">
        <v>1</v>
      </c>
      <c r="B176" s="30" t="s">
        <v>168</v>
      </c>
      <c r="C176" s="30" t="s">
        <v>6</v>
      </c>
      <c r="D176" s="30" t="s">
        <v>10</v>
      </c>
      <c r="E176" s="30" t="s">
        <v>297</v>
      </c>
      <c r="F176" s="11"/>
      <c r="G176" s="30">
        <v>1</v>
      </c>
      <c r="H176" s="263" t="s">
        <v>30</v>
      </c>
      <c r="I176" s="21" t="s">
        <v>30</v>
      </c>
      <c r="J176" s="21" t="s">
        <v>530</v>
      </c>
      <c r="K176" s="30" t="s">
        <v>116</v>
      </c>
      <c r="L176" s="36">
        <v>12</v>
      </c>
      <c r="M176" s="37">
        <v>22.81</v>
      </c>
      <c r="N176" s="31">
        <v>44704</v>
      </c>
      <c r="O176" s="30" t="s">
        <v>114</v>
      </c>
    </row>
    <row r="177" spans="1:15 16383:16383" s="30" customFormat="1" ht="15" customHeight="1" x14ac:dyDescent="0.25">
      <c r="A177" s="30">
        <v>1</v>
      </c>
      <c r="B177" s="30" t="s">
        <v>168</v>
      </c>
      <c r="C177" s="30" t="s">
        <v>6</v>
      </c>
      <c r="D177" s="30" t="s">
        <v>10</v>
      </c>
      <c r="E177" s="30" t="s">
        <v>297</v>
      </c>
      <c r="F177" s="11"/>
      <c r="G177" s="30">
        <v>1</v>
      </c>
      <c r="H177" s="263" t="s">
        <v>398</v>
      </c>
      <c r="I177" s="21" t="s">
        <v>68</v>
      </c>
      <c r="J177" s="21" t="s">
        <v>448</v>
      </c>
      <c r="K177" s="30" t="s">
        <v>94</v>
      </c>
      <c r="L177" s="36">
        <v>1</v>
      </c>
      <c r="M177" s="18">
        <v>1.65</v>
      </c>
      <c r="N177" s="31">
        <v>44704</v>
      </c>
      <c r="O177" s="30" t="s">
        <v>114</v>
      </c>
    </row>
    <row r="178" spans="1:15 16383:16383" s="30" customFormat="1" ht="15" customHeight="1" x14ac:dyDescent="0.25">
      <c r="A178" s="30">
        <v>1</v>
      </c>
      <c r="B178" s="30" t="s">
        <v>168</v>
      </c>
      <c r="C178" s="30" t="s">
        <v>6</v>
      </c>
      <c r="D178" s="30" t="s">
        <v>10</v>
      </c>
      <c r="E178" s="30" t="s">
        <v>14</v>
      </c>
      <c r="F178" s="11"/>
      <c r="G178" s="30">
        <v>1</v>
      </c>
      <c r="H178" s="263" t="s">
        <v>398</v>
      </c>
      <c r="I178" s="21" t="s">
        <v>68</v>
      </c>
      <c r="J178" s="21" t="s">
        <v>449</v>
      </c>
      <c r="K178" s="30" t="s">
        <v>94</v>
      </c>
      <c r="L178" s="36">
        <v>1</v>
      </c>
      <c r="M178" s="18">
        <v>1.649</v>
      </c>
      <c r="N178" s="31">
        <v>44704</v>
      </c>
      <c r="O178" s="30" t="s">
        <v>114</v>
      </c>
    </row>
    <row r="179" spans="1:15 16383:16383" s="30" customFormat="1" ht="15" customHeight="1" x14ac:dyDescent="0.25">
      <c r="A179" s="30">
        <v>1</v>
      </c>
      <c r="B179" s="30" t="s">
        <v>168</v>
      </c>
      <c r="C179" s="30" t="s">
        <v>6</v>
      </c>
      <c r="D179" s="30" t="s">
        <v>10</v>
      </c>
      <c r="E179" s="30" t="s">
        <v>297</v>
      </c>
      <c r="F179" s="11"/>
      <c r="G179" s="30">
        <v>1</v>
      </c>
      <c r="H179" s="263" t="s">
        <v>398</v>
      </c>
      <c r="I179" s="21" t="s">
        <v>68</v>
      </c>
      <c r="J179" s="21" t="s">
        <v>449</v>
      </c>
      <c r="K179" s="30" t="s">
        <v>94</v>
      </c>
      <c r="L179" s="36">
        <v>1</v>
      </c>
      <c r="M179" s="18">
        <v>1.649</v>
      </c>
      <c r="N179" s="31">
        <v>44704</v>
      </c>
      <c r="O179" s="30" t="s">
        <v>114</v>
      </c>
    </row>
    <row r="180" spans="1:15 16383:16383" s="30" customFormat="1" ht="30.75" customHeight="1" x14ac:dyDescent="0.25">
      <c r="A180" s="30">
        <v>1</v>
      </c>
      <c r="B180" s="30" t="s">
        <v>169</v>
      </c>
      <c r="C180" s="30" t="s">
        <v>6</v>
      </c>
      <c r="D180" s="30" t="s">
        <v>10</v>
      </c>
      <c r="E180" s="30" t="s">
        <v>14</v>
      </c>
      <c r="F180" s="11"/>
      <c r="G180" s="30">
        <v>1</v>
      </c>
      <c r="H180" s="263" t="s">
        <v>399</v>
      </c>
      <c r="I180" s="21" t="s">
        <v>35</v>
      </c>
      <c r="J180" s="21" t="s">
        <v>255</v>
      </c>
      <c r="K180" s="30" t="s">
        <v>94</v>
      </c>
      <c r="L180" s="36">
        <v>1</v>
      </c>
      <c r="M180" s="18">
        <v>4.7</v>
      </c>
      <c r="N180" s="31">
        <v>44704</v>
      </c>
      <c r="O180" s="30" t="s">
        <v>114</v>
      </c>
    </row>
    <row r="181" spans="1:15 16383:16383" s="30" customFormat="1" ht="28.5" customHeight="1" x14ac:dyDescent="0.25">
      <c r="A181" s="30">
        <v>1</v>
      </c>
      <c r="B181" s="30" t="s">
        <v>169</v>
      </c>
      <c r="C181" s="30" t="s">
        <v>6</v>
      </c>
      <c r="D181" s="30" t="s">
        <v>10</v>
      </c>
      <c r="E181" s="30" t="s">
        <v>14</v>
      </c>
      <c r="F181" s="11"/>
      <c r="G181" s="30">
        <v>1</v>
      </c>
      <c r="H181" s="263" t="s">
        <v>399</v>
      </c>
      <c r="I181" s="21" t="s">
        <v>35</v>
      </c>
      <c r="J181" s="21" t="s">
        <v>256</v>
      </c>
      <c r="K181" s="30" t="s">
        <v>94</v>
      </c>
      <c r="L181" s="36">
        <v>2</v>
      </c>
      <c r="M181" s="18">
        <v>4.7</v>
      </c>
      <c r="N181" s="31">
        <v>44704</v>
      </c>
      <c r="O181" s="30" t="s">
        <v>114</v>
      </c>
    </row>
    <row r="182" spans="1:15 16383:16383" s="30" customFormat="1" ht="30" customHeight="1" x14ac:dyDescent="0.25">
      <c r="A182" s="30">
        <v>1</v>
      </c>
      <c r="B182" s="30" t="s">
        <v>169</v>
      </c>
      <c r="C182" s="30" t="s">
        <v>6</v>
      </c>
      <c r="D182" s="30" t="s">
        <v>10</v>
      </c>
      <c r="E182" s="30" t="s">
        <v>14</v>
      </c>
      <c r="F182" s="11"/>
      <c r="G182" s="30">
        <v>1</v>
      </c>
      <c r="H182" s="263" t="s">
        <v>399</v>
      </c>
      <c r="I182" s="21" t="s">
        <v>35</v>
      </c>
      <c r="J182" s="21" t="s">
        <v>534</v>
      </c>
      <c r="K182" s="30" t="s">
        <v>94</v>
      </c>
      <c r="L182" s="36">
        <v>1</v>
      </c>
      <c r="M182" s="18">
        <v>7.52</v>
      </c>
      <c r="N182" s="31">
        <v>44704</v>
      </c>
      <c r="O182" s="30" t="s">
        <v>114</v>
      </c>
    </row>
    <row r="183" spans="1:15 16383:16383" s="30" customFormat="1" ht="15" customHeight="1" x14ac:dyDescent="0.25">
      <c r="A183" s="30">
        <v>1</v>
      </c>
      <c r="B183" s="30" t="s">
        <v>170</v>
      </c>
      <c r="C183" s="30" t="s">
        <v>6</v>
      </c>
      <c r="D183" s="30" t="s">
        <v>10</v>
      </c>
      <c r="E183" s="30" t="s">
        <v>14</v>
      </c>
      <c r="F183" s="11"/>
      <c r="G183" s="30">
        <v>1</v>
      </c>
      <c r="H183" s="263" t="s">
        <v>394</v>
      </c>
      <c r="I183" s="21" t="s">
        <v>68</v>
      </c>
      <c r="J183" s="21" t="s">
        <v>269</v>
      </c>
      <c r="K183" s="30" t="s">
        <v>94</v>
      </c>
      <c r="L183" s="36">
        <v>0</v>
      </c>
      <c r="M183" s="18">
        <v>115.86</v>
      </c>
      <c r="N183" s="31">
        <v>44704</v>
      </c>
      <c r="O183" s="30" t="s">
        <v>114</v>
      </c>
    </row>
    <row r="184" spans="1:15 16383:16383" s="30" customFormat="1" ht="15" customHeight="1" x14ac:dyDescent="0.25">
      <c r="A184" s="30">
        <v>1</v>
      </c>
      <c r="B184" s="30" t="s">
        <v>170</v>
      </c>
      <c r="C184" s="30" t="s">
        <v>6</v>
      </c>
      <c r="D184" s="30" t="s">
        <v>10</v>
      </c>
      <c r="E184" s="30" t="s">
        <v>14</v>
      </c>
      <c r="F184" s="11"/>
      <c r="G184" s="30">
        <v>1</v>
      </c>
      <c r="H184" s="263" t="s">
        <v>394</v>
      </c>
      <c r="I184" s="21" t="s">
        <v>68</v>
      </c>
      <c r="J184" s="21" t="s">
        <v>270</v>
      </c>
      <c r="K184" s="30" t="s">
        <v>94</v>
      </c>
      <c r="L184" s="36">
        <v>0</v>
      </c>
      <c r="M184" s="18">
        <v>127.15</v>
      </c>
      <c r="N184" s="31">
        <v>44704</v>
      </c>
      <c r="O184" s="30" t="s">
        <v>114</v>
      </c>
    </row>
    <row r="185" spans="1:15 16383:16383" s="30" customFormat="1" ht="15" customHeight="1" x14ac:dyDescent="0.25">
      <c r="A185" s="30">
        <v>1</v>
      </c>
      <c r="B185" s="30" t="s">
        <v>170</v>
      </c>
      <c r="C185" s="30" t="s">
        <v>6</v>
      </c>
      <c r="D185" s="30" t="s">
        <v>10</v>
      </c>
      <c r="E185" s="30" t="s">
        <v>14</v>
      </c>
      <c r="F185" s="11"/>
      <c r="G185" s="30">
        <v>1</v>
      </c>
      <c r="H185" s="263" t="s">
        <v>394</v>
      </c>
      <c r="I185" s="21" t="s">
        <v>68</v>
      </c>
      <c r="J185" s="21" t="s">
        <v>271</v>
      </c>
      <c r="K185" s="30" t="s">
        <v>107</v>
      </c>
      <c r="L185" s="35">
        <v>0</v>
      </c>
      <c r="M185" s="22">
        <v>16.2</v>
      </c>
      <c r="N185" s="31">
        <v>44704</v>
      </c>
      <c r="O185" s="30" t="s">
        <v>114</v>
      </c>
    </row>
    <row r="186" spans="1:15 16383:16383" s="30" customFormat="1" ht="15" customHeight="1" x14ac:dyDescent="0.25">
      <c r="A186" s="30">
        <v>8</v>
      </c>
      <c r="B186" s="30" t="s">
        <v>165</v>
      </c>
      <c r="C186" s="30" t="s">
        <v>6</v>
      </c>
      <c r="D186" s="30" t="s">
        <v>10</v>
      </c>
      <c r="E186" s="30" t="s">
        <v>14</v>
      </c>
      <c r="F186" s="11" t="s">
        <v>208</v>
      </c>
      <c r="G186" s="30">
        <v>2</v>
      </c>
      <c r="H186" s="263" t="s">
        <v>117</v>
      </c>
      <c r="I186" s="21" t="s">
        <v>32</v>
      </c>
      <c r="J186" s="21" t="s">
        <v>265</v>
      </c>
      <c r="K186" s="30" t="s">
        <v>90</v>
      </c>
      <c r="L186" s="35">
        <v>16</v>
      </c>
      <c r="M186" s="22">
        <v>31.6</v>
      </c>
      <c r="N186" s="42">
        <v>44706</v>
      </c>
      <c r="O186" s="30" t="s">
        <v>115</v>
      </c>
    </row>
    <row r="187" spans="1:15 16383:16383" s="30" customFormat="1" ht="15" customHeight="1" x14ac:dyDescent="0.25">
      <c r="A187" s="30">
        <v>1</v>
      </c>
      <c r="B187" s="30" t="s">
        <v>165</v>
      </c>
      <c r="C187" s="30" t="s">
        <v>6</v>
      </c>
      <c r="D187" s="30" t="s">
        <v>10</v>
      </c>
      <c r="E187" s="30" t="s">
        <v>297</v>
      </c>
      <c r="F187" s="11">
        <v>207</v>
      </c>
      <c r="G187" s="30">
        <v>2</v>
      </c>
      <c r="H187" s="263" t="s">
        <v>21</v>
      </c>
      <c r="I187" s="21" t="s">
        <v>73</v>
      </c>
      <c r="J187" s="21" t="s">
        <v>434</v>
      </c>
      <c r="K187" s="30" t="s">
        <v>90</v>
      </c>
      <c r="L187" s="284">
        <v>20</v>
      </c>
      <c r="M187" s="22">
        <v>50.75</v>
      </c>
      <c r="N187" s="42">
        <v>44706</v>
      </c>
      <c r="O187" s="30" t="s">
        <v>115</v>
      </c>
    </row>
    <row r="188" spans="1:15 16383:16383" s="30" customFormat="1" ht="30" customHeight="1" x14ac:dyDescent="0.25">
      <c r="A188" s="30">
        <v>9</v>
      </c>
      <c r="B188" s="30" t="s">
        <v>165</v>
      </c>
      <c r="C188" s="30" t="s">
        <v>6</v>
      </c>
      <c r="D188" s="30" t="s">
        <v>10</v>
      </c>
      <c r="E188" s="30" t="s">
        <v>14</v>
      </c>
      <c r="F188" s="11" t="s">
        <v>540</v>
      </c>
      <c r="G188" s="30">
        <v>2</v>
      </c>
      <c r="H188" s="263" t="s">
        <v>26</v>
      </c>
      <c r="I188" s="21" t="s">
        <v>32</v>
      </c>
      <c r="J188" s="21" t="s">
        <v>138</v>
      </c>
      <c r="K188" s="30" t="s">
        <v>90</v>
      </c>
      <c r="L188" s="35">
        <v>22</v>
      </c>
      <c r="M188" s="22">
        <v>43.78</v>
      </c>
      <c r="N188" s="42">
        <v>44706</v>
      </c>
      <c r="O188" s="30" t="s">
        <v>115</v>
      </c>
    </row>
    <row r="189" spans="1:15 16383:16383" s="30" customFormat="1" ht="15" customHeight="1" x14ac:dyDescent="0.25">
      <c r="A189" s="30">
        <v>10</v>
      </c>
      <c r="B189" s="30" t="s">
        <v>165</v>
      </c>
      <c r="C189" s="30" t="s">
        <v>6</v>
      </c>
      <c r="D189" s="30" t="s">
        <v>10</v>
      </c>
      <c r="E189" s="30" t="s">
        <v>14</v>
      </c>
      <c r="F189" s="11" t="s">
        <v>541</v>
      </c>
      <c r="G189" s="30">
        <v>2</v>
      </c>
      <c r="H189" s="263" t="s">
        <v>26</v>
      </c>
      <c r="I189" s="21" t="s">
        <v>32</v>
      </c>
      <c r="J189" s="21" t="s">
        <v>138</v>
      </c>
      <c r="K189" s="30" t="s">
        <v>90</v>
      </c>
      <c r="L189" s="35">
        <v>26</v>
      </c>
      <c r="M189" s="22">
        <v>52.43</v>
      </c>
      <c r="N189" s="42">
        <v>44706</v>
      </c>
      <c r="O189" s="30" t="s">
        <v>115</v>
      </c>
    </row>
    <row r="190" spans="1:15 16383:16383" s="30" customFormat="1" ht="15" customHeight="1" x14ac:dyDescent="0.25">
      <c r="A190" s="30">
        <v>11</v>
      </c>
      <c r="B190" s="30" t="s">
        <v>165</v>
      </c>
      <c r="C190" s="30" t="s">
        <v>6</v>
      </c>
      <c r="D190" s="30" t="s">
        <v>10</v>
      </c>
      <c r="E190" s="30" t="s">
        <v>14</v>
      </c>
      <c r="F190" s="11" t="s">
        <v>542</v>
      </c>
      <c r="G190" s="30">
        <v>2</v>
      </c>
      <c r="H190" s="263" t="s">
        <v>26</v>
      </c>
      <c r="I190" s="21" t="s">
        <v>32</v>
      </c>
      <c r="J190" s="21" t="s">
        <v>138</v>
      </c>
      <c r="K190" s="30" t="s">
        <v>90</v>
      </c>
      <c r="L190" s="35">
        <v>25</v>
      </c>
      <c r="M190" s="22">
        <v>50.05</v>
      </c>
      <c r="N190" s="42">
        <v>44706</v>
      </c>
      <c r="O190" s="30" t="s">
        <v>115</v>
      </c>
    </row>
    <row r="191" spans="1:15 16383:16383" s="30" customFormat="1" ht="15" customHeight="1" x14ac:dyDescent="0.25">
      <c r="A191" s="30">
        <v>12</v>
      </c>
      <c r="B191" s="30" t="s">
        <v>165</v>
      </c>
      <c r="C191" s="30" t="s">
        <v>6</v>
      </c>
      <c r="D191" s="30" t="s">
        <v>10</v>
      </c>
      <c r="E191" s="30" t="s">
        <v>14</v>
      </c>
      <c r="F191" s="11" t="s">
        <v>543</v>
      </c>
      <c r="G191" s="30">
        <v>2</v>
      </c>
      <c r="H191" s="263" t="s">
        <v>23</v>
      </c>
      <c r="I191" s="21" t="s">
        <v>45</v>
      </c>
      <c r="J191" s="50" t="s">
        <v>932</v>
      </c>
      <c r="K191" s="30" t="s">
        <v>90</v>
      </c>
      <c r="L191" s="35">
        <v>27</v>
      </c>
      <c r="M191" s="22">
        <v>50</v>
      </c>
      <c r="N191" s="257">
        <v>45306</v>
      </c>
      <c r="O191" s="30" t="s">
        <v>115</v>
      </c>
    </row>
    <row r="192" spans="1:15 16383:16383" s="30" customFormat="1" ht="15" customHeight="1" x14ac:dyDescent="0.25">
      <c r="A192" s="30">
        <v>1</v>
      </c>
      <c r="B192" s="30" t="s">
        <v>165</v>
      </c>
      <c r="C192" s="30" t="s">
        <v>6</v>
      </c>
      <c r="D192" s="30" t="s">
        <v>10</v>
      </c>
      <c r="E192" s="30" t="s">
        <v>14</v>
      </c>
      <c r="F192" s="11"/>
      <c r="G192" s="30">
        <v>2</v>
      </c>
      <c r="H192" s="263" t="s">
        <v>23</v>
      </c>
      <c r="I192" s="21" t="s">
        <v>45</v>
      </c>
      <c r="J192" s="50" t="s">
        <v>932</v>
      </c>
      <c r="K192" s="30" t="s">
        <v>90</v>
      </c>
      <c r="L192" s="35">
        <v>12</v>
      </c>
      <c r="M192" s="22">
        <v>50.13</v>
      </c>
      <c r="N192" s="257">
        <v>45306</v>
      </c>
      <c r="O192" s="30" t="s">
        <v>115</v>
      </c>
      <c r="XFC192" s="239" t="s">
        <v>901</v>
      </c>
    </row>
    <row r="193" spans="1:15 16383:16383" s="30" customFormat="1" ht="15" customHeight="1" x14ac:dyDescent="0.25">
      <c r="A193" s="30">
        <v>1</v>
      </c>
      <c r="B193" s="30" t="s">
        <v>165</v>
      </c>
      <c r="C193" s="30" t="s">
        <v>6</v>
      </c>
      <c r="D193" s="30" t="s">
        <v>10</v>
      </c>
      <c r="E193" s="30" t="s">
        <v>297</v>
      </c>
      <c r="F193" s="11" t="s">
        <v>200</v>
      </c>
      <c r="G193" s="30">
        <v>2</v>
      </c>
      <c r="H193" s="263" t="s">
        <v>21</v>
      </c>
      <c r="I193" s="21" t="s">
        <v>73</v>
      </c>
      <c r="J193" s="21" t="s">
        <v>811</v>
      </c>
      <c r="K193" s="30" t="s">
        <v>90</v>
      </c>
      <c r="L193" s="35">
        <v>14</v>
      </c>
      <c r="M193" s="22">
        <v>33.119999999999997</v>
      </c>
      <c r="N193" s="42">
        <v>44706</v>
      </c>
      <c r="O193" s="30" t="s">
        <v>115</v>
      </c>
    </row>
    <row r="194" spans="1:15 16383:16383" s="30" customFormat="1" ht="30" x14ac:dyDescent="0.25">
      <c r="A194" s="30">
        <v>1</v>
      </c>
      <c r="B194" s="30" t="s">
        <v>168</v>
      </c>
      <c r="C194" s="30" t="s">
        <v>6</v>
      </c>
      <c r="D194" s="30" t="s">
        <v>10</v>
      </c>
      <c r="E194" s="30" t="s">
        <v>297</v>
      </c>
      <c r="F194" s="11" t="s">
        <v>201</v>
      </c>
      <c r="G194" s="30">
        <v>2</v>
      </c>
      <c r="H194" s="263" t="s">
        <v>23</v>
      </c>
      <c r="I194" s="21" t="s">
        <v>83</v>
      </c>
      <c r="J194" s="21" t="s">
        <v>452</v>
      </c>
      <c r="K194" s="30" t="s">
        <v>90</v>
      </c>
      <c r="L194" s="35">
        <v>2</v>
      </c>
      <c r="M194" s="22">
        <v>21.91</v>
      </c>
      <c r="N194" s="42">
        <v>44706</v>
      </c>
      <c r="O194" s="30" t="s">
        <v>115</v>
      </c>
    </row>
    <row r="195" spans="1:15 16383:16383" s="30" customFormat="1" ht="15" customHeight="1" x14ac:dyDescent="0.25">
      <c r="A195" s="30">
        <v>1</v>
      </c>
      <c r="B195" s="30" t="s">
        <v>168</v>
      </c>
      <c r="C195" s="30" t="s">
        <v>6</v>
      </c>
      <c r="D195" s="30" t="s">
        <v>10</v>
      </c>
      <c r="E195" s="30" t="s">
        <v>297</v>
      </c>
      <c r="F195" s="11" t="s">
        <v>202</v>
      </c>
      <c r="G195" s="30">
        <v>2</v>
      </c>
      <c r="H195" s="263" t="s">
        <v>23</v>
      </c>
      <c r="I195" s="21" t="s">
        <v>83</v>
      </c>
      <c r="J195" s="21" t="s">
        <v>453</v>
      </c>
      <c r="K195" s="30" t="s">
        <v>90</v>
      </c>
      <c r="L195" s="35">
        <v>1</v>
      </c>
      <c r="M195" s="22">
        <v>10.119999999999999</v>
      </c>
      <c r="N195" s="42">
        <v>44706</v>
      </c>
      <c r="O195" s="30" t="s">
        <v>115</v>
      </c>
    </row>
    <row r="196" spans="1:15 16383:16383" s="30" customFormat="1" ht="29.25" customHeight="1" x14ac:dyDescent="0.25">
      <c r="A196" s="30">
        <v>1</v>
      </c>
      <c r="B196" s="30" t="s">
        <v>168</v>
      </c>
      <c r="C196" s="30" t="s">
        <v>6</v>
      </c>
      <c r="D196" s="30" t="s">
        <v>10</v>
      </c>
      <c r="E196" s="30" t="s">
        <v>297</v>
      </c>
      <c r="F196" s="11" t="s">
        <v>203</v>
      </c>
      <c r="G196" s="30">
        <v>2</v>
      </c>
      <c r="H196" s="263" t="s">
        <v>23</v>
      </c>
      <c r="I196" s="21" t="s">
        <v>77</v>
      </c>
      <c r="J196" s="21" t="s">
        <v>452</v>
      </c>
      <c r="K196" s="30" t="s">
        <v>90</v>
      </c>
      <c r="L196" s="35">
        <v>1</v>
      </c>
      <c r="M196" s="22">
        <v>19.21</v>
      </c>
      <c r="N196" s="42">
        <v>44706</v>
      </c>
      <c r="O196" s="30" t="s">
        <v>115</v>
      </c>
    </row>
    <row r="197" spans="1:15 16383:16383" s="30" customFormat="1" ht="30" customHeight="1" x14ac:dyDescent="0.25">
      <c r="A197" s="30">
        <v>1</v>
      </c>
      <c r="B197" s="30" t="s">
        <v>168</v>
      </c>
      <c r="C197" s="30" t="s">
        <v>6</v>
      </c>
      <c r="D197" s="30" t="s">
        <v>10</v>
      </c>
      <c r="E197" s="30" t="s">
        <v>297</v>
      </c>
      <c r="F197" s="11" t="s">
        <v>204</v>
      </c>
      <c r="G197" s="30">
        <v>2</v>
      </c>
      <c r="H197" s="263" t="s">
        <v>23</v>
      </c>
      <c r="I197" s="21" t="s">
        <v>77</v>
      </c>
      <c r="J197" s="21" t="s">
        <v>471</v>
      </c>
      <c r="K197" s="30" t="s">
        <v>90</v>
      </c>
      <c r="L197" s="35">
        <v>1</v>
      </c>
      <c r="M197" s="22">
        <v>16.440000000000001</v>
      </c>
      <c r="N197" s="42">
        <v>44706</v>
      </c>
      <c r="O197" s="30" t="s">
        <v>115</v>
      </c>
    </row>
    <row r="198" spans="1:15 16383:16383" s="30" customFormat="1" ht="15" customHeight="1" x14ac:dyDescent="0.25">
      <c r="A198" s="30">
        <v>1</v>
      </c>
      <c r="B198" s="30" t="s">
        <v>168</v>
      </c>
      <c r="C198" s="30" t="s">
        <v>6</v>
      </c>
      <c r="D198" s="30" t="s">
        <v>10</v>
      </c>
      <c r="E198" s="30" t="s">
        <v>14</v>
      </c>
      <c r="F198" s="11"/>
      <c r="G198" s="30">
        <v>2</v>
      </c>
      <c r="H198" s="263" t="s">
        <v>117</v>
      </c>
      <c r="I198" s="21" t="s">
        <v>32</v>
      </c>
      <c r="J198" s="21" t="s">
        <v>223</v>
      </c>
      <c r="K198" s="30" t="s">
        <v>107</v>
      </c>
      <c r="L198" s="35">
        <v>20</v>
      </c>
      <c r="M198" s="22">
        <v>43.62</v>
      </c>
      <c r="N198" s="42">
        <v>44706</v>
      </c>
      <c r="O198" s="30" t="s">
        <v>115</v>
      </c>
    </row>
    <row r="199" spans="1:15 16383:16383" s="30" customFormat="1" ht="45" customHeight="1" x14ac:dyDescent="0.25">
      <c r="A199" s="30">
        <v>1</v>
      </c>
      <c r="B199" s="30" t="s">
        <v>168</v>
      </c>
      <c r="C199" s="30" t="s">
        <v>6</v>
      </c>
      <c r="D199" s="30" t="s">
        <v>10</v>
      </c>
      <c r="E199" s="30" t="s">
        <v>14</v>
      </c>
      <c r="F199" s="11"/>
      <c r="G199" s="30">
        <v>2</v>
      </c>
      <c r="H199" s="263" t="s">
        <v>394</v>
      </c>
      <c r="I199" s="21" t="s">
        <v>77</v>
      </c>
      <c r="J199" s="21" t="s">
        <v>225</v>
      </c>
      <c r="K199" s="30" t="s">
        <v>107</v>
      </c>
      <c r="L199" s="35">
        <v>12</v>
      </c>
      <c r="M199" s="22">
        <v>17.48</v>
      </c>
      <c r="N199" s="42">
        <v>44706</v>
      </c>
      <c r="O199" s="30" t="s">
        <v>115</v>
      </c>
    </row>
    <row r="200" spans="1:15 16383:16383" s="30" customFormat="1" ht="15" customHeight="1" x14ac:dyDescent="0.25">
      <c r="A200" s="30">
        <v>1</v>
      </c>
      <c r="B200" s="30" t="s">
        <v>168</v>
      </c>
      <c r="C200" s="30" t="s">
        <v>6</v>
      </c>
      <c r="D200" s="30" t="s">
        <v>10</v>
      </c>
      <c r="E200" s="30" t="s">
        <v>14</v>
      </c>
      <c r="F200" s="11"/>
      <c r="G200" s="30">
        <v>2</v>
      </c>
      <c r="H200" s="263" t="s">
        <v>389</v>
      </c>
      <c r="I200" s="21" t="s">
        <v>32</v>
      </c>
      <c r="J200" s="21" t="s">
        <v>546</v>
      </c>
      <c r="K200" s="30" t="s">
        <v>107</v>
      </c>
      <c r="L200" s="35">
        <v>2</v>
      </c>
      <c r="M200" s="22">
        <v>10.130000000000001</v>
      </c>
      <c r="N200" s="42">
        <v>44706</v>
      </c>
      <c r="O200" s="30" t="s">
        <v>115</v>
      </c>
    </row>
    <row r="201" spans="1:15 16383:16383" s="30" customFormat="1" ht="15" customHeight="1" x14ac:dyDescent="0.25">
      <c r="A201" s="30">
        <v>1</v>
      </c>
      <c r="B201" s="30" t="s">
        <v>168</v>
      </c>
      <c r="C201" s="30" t="s">
        <v>6</v>
      </c>
      <c r="D201" s="30" t="s">
        <v>10</v>
      </c>
      <c r="E201" s="30" t="s">
        <v>14</v>
      </c>
      <c r="F201" s="11"/>
      <c r="G201" s="30">
        <v>2</v>
      </c>
      <c r="H201" s="263" t="s">
        <v>23</v>
      </c>
      <c r="I201" s="21" t="s">
        <v>32</v>
      </c>
      <c r="J201" s="21" t="s">
        <v>474</v>
      </c>
      <c r="K201" s="30" t="s">
        <v>107</v>
      </c>
      <c r="L201" s="35">
        <v>1</v>
      </c>
      <c r="M201" s="22">
        <v>10.11</v>
      </c>
      <c r="N201" s="42">
        <v>44706</v>
      </c>
      <c r="O201" s="30" t="s">
        <v>115</v>
      </c>
    </row>
    <row r="202" spans="1:15 16383:16383" s="30" customFormat="1" ht="15" customHeight="1" x14ac:dyDescent="0.25">
      <c r="A202" s="30">
        <v>1</v>
      </c>
      <c r="B202" s="30" t="s">
        <v>168</v>
      </c>
      <c r="C202" s="30" t="s">
        <v>6</v>
      </c>
      <c r="D202" s="30" t="s">
        <v>10</v>
      </c>
      <c r="E202" s="30" t="s">
        <v>14</v>
      </c>
      <c r="F202" s="11"/>
      <c r="G202" s="30">
        <v>2</v>
      </c>
      <c r="H202" s="263" t="s">
        <v>23</v>
      </c>
      <c r="I202" s="21" t="s">
        <v>32</v>
      </c>
      <c r="J202" s="21" t="s">
        <v>544</v>
      </c>
      <c r="K202" s="30" t="s">
        <v>107</v>
      </c>
      <c r="L202" s="35">
        <v>1</v>
      </c>
      <c r="M202" s="22">
        <v>16.66</v>
      </c>
      <c r="N202" s="42">
        <v>44706</v>
      </c>
      <c r="O202" s="30" t="s">
        <v>115</v>
      </c>
    </row>
    <row r="203" spans="1:15 16383:16383" s="30" customFormat="1" ht="15" customHeight="1" x14ac:dyDescent="0.25">
      <c r="A203" s="30">
        <v>1</v>
      </c>
      <c r="B203" s="30" t="s">
        <v>168</v>
      </c>
      <c r="C203" s="30" t="s">
        <v>6</v>
      </c>
      <c r="D203" s="30" t="s">
        <v>10</v>
      </c>
      <c r="E203" s="30" t="s">
        <v>14</v>
      </c>
      <c r="F203" s="11"/>
      <c r="G203" s="30">
        <v>2</v>
      </c>
      <c r="H203" s="263" t="s">
        <v>389</v>
      </c>
      <c r="I203" s="21" t="s">
        <v>32</v>
      </c>
      <c r="J203" s="21" t="s">
        <v>545</v>
      </c>
      <c r="K203" s="30" t="s">
        <v>94</v>
      </c>
      <c r="L203" s="35">
        <v>0</v>
      </c>
      <c r="M203" s="22">
        <v>7.21</v>
      </c>
      <c r="N203" s="42">
        <v>44706</v>
      </c>
      <c r="O203" s="30" t="s">
        <v>115</v>
      </c>
    </row>
    <row r="204" spans="1:15 16383:16383" s="30" customFormat="1" ht="15" customHeight="1" x14ac:dyDescent="0.25">
      <c r="A204" s="30">
        <v>1</v>
      </c>
      <c r="B204" s="30" t="s">
        <v>168</v>
      </c>
      <c r="C204" s="30" t="s">
        <v>6</v>
      </c>
      <c r="D204" s="30" t="s">
        <v>10</v>
      </c>
      <c r="E204" s="30" t="s">
        <v>14</v>
      </c>
      <c r="F204" s="11"/>
      <c r="G204" s="30">
        <v>2</v>
      </c>
      <c r="H204" s="263" t="s">
        <v>23</v>
      </c>
      <c r="I204" s="21" t="s">
        <v>32</v>
      </c>
      <c r="J204" s="21" t="s">
        <v>475</v>
      </c>
      <c r="K204" s="30" t="s">
        <v>107</v>
      </c>
      <c r="L204" s="35">
        <v>7</v>
      </c>
      <c r="M204" s="22">
        <v>19.559999999999999</v>
      </c>
      <c r="N204" s="42">
        <v>44706</v>
      </c>
      <c r="O204" s="30" t="s">
        <v>115</v>
      </c>
    </row>
    <row r="205" spans="1:15 16383:16383" s="30" customFormat="1" ht="15" customHeight="1" x14ac:dyDescent="0.25">
      <c r="A205" s="30">
        <v>1</v>
      </c>
      <c r="B205" s="30" t="s">
        <v>168</v>
      </c>
      <c r="C205" s="30" t="s">
        <v>6</v>
      </c>
      <c r="D205" s="30" t="s">
        <v>10</v>
      </c>
      <c r="E205" s="30" t="s">
        <v>14</v>
      </c>
      <c r="F205" s="11"/>
      <c r="G205" s="30">
        <v>2</v>
      </c>
      <c r="H205" s="263" t="s">
        <v>389</v>
      </c>
      <c r="I205" s="21" t="s">
        <v>32</v>
      </c>
      <c r="J205" s="21" t="s">
        <v>547</v>
      </c>
      <c r="K205" s="30" t="s">
        <v>94</v>
      </c>
      <c r="L205" s="35">
        <v>0</v>
      </c>
      <c r="M205" s="22">
        <v>27.17</v>
      </c>
      <c r="N205" s="42">
        <v>44706</v>
      </c>
      <c r="O205" s="30" t="s">
        <v>115</v>
      </c>
    </row>
    <row r="206" spans="1:15 16383:16383" s="30" customFormat="1" ht="15" customHeight="1" x14ac:dyDescent="0.25">
      <c r="A206" s="30">
        <v>1</v>
      </c>
      <c r="B206" s="30" t="s">
        <v>168</v>
      </c>
      <c r="C206" s="30" t="s">
        <v>6</v>
      </c>
      <c r="D206" s="30" t="s">
        <v>10</v>
      </c>
      <c r="E206" s="30" t="s">
        <v>14</v>
      </c>
      <c r="F206" s="11"/>
      <c r="G206" s="30">
        <v>2</v>
      </c>
      <c r="H206" s="263" t="s">
        <v>23</v>
      </c>
      <c r="I206" s="21" t="s">
        <v>32</v>
      </c>
      <c r="J206" s="21" t="s">
        <v>548</v>
      </c>
      <c r="K206" s="30" t="s">
        <v>107</v>
      </c>
      <c r="L206" s="35">
        <v>3</v>
      </c>
      <c r="M206" s="22">
        <v>11.1</v>
      </c>
      <c r="N206" s="42">
        <v>44706</v>
      </c>
      <c r="O206" s="30" t="s">
        <v>115</v>
      </c>
      <c r="XFC206" s="239" t="s">
        <v>902</v>
      </c>
    </row>
    <row r="207" spans="1:15 16383:16383" s="30" customFormat="1" ht="15" customHeight="1" x14ac:dyDescent="0.25">
      <c r="A207" s="30">
        <v>1</v>
      </c>
      <c r="B207" s="30" t="s">
        <v>168</v>
      </c>
      <c r="C207" s="30" t="s">
        <v>6</v>
      </c>
      <c r="D207" s="30" t="s">
        <v>10</v>
      </c>
      <c r="E207" s="30" t="s">
        <v>14</v>
      </c>
      <c r="F207" s="11"/>
      <c r="G207" s="30">
        <v>2</v>
      </c>
      <c r="H207" s="263" t="s">
        <v>23</v>
      </c>
      <c r="I207" s="21" t="s">
        <v>32</v>
      </c>
      <c r="J207" s="21" t="s">
        <v>549</v>
      </c>
      <c r="K207" s="30" t="s">
        <v>90</v>
      </c>
      <c r="L207" s="35">
        <v>10</v>
      </c>
      <c r="M207" s="22">
        <v>22.67</v>
      </c>
      <c r="N207" s="42">
        <v>44706</v>
      </c>
      <c r="O207" s="30" t="s">
        <v>115</v>
      </c>
    </row>
    <row r="208" spans="1:15 16383:16383" s="30" customFormat="1" ht="15" customHeight="1" x14ac:dyDescent="0.25">
      <c r="A208" s="30">
        <v>1</v>
      </c>
      <c r="B208" s="30" t="s">
        <v>168</v>
      </c>
      <c r="C208" s="30" t="s">
        <v>6</v>
      </c>
      <c r="D208" s="30" t="s">
        <v>10</v>
      </c>
      <c r="E208" s="30" t="s">
        <v>14</v>
      </c>
      <c r="F208" s="11"/>
      <c r="G208" s="30">
        <v>2</v>
      </c>
      <c r="H208" s="263" t="s">
        <v>23</v>
      </c>
      <c r="I208" s="21" t="s">
        <v>32</v>
      </c>
      <c r="J208" s="21" t="s">
        <v>550</v>
      </c>
      <c r="K208" s="30" t="s">
        <v>90</v>
      </c>
      <c r="L208" s="35">
        <v>3</v>
      </c>
      <c r="M208" s="22">
        <v>11.2</v>
      </c>
      <c r="N208" s="42">
        <v>44706</v>
      </c>
      <c r="O208" s="30" t="s">
        <v>115</v>
      </c>
    </row>
    <row r="209" spans="1:15 16383:16383" s="30" customFormat="1" ht="15" customHeight="1" x14ac:dyDescent="0.25">
      <c r="A209" s="30">
        <v>1</v>
      </c>
      <c r="B209" s="30" t="s">
        <v>168</v>
      </c>
      <c r="C209" s="30" t="s">
        <v>6</v>
      </c>
      <c r="D209" s="30" t="s">
        <v>10</v>
      </c>
      <c r="E209" s="30" t="s">
        <v>14</v>
      </c>
      <c r="F209" s="11"/>
      <c r="G209" s="30">
        <v>2</v>
      </c>
      <c r="H209" s="263" t="s">
        <v>23</v>
      </c>
      <c r="I209" s="21" t="s">
        <v>62</v>
      </c>
      <c r="J209" s="21" t="s">
        <v>904</v>
      </c>
      <c r="K209" s="30" t="s">
        <v>107</v>
      </c>
      <c r="L209" s="35">
        <v>2</v>
      </c>
      <c r="M209" s="22">
        <v>21.29</v>
      </c>
      <c r="N209" s="42">
        <v>44706</v>
      </c>
      <c r="O209" s="30" t="s">
        <v>115</v>
      </c>
    </row>
    <row r="210" spans="1:15 16383:16383" s="30" customFormat="1" ht="15" customHeight="1" x14ac:dyDescent="0.25">
      <c r="A210" s="30">
        <v>1</v>
      </c>
      <c r="B210" s="30" t="s">
        <v>168</v>
      </c>
      <c r="C210" s="30" t="s">
        <v>6</v>
      </c>
      <c r="D210" s="30" t="s">
        <v>10</v>
      </c>
      <c r="E210" s="30" t="s">
        <v>14</v>
      </c>
      <c r="F210" s="11"/>
      <c r="G210" s="30">
        <v>2</v>
      </c>
      <c r="H210" s="263" t="s">
        <v>23</v>
      </c>
      <c r="I210" s="21" t="s">
        <v>70</v>
      </c>
      <c r="J210" s="50" t="s">
        <v>933</v>
      </c>
      <c r="K210" s="30" t="s">
        <v>90</v>
      </c>
      <c r="L210" s="35">
        <v>17</v>
      </c>
      <c r="M210" s="22">
        <v>42.18</v>
      </c>
      <c r="N210" s="257">
        <v>45317</v>
      </c>
      <c r="O210" s="30" t="s">
        <v>115</v>
      </c>
      <c r="XFC210" s="30" t="s">
        <v>903</v>
      </c>
    </row>
    <row r="211" spans="1:15 16383:16383" s="30" customFormat="1" ht="15" customHeight="1" x14ac:dyDescent="0.25">
      <c r="A211" s="30">
        <v>1</v>
      </c>
      <c r="B211" s="30" t="s">
        <v>168</v>
      </c>
      <c r="C211" s="30" t="s">
        <v>6</v>
      </c>
      <c r="D211" s="30" t="s">
        <v>10</v>
      </c>
      <c r="E211" s="30" t="s">
        <v>14</v>
      </c>
      <c r="F211" s="11"/>
      <c r="G211" s="30">
        <v>2</v>
      </c>
      <c r="H211" s="263" t="s">
        <v>23</v>
      </c>
      <c r="I211" s="21" t="s">
        <v>40</v>
      </c>
      <c r="J211" s="50" t="s">
        <v>539</v>
      </c>
      <c r="K211" s="30" t="s">
        <v>90</v>
      </c>
      <c r="L211" s="35">
        <v>3</v>
      </c>
      <c r="M211" s="22">
        <v>9.68</v>
      </c>
      <c r="N211" s="257">
        <v>45317</v>
      </c>
      <c r="O211" s="30" t="s">
        <v>115</v>
      </c>
      <c r="XFC211" s="30" t="s">
        <v>903</v>
      </c>
    </row>
    <row r="212" spans="1:15 16383:16383" s="30" customFormat="1" ht="15" customHeight="1" x14ac:dyDescent="0.25">
      <c r="A212" s="30">
        <v>1</v>
      </c>
      <c r="B212" s="30" t="s">
        <v>168</v>
      </c>
      <c r="C212" s="30" t="s">
        <v>6</v>
      </c>
      <c r="D212" s="30" t="s">
        <v>10</v>
      </c>
      <c r="E212" s="30" t="s">
        <v>14</v>
      </c>
      <c r="F212" s="11"/>
      <c r="G212" s="30">
        <v>2</v>
      </c>
      <c r="H212" s="263" t="s">
        <v>23</v>
      </c>
      <c r="I212" s="21" t="s">
        <v>70</v>
      </c>
      <c r="J212" s="50" t="s">
        <v>614</v>
      </c>
      <c r="K212" s="30" t="s">
        <v>90</v>
      </c>
      <c r="L212" s="35">
        <v>38</v>
      </c>
      <c r="M212" s="22">
        <v>74.27</v>
      </c>
      <c r="N212" s="257">
        <v>45317</v>
      </c>
      <c r="O212" s="30" t="s">
        <v>115</v>
      </c>
      <c r="XFC212" s="30" t="s">
        <v>903</v>
      </c>
    </row>
    <row r="213" spans="1:15 16383:16383" s="30" customFormat="1" ht="15" customHeight="1" x14ac:dyDescent="0.25">
      <c r="A213" s="30">
        <v>1</v>
      </c>
      <c r="B213" s="30" t="s">
        <v>168</v>
      </c>
      <c r="C213" s="30" t="s">
        <v>6</v>
      </c>
      <c r="D213" s="30" t="s">
        <v>10</v>
      </c>
      <c r="E213" s="30" t="s">
        <v>14</v>
      </c>
      <c r="F213" s="11"/>
      <c r="G213" s="30">
        <v>2</v>
      </c>
      <c r="H213" s="263" t="s">
        <v>398</v>
      </c>
      <c r="I213" s="21" t="s">
        <v>68</v>
      </c>
      <c r="J213" s="21" t="s">
        <v>329</v>
      </c>
      <c r="K213" s="30" t="s">
        <v>94</v>
      </c>
      <c r="L213" s="35">
        <v>1</v>
      </c>
      <c r="M213" s="22">
        <v>3.63</v>
      </c>
      <c r="N213" s="42">
        <v>44706</v>
      </c>
      <c r="O213" s="30" t="s">
        <v>115</v>
      </c>
    </row>
    <row r="214" spans="1:15 16383:16383" s="30" customFormat="1" ht="15" customHeight="1" x14ac:dyDescent="0.25">
      <c r="A214" s="30">
        <v>1</v>
      </c>
      <c r="B214" s="30" t="s">
        <v>169</v>
      </c>
      <c r="C214" s="30" t="s">
        <v>6</v>
      </c>
      <c r="D214" s="30" t="s">
        <v>10</v>
      </c>
      <c r="E214" s="30" t="s">
        <v>14</v>
      </c>
      <c r="F214" s="11"/>
      <c r="G214" s="30">
        <v>2</v>
      </c>
      <c r="H214" s="263" t="s">
        <v>398</v>
      </c>
      <c r="I214" s="21" t="s">
        <v>68</v>
      </c>
      <c r="J214" s="21" t="s">
        <v>330</v>
      </c>
      <c r="K214" s="30" t="s">
        <v>94</v>
      </c>
      <c r="L214" s="35">
        <v>1</v>
      </c>
      <c r="M214" s="22">
        <v>3.63</v>
      </c>
      <c r="N214" s="42">
        <v>44706</v>
      </c>
      <c r="O214" s="30" t="s">
        <v>115</v>
      </c>
    </row>
    <row r="215" spans="1:15 16383:16383" s="30" customFormat="1" ht="15" customHeight="1" x14ac:dyDescent="0.25">
      <c r="A215" s="30">
        <v>1</v>
      </c>
      <c r="B215" s="30" t="s">
        <v>168</v>
      </c>
      <c r="C215" s="30" t="s">
        <v>6</v>
      </c>
      <c r="D215" s="30" t="s">
        <v>10</v>
      </c>
      <c r="E215" s="30" t="s">
        <v>14</v>
      </c>
      <c r="F215" s="11"/>
      <c r="G215" s="30">
        <v>2</v>
      </c>
      <c r="H215" s="263" t="s">
        <v>398</v>
      </c>
      <c r="I215" s="21" t="s">
        <v>68</v>
      </c>
      <c r="J215" s="21" t="s">
        <v>332</v>
      </c>
      <c r="K215" s="30" t="s">
        <v>94</v>
      </c>
      <c r="L215" s="35">
        <v>1</v>
      </c>
      <c r="M215" s="22">
        <v>1.6</v>
      </c>
      <c r="N215" s="42">
        <v>44706</v>
      </c>
      <c r="O215" s="30" t="s">
        <v>115</v>
      </c>
    </row>
    <row r="216" spans="1:15 16383:16383" s="30" customFormat="1" ht="15" customHeight="1" x14ac:dyDescent="0.25">
      <c r="A216" s="30">
        <v>1</v>
      </c>
      <c r="B216" s="30" t="s">
        <v>168</v>
      </c>
      <c r="C216" s="30" t="s">
        <v>6</v>
      </c>
      <c r="D216" s="30" t="s">
        <v>10</v>
      </c>
      <c r="E216" s="30" t="s">
        <v>14</v>
      </c>
      <c r="F216" s="11"/>
      <c r="G216" s="30">
        <v>2</v>
      </c>
      <c r="H216" s="263" t="s">
        <v>398</v>
      </c>
      <c r="I216" s="21" t="s">
        <v>68</v>
      </c>
      <c r="J216" s="21" t="s">
        <v>333</v>
      </c>
      <c r="K216" s="30" t="s">
        <v>94</v>
      </c>
      <c r="L216" s="35">
        <v>1</v>
      </c>
      <c r="M216" s="22">
        <v>1.6</v>
      </c>
      <c r="N216" s="42">
        <v>44706</v>
      </c>
      <c r="O216" s="30" t="s">
        <v>115</v>
      </c>
    </row>
    <row r="217" spans="1:15 16383:16383" s="30" customFormat="1" ht="15" customHeight="1" x14ac:dyDescent="0.25">
      <c r="A217" s="30">
        <v>1</v>
      </c>
      <c r="B217" s="30" t="s">
        <v>169</v>
      </c>
      <c r="C217" s="30" t="s">
        <v>6</v>
      </c>
      <c r="D217" s="30" t="s">
        <v>10</v>
      </c>
      <c r="E217" s="30" t="s">
        <v>14</v>
      </c>
      <c r="F217" s="11"/>
      <c r="G217" s="30">
        <v>2</v>
      </c>
      <c r="H217" s="263" t="s">
        <v>399</v>
      </c>
      <c r="I217" s="21" t="s">
        <v>68</v>
      </c>
      <c r="J217" s="21" t="s">
        <v>374</v>
      </c>
      <c r="K217" s="30" t="s">
        <v>94</v>
      </c>
      <c r="L217" s="35">
        <v>1</v>
      </c>
      <c r="M217" s="22">
        <v>8.26</v>
      </c>
      <c r="N217" s="42">
        <v>44706</v>
      </c>
      <c r="O217" s="30" t="s">
        <v>114</v>
      </c>
    </row>
    <row r="218" spans="1:15 16383:16383" s="30" customFormat="1" ht="15" customHeight="1" x14ac:dyDescent="0.25">
      <c r="A218" s="30">
        <v>1</v>
      </c>
      <c r="B218" s="30" t="s">
        <v>170</v>
      </c>
      <c r="C218" s="30" t="s">
        <v>6</v>
      </c>
      <c r="D218" s="30" t="s">
        <v>10</v>
      </c>
      <c r="E218" s="30" t="s">
        <v>14</v>
      </c>
      <c r="F218" s="11"/>
      <c r="G218" s="30">
        <v>2</v>
      </c>
      <c r="H218" s="263" t="s">
        <v>394</v>
      </c>
      <c r="I218" s="21" t="s">
        <v>35</v>
      </c>
      <c r="J218" s="21" t="s">
        <v>561</v>
      </c>
      <c r="K218" s="30" t="s">
        <v>107</v>
      </c>
      <c r="L218" s="35">
        <v>0</v>
      </c>
      <c r="M218" s="22">
        <v>16.190000000000001</v>
      </c>
      <c r="N218" s="42">
        <v>44706</v>
      </c>
      <c r="O218" s="30" t="s">
        <v>114</v>
      </c>
    </row>
    <row r="219" spans="1:15 16383:16383" s="30" customFormat="1" ht="15" customHeight="1" x14ac:dyDescent="0.25">
      <c r="A219" s="30">
        <v>1</v>
      </c>
      <c r="B219" s="30" t="s">
        <v>170</v>
      </c>
      <c r="C219" s="30" t="s">
        <v>6</v>
      </c>
      <c r="D219" s="30" t="s">
        <v>10</v>
      </c>
      <c r="E219" s="30" t="s">
        <v>14</v>
      </c>
      <c r="F219" s="11"/>
      <c r="G219" s="30">
        <v>2</v>
      </c>
      <c r="H219" s="263" t="s">
        <v>394</v>
      </c>
      <c r="I219" s="21" t="s">
        <v>68</v>
      </c>
      <c r="J219" s="21" t="s">
        <v>266</v>
      </c>
      <c r="K219" s="30" t="s">
        <v>94</v>
      </c>
      <c r="L219" s="35">
        <v>0</v>
      </c>
      <c r="M219" s="22">
        <v>277.39999999999998</v>
      </c>
      <c r="N219" s="42">
        <v>44706</v>
      </c>
      <c r="O219" s="30" t="s">
        <v>114</v>
      </c>
    </row>
    <row r="220" spans="1:15 16383:16383" s="30" customFormat="1" ht="15" customHeight="1" x14ac:dyDescent="0.25">
      <c r="A220" s="30">
        <v>1</v>
      </c>
      <c r="B220" s="30" t="s">
        <v>169</v>
      </c>
      <c r="C220" s="30" t="s">
        <v>6</v>
      </c>
      <c r="D220" s="30" t="s">
        <v>10</v>
      </c>
      <c r="E220" s="30" t="s">
        <v>14</v>
      </c>
      <c r="F220" s="11"/>
      <c r="G220" s="30">
        <v>2</v>
      </c>
      <c r="H220" s="263" t="s">
        <v>391</v>
      </c>
      <c r="I220" s="21" t="s">
        <v>68</v>
      </c>
      <c r="J220" s="21" t="s">
        <v>226</v>
      </c>
      <c r="K220" s="30" t="s">
        <v>107</v>
      </c>
      <c r="L220" s="35">
        <v>0</v>
      </c>
      <c r="M220" s="22">
        <v>28.09</v>
      </c>
      <c r="N220" s="42">
        <v>44706</v>
      </c>
      <c r="O220" s="30" t="s">
        <v>115</v>
      </c>
    </row>
    <row r="221" spans="1:15 16383:16383" s="30" customFormat="1" ht="15" customHeight="1" x14ac:dyDescent="0.25">
      <c r="A221" s="30">
        <v>1</v>
      </c>
      <c r="B221" s="30" t="s">
        <v>168</v>
      </c>
      <c r="C221" s="30" t="s">
        <v>6</v>
      </c>
      <c r="D221" s="30" t="s">
        <v>10</v>
      </c>
      <c r="E221" s="30" t="s">
        <v>297</v>
      </c>
      <c r="F221" s="11"/>
      <c r="G221" s="30">
        <v>2</v>
      </c>
      <c r="H221" s="263" t="s">
        <v>390</v>
      </c>
      <c r="I221" s="262" t="s">
        <v>35</v>
      </c>
      <c r="J221" s="21" t="s">
        <v>942</v>
      </c>
      <c r="K221" s="30" t="s">
        <v>94</v>
      </c>
      <c r="L221" s="35">
        <v>0</v>
      </c>
      <c r="M221" s="22">
        <v>6.7</v>
      </c>
      <c r="N221" s="42">
        <v>44706</v>
      </c>
      <c r="O221" s="30" t="s">
        <v>115</v>
      </c>
    </row>
    <row r="222" spans="1:15 16383:16383" s="30" customFormat="1" ht="15" customHeight="1" x14ac:dyDescent="0.25">
      <c r="A222" s="30">
        <v>1</v>
      </c>
      <c r="B222" s="30" t="s">
        <v>168</v>
      </c>
      <c r="C222" s="30" t="s">
        <v>6</v>
      </c>
      <c r="D222" s="30" t="s">
        <v>10</v>
      </c>
      <c r="E222" s="30" t="s">
        <v>297</v>
      </c>
      <c r="F222" s="11"/>
      <c r="G222" s="30">
        <v>2</v>
      </c>
      <c r="H222" s="263" t="s">
        <v>389</v>
      </c>
      <c r="I222" s="21" t="s">
        <v>68</v>
      </c>
      <c r="J222" s="21" t="s">
        <v>104</v>
      </c>
      <c r="K222" s="30" t="s">
        <v>94</v>
      </c>
      <c r="L222" s="35">
        <v>0</v>
      </c>
      <c r="M222" s="22">
        <v>3.03</v>
      </c>
      <c r="N222" s="42">
        <v>44706</v>
      </c>
      <c r="O222" s="30" t="s">
        <v>115</v>
      </c>
    </row>
    <row r="223" spans="1:15 16383:16383" s="30" customFormat="1" ht="15" customHeight="1" x14ac:dyDescent="0.25">
      <c r="A223" s="30">
        <v>1</v>
      </c>
      <c r="B223" s="30" t="s">
        <v>168</v>
      </c>
      <c r="C223" s="30" t="s">
        <v>6</v>
      </c>
      <c r="D223" s="30" t="s">
        <v>10</v>
      </c>
      <c r="E223" s="30" t="s">
        <v>297</v>
      </c>
      <c r="F223" s="11"/>
      <c r="G223" s="30">
        <v>2</v>
      </c>
      <c r="H223" s="263" t="s">
        <v>390</v>
      </c>
      <c r="I223" s="21" t="s">
        <v>38</v>
      </c>
      <c r="J223" s="21" t="s">
        <v>328</v>
      </c>
      <c r="K223" s="30" t="s">
        <v>94</v>
      </c>
      <c r="L223" s="36">
        <v>0</v>
      </c>
      <c r="M223" s="18">
        <v>7.41</v>
      </c>
      <c r="N223" s="42">
        <v>44706</v>
      </c>
      <c r="O223" s="30" t="s">
        <v>115</v>
      </c>
    </row>
    <row r="224" spans="1:15 16383:16383" s="30" customFormat="1" ht="15" customHeight="1" x14ac:dyDescent="0.25">
      <c r="A224" s="30">
        <v>1</v>
      </c>
      <c r="B224" s="30" t="s">
        <v>165</v>
      </c>
      <c r="C224" s="30" t="s">
        <v>6</v>
      </c>
      <c r="D224" s="30" t="s">
        <v>10</v>
      </c>
      <c r="E224" s="30" t="s">
        <v>297</v>
      </c>
      <c r="F224" s="11"/>
      <c r="G224" s="30">
        <v>2</v>
      </c>
      <c r="H224" s="263" t="s">
        <v>30</v>
      </c>
      <c r="I224" s="21" t="s">
        <v>30</v>
      </c>
      <c r="J224" s="21" t="s">
        <v>327</v>
      </c>
      <c r="K224" s="30" t="s">
        <v>116</v>
      </c>
      <c r="L224" s="36">
        <v>25</v>
      </c>
      <c r="M224" s="37">
        <v>29.44</v>
      </c>
      <c r="N224" s="42">
        <v>44706</v>
      </c>
      <c r="O224" s="30" t="s">
        <v>115</v>
      </c>
    </row>
    <row r="225" spans="1:15" s="30" customFormat="1" ht="15" customHeight="1" x14ac:dyDescent="0.25">
      <c r="A225" s="30">
        <v>1</v>
      </c>
      <c r="B225" s="30" t="s">
        <v>165</v>
      </c>
      <c r="C225" s="30" t="s">
        <v>6</v>
      </c>
      <c r="D225" s="30" t="s">
        <v>10</v>
      </c>
      <c r="E225" s="30" t="s">
        <v>297</v>
      </c>
      <c r="F225" s="11"/>
      <c r="G225" s="30">
        <v>2</v>
      </c>
      <c r="H225" s="263" t="s">
        <v>30</v>
      </c>
      <c r="I225" s="21" t="s">
        <v>30</v>
      </c>
      <c r="J225" s="21" t="s">
        <v>229</v>
      </c>
      <c r="K225" s="30" t="s">
        <v>116</v>
      </c>
      <c r="L225" s="36">
        <v>35</v>
      </c>
      <c r="M225" s="37">
        <v>64.39</v>
      </c>
      <c r="N225" s="42">
        <v>44706</v>
      </c>
      <c r="O225" s="30" t="s">
        <v>115</v>
      </c>
    </row>
    <row r="226" spans="1:15" s="30" customFormat="1" ht="15" customHeight="1" x14ac:dyDescent="0.25">
      <c r="A226" s="30">
        <v>1</v>
      </c>
      <c r="B226" s="30" t="s">
        <v>165</v>
      </c>
      <c r="C226" s="30" t="s">
        <v>6</v>
      </c>
      <c r="D226" s="30" t="s">
        <v>10</v>
      </c>
      <c r="E226" s="30" t="s">
        <v>297</v>
      </c>
      <c r="F226" s="11"/>
      <c r="G226" s="30">
        <v>2</v>
      </c>
      <c r="H226" s="263" t="s">
        <v>30</v>
      </c>
      <c r="I226" s="21" t="s">
        <v>30</v>
      </c>
      <c r="J226" s="21" t="s">
        <v>334</v>
      </c>
      <c r="K226" s="30" t="s">
        <v>116</v>
      </c>
      <c r="L226" s="36">
        <v>20</v>
      </c>
      <c r="M226" s="37">
        <v>40.06</v>
      </c>
      <c r="N226" s="42">
        <v>44706</v>
      </c>
      <c r="O226" s="30" t="s">
        <v>115</v>
      </c>
    </row>
    <row r="227" spans="1:15" s="30" customFormat="1" ht="15" customHeight="1" x14ac:dyDescent="0.25">
      <c r="A227" s="30">
        <v>1</v>
      </c>
      <c r="B227" s="30" t="s">
        <v>165</v>
      </c>
      <c r="C227" s="30" t="s">
        <v>6</v>
      </c>
      <c r="D227" s="30" t="s">
        <v>10</v>
      </c>
      <c r="E227" s="30" t="s">
        <v>297</v>
      </c>
      <c r="F227" s="11"/>
      <c r="G227" s="30">
        <v>2</v>
      </c>
      <c r="H227" s="263" t="s">
        <v>196</v>
      </c>
      <c r="I227" s="21" t="s">
        <v>30</v>
      </c>
      <c r="J227" s="21" t="s">
        <v>230</v>
      </c>
      <c r="K227" s="30" t="s">
        <v>116</v>
      </c>
      <c r="L227" s="36">
        <v>16</v>
      </c>
      <c r="M227" s="37">
        <v>59.41</v>
      </c>
      <c r="N227" s="42">
        <v>44706</v>
      </c>
      <c r="O227" s="30" t="s">
        <v>115</v>
      </c>
    </row>
    <row r="228" spans="1:15" s="30" customFormat="1" ht="15" customHeight="1" x14ac:dyDescent="0.25">
      <c r="A228" s="30">
        <v>1</v>
      </c>
      <c r="B228" s="30" t="s">
        <v>165</v>
      </c>
      <c r="C228" s="30" t="s">
        <v>6</v>
      </c>
      <c r="D228" s="30" t="s">
        <v>10</v>
      </c>
      <c r="E228" s="30" t="s">
        <v>297</v>
      </c>
      <c r="F228" s="11"/>
      <c r="G228" s="30">
        <v>2</v>
      </c>
      <c r="H228" s="263" t="s">
        <v>30</v>
      </c>
      <c r="I228" s="21" t="s">
        <v>30</v>
      </c>
      <c r="J228" s="21" t="s">
        <v>421</v>
      </c>
      <c r="K228" s="30" t="s">
        <v>107</v>
      </c>
      <c r="L228" s="36">
        <v>1</v>
      </c>
      <c r="M228" s="18">
        <v>3.5</v>
      </c>
      <c r="N228" s="42">
        <v>44706</v>
      </c>
      <c r="O228" s="30" t="s">
        <v>115</v>
      </c>
    </row>
    <row r="229" spans="1:15" s="30" customFormat="1" ht="15" customHeight="1" x14ac:dyDescent="0.25">
      <c r="A229" s="30">
        <v>1</v>
      </c>
      <c r="B229" s="30" t="s">
        <v>170</v>
      </c>
      <c r="C229" s="30" t="s">
        <v>6</v>
      </c>
      <c r="D229" s="30" t="s">
        <v>10</v>
      </c>
      <c r="E229" s="30" t="s">
        <v>297</v>
      </c>
      <c r="F229" s="11"/>
      <c r="G229" s="30">
        <v>2</v>
      </c>
      <c r="H229" s="263" t="s">
        <v>190</v>
      </c>
      <c r="I229" s="21" t="s">
        <v>30</v>
      </c>
      <c r="J229" s="21" t="s">
        <v>560</v>
      </c>
      <c r="K229" s="21" t="s">
        <v>107</v>
      </c>
      <c r="L229" s="35">
        <v>0</v>
      </c>
      <c r="M229" s="34">
        <v>12.38</v>
      </c>
      <c r="N229" s="42">
        <v>44706</v>
      </c>
      <c r="O229" s="30" t="s">
        <v>114</v>
      </c>
    </row>
    <row r="230" spans="1:15" s="30" customFormat="1" ht="15" customHeight="1" x14ac:dyDescent="0.25">
      <c r="A230" s="30">
        <v>1</v>
      </c>
      <c r="B230" s="30" t="s">
        <v>168</v>
      </c>
      <c r="C230" s="30" t="s">
        <v>6</v>
      </c>
      <c r="D230" s="30" t="s">
        <v>10</v>
      </c>
      <c r="E230" s="30" t="s">
        <v>14</v>
      </c>
      <c r="F230" s="11" t="s">
        <v>205</v>
      </c>
      <c r="G230" s="30">
        <v>3</v>
      </c>
      <c r="H230" s="263" t="s">
        <v>23</v>
      </c>
      <c r="I230" s="21" t="s">
        <v>68</v>
      </c>
      <c r="J230" s="254" t="s">
        <v>905</v>
      </c>
      <c r="K230" s="30" t="s">
        <v>93</v>
      </c>
      <c r="L230" s="35">
        <v>7</v>
      </c>
      <c r="M230" s="22">
        <v>19.09</v>
      </c>
      <c r="N230" s="257">
        <v>45472</v>
      </c>
      <c r="O230" s="30" t="s">
        <v>115</v>
      </c>
    </row>
    <row r="231" spans="1:15" s="30" customFormat="1" ht="15" customHeight="1" x14ac:dyDescent="0.25">
      <c r="A231" s="30">
        <v>1</v>
      </c>
      <c r="B231" s="30" t="s">
        <v>168</v>
      </c>
      <c r="C231" s="30" t="s">
        <v>6</v>
      </c>
      <c r="D231" s="30" t="s">
        <v>10</v>
      </c>
      <c r="E231" s="30" t="s">
        <v>14</v>
      </c>
      <c r="F231" s="11" t="s">
        <v>206</v>
      </c>
      <c r="G231" s="30">
        <v>3</v>
      </c>
      <c r="H231" s="263" t="s">
        <v>23</v>
      </c>
      <c r="I231" s="21" t="s">
        <v>42</v>
      </c>
      <c r="J231" s="21" t="s">
        <v>472</v>
      </c>
      <c r="K231" s="30" t="s">
        <v>90</v>
      </c>
      <c r="L231" s="35">
        <v>1</v>
      </c>
      <c r="M231" s="22">
        <v>10.56</v>
      </c>
      <c r="N231" s="42">
        <v>44711</v>
      </c>
      <c r="O231" s="30" t="s">
        <v>115</v>
      </c>
    </row>
    <row r="232" spans="1:15" s="30" customFormat="1" ht="15" customHeight="1" x14ac:dyDescent="0.25">
      <c r="A232" s="30">
        <v>1</v>
      </c>
      <c r="B232" s="30" t="s">
        <v>168</v>
      </c>
      <c r="C232" s="30" t="s">
        <v>6</v>
      </c>
      <c r="D232" s="30" t="s">
        <v>10</v>
      </c>
      <c r="E232" s="30" t="s">
        <v>14</v>
      </c>
      <c r="F232" s="11" t="s">
        <v>207</v>
      </c>
      <c r="G232" s="30">
        <v>3</v>
      </c>
      <c r="H232" s="263" t="s">
        <v>23</v>
      </c>
      <c r="I232" s="21" t="s">
        <v>42</v>
      </c>
      <c r="J232" s="21" t="s">
        <v>473</v>
      </c>
      <c r="K232" s="30" t="s">
        <v>90</v>
      </c>
      <c r="L232" s="35">
        <v>1</v>
      </c>
      <c r="M232" s="22">
        <v>12.9</v>
      </c>
      <c r="N232" s="42">
        <v>44711</v>
      </c>
      <c r="O232" s="30" t="s">
        <v>115</v>
      </c>
    </row>
    <row r="233" spans="1:15" s="30" customFormat="1" ht="15" customHeight="1" x14ac:dyDescent="0.25">
      <c r="A233" s="30">
        <v>1</v>
      </c>
      <c r="B233" s="30" t="s">
        <v>165</v>
      </c>
      <c r="C233" s="30" t="s">
        <v>6</v>
      </c>
      <c r="D233" s="30" t="s">
        <v>10</v>
      </c>
      <c r="E233" s="30" t="s">
        <v>14</v>
      </c>
      <c r="F233" s="11" t="s">
        <v>335</v>
      </c>
      <c r="G233" s="30">
        <v>3</v>
      </c>
      <c r="H233" s="263" t="s">
        <v>21</v>
      </c>
      <c r="I233" s="21" t="s">
        <v>42</v>
      </c>
      <c r="J233" s="21" t="s">
        <v>336</v>
      </c>
      <c r="K233" s="30" t="s">
        <v>90</v>
      </c>
      <c r="L233" s="35">
        <v>6</v>
      </c>
      <c r="M233" s="22">
        <v>27.63</v>
      </c>
      <c r="N233" s="42">
        <v>44711</v>
      </c>
      <c r="O233" s="30" t="s">
        <v>115</v>
      </c>
    </row>
    <row r="234" spans="1:15" s="30" customFormat="1" ht="15" customHeight="1" x14ac:dyDescent="0.25">
      <c r="A234" s="30">
        <v>1</v>
      </c>
      <c r="B234" s="30" t="s">
        <v>165</v>
      </c>
      <c r="C234" s="30" t="s">
        <v>6</v>
      </c>
      <c r="D234" s="30" t="s">
        <v>10</v>
      </c>
      <c r="E234" s="30" t="s">
        <v>14</v>
      </c>
      <c r="F234" s="11"/>
      <c r="G234" s="30">
        <v>3</v>
      </c>
      <c r="H234" s="263" t="s">
        <v>398</v>
      </c>
      <c r="I234" s="21" t="s">
        <v>42</v>
      </c>
      <c r="J234" s="21" t="s">
        <v>568</v>
      </c>
      <c r="K234" s="30" t="s">
        <v>90</v>
      </c>
      <c r="L234" s="35">
        <v>1</v>
      </c>
      <c r="M234" s="22">
        <v>2.21</v>
      </c>
      <c r="N234" s="42">
        <v>44711</v>
      </c>
      <c r="O234" s="30" t="s">
        <v>115</v>
      </c>
    </row>
    <row r="235" spans="1:15" s="30" customFormat="1" ht="15" customHeight="1" x14ac:dyDescent="0.25">
      <c r="A235" s="30">
        <v>1</v>
      </c>
      <c r="B235" s="30" t="s">
        <v>165</v>
      </c>
      <c r="C235" s="30" t="s">
        <v>6</v>
      </c>
      <c r="D235" s="30" t="s">
        <v>10</v>
      </c>
      <c r="E235" s="30" t="s">
        <v>14</v>
      </c>
      <c r="F235" s="11"/>
      <c r="G235" s="30">
        <v>3</v>
      </c>
      <c r="H235" s="263" t="s">
        <v>398</v>
      </c>
      <c r="I235" s="21" t="s">
        <v>42</v>
      </c>
      <c r="J235" s="21" t="s">
        <v>569</v>
      </c>
      <c r="K235" s="30" t="s">
        <v>90</v>
      </c>
      <c r="L235" s="35">
        <v>1</v>
      </c>
      <c r="M235" s="22">
        <v>4.1100000000000003</v>
      </c>
      <c r="N235" s="42">
        <v>44711</v>
      </c>
      <c r="O235" s="30" t="s">
        <v>115</v>
      </c>
    </row>
    <row r="236" spans="1:15" s="30" customFormat="1" ht="15" customHeight="1" x14ac:dyDescent="0.25">
      <c r="A236" s="30">
        <v>13</v>
      </c>
      <c r="B236" s="30" t="s">
        <v>165</v>
      </c>
      <c r="C236" s="30" t="s">
        <v>6</v>
      </c>
      <c r="D236" s="30" t="s">
        <v>10</v>
      </c>
      <c r="E236" s="30" t="s">
        <v>14</v>
      </c>
      <c r="F236" s="11" t="s">
        <v>209</v>
      </c>
      <c r="G236" s="30">
        <v>3</v>
      </c>
      <c r="H236" s="263" t="s">
        <v>26</v>
      </c>
      <c r="I236" s="21" t="s">
        <v>32</v>
      </c>
      <c r="J236" s="21" t="s">
        <v>803</v>
      </c>
      <c r="K236" s="30" t="s">
        <v>90</v>
      </c>
      <c r="L236" s="35">
        <v>32</v>
      </c>
      <c r="M236" s="22">
        <v>77.489999999999995</v>
      </c>
      <c r="N236" s="42">
        <v>44711</v>
      </c>
      <c r="O236" s="30" t="s">
        <v>115</v>
      </c>
    </row>
    <row r="237" spans="1:15" s="30" customFormat="1" ht="15" customHeight="1" x14ac:dyDescent="0.25">
      <c r="A237" s="30">
        <v>14</v>
      </c>
      <c r="B237" s="30" t="s">
        <v>165</v>
      </c>
      <c r="C237" s="30" t="s">
        <v>6</v>
      </c>
      <c r="D237" s="30" t="s">
        <v>10</v>
      </c>
      <c r="E237" s="30" t="s">
        <v>14</v>
      </c>
      <c r="F237" s="11" t="s">
        <v>210</v>
      </c>
      <c r="G237" s="30">
        <v>3</v>
      </c>
      <c r="H237" s="263" t="s">
        <v>26</v>
      </c>
      <c r="I237" s="21" t="s">
        <v>32</v>
      </c>
      <c r="J237" s="21" t="s">
        <v>803</v>
      </c>
      <c r="K237" s="30" t="s">
        <v>90</v>
      </c>
      <c r="L237" s="35">
        <v>32</v>
      </c>
      <c r="M237" s="22">
        <v>74.83</v>
      </c>
      <c r="N237" s="42">
        <v>44711</v>
      </c>
      <c r="O237" s="30" t="s">
        <v>115</v>
      </c>
    </row>
    <row r="238" spans="1:15" s="30" customFormat="1" ht="15" customHeight="1" x14ac:dyDescent="0.25">
      <c r="A238" s="30">
        <v>15</v>
      </c>
      <c r="B238" s="30" t="s">
        <v>165</v>
      </c>
      <c r="C238" s="30" t="s">
        <v>6</v>
      </c>
      <c r="D238" s="30" t="s">
        <v>10</v>
      </c>
      <c r="E238" s="30" t="s">
        <v>14</v>
      </c>
      <c r="F238" s="11" t="s">
        <v>562</v>
      </c>
      <c r="G238" s="30">
        <v>3</v>
      </c>
      <c r="H238" s="263" t="s">
        <v>26</v>
      </c>
      <c r="I238" s="21" t="s">
        <v>32</v>
      </c>
      <c r="J238" s="21" t="s">
        <v>138</v>
      </c>
      <c r="K238" s="30" t="s">
        <v>90</v>
      </c>
      <c r="L238" s="35">
        <v>64</v>
      </c>
      <c r="M238" s="22">
        <v>74.98</v>
      </c>
      <c r="N238" s="42">
        <v>44711</v>
      </c>
      <c r="O238" s="30" t="s">
        <v>115</v>
      </c>
    </row>
    <row r="239" spans="1:15" s="30" customFormat="1" ht="15" customHeight="1" x14ac:dyDescent="0.25">
      <c r="A239" s="30">
        <v>1</v>
      </c>
      <c r="B239" s="30" t="s">
        <v>168</v>
      </c>
      <c r="C239" s="30" t="s">
        <v>6</v>
      </c>
      <c r="D239" s="30" t="s">
        <v>10</v>
      </c>
      <c r="E239" s="30" t="s">
        <v>14</v>
      </c>
      <c r="F239" s="11"/>
      <c r="G239" s="30">
        <v>3</v>
      </c>
      <c r="H239" s="263" t="s">
        <v>258</v>
      </c>
      <c r="I239" s="21" t="s">
        <v>412</v>
      </c>
      <c r="J239" s="21" t="s">
        <v>934</v>
      </c>
      <c r="K239" s="30" t="s">
        <v>94</v>
      </c>
      <c r="L239" s="35">
        <v>0</v>
      </c>
      <c r="M239" s="22">
        <v>5.89</v>
      </c>
      <c r="N239" s="42">
        <v>44711</v>
      </c>
      <c r="O239" s="30" t="s">
        <v>115</v>
      </c>
    </row>
    <row r="240" spans="1:15" s="30" customFormat="1" ht="15" customHeight="1" x14ac:dyDescent="0.25">
      <c r="A240" s="30">
        <v>1</v>
      </c>
      <c r="B240" s="30" t="s">
        <v>168</v>
      </c>
      <c r="C240" s="30" t="s">
        <v>6</v>
      </c>
      <c r="D240" s="30" t="s">
        <v>10</v>
      </c>
      <c r="E240" s="30" t="s">
        <v>14</v>
      </c>
      <c r="F240" s="11"/>
      <c r="G240" s="30">
        <v>3</v>
      </c>
      <c r="H240" s="263" t="s">
        <v>390</v>
      </c>
      <c r="I240" s="21" t="s">
        <v>38</v>
      </c>
      <c r="J240" s="21" t="s">
        <v>326</v>
      </c>
      <c r="K240" s="30" t="s">
        <v>94</v>
      </c>
      <c r="L240" s="35">
        <v>0</v>
      </c>
      <c r="M240" s="22">
        <v>5.74</v>
      </c>
      <c r="N240" s="42">
        <v>44711</v>
      </c>
      <c r="O240" s="30" t="s">
        <v>115</v>
      </c>
    </row>
    <row r="241" spans="1:15" s="30" customFormat="1" ht="15" customHeight="1" x14ac:dyDescent="0.25">
      <c r="A241" s="30">
        <v>1</v>
      </c>
      <c r="B241" s="30" t="s">
        <v>168</v>
      </c>
      <c r="C241" s="30" t="s">
        <v>6</v>
      </c>
      <c r="D241" s="30" t="s">
        <v>10</v>
      </c>
      <c r="E241" s="30" t="s">
        <v>297</v>
      </c>
      <c r="F241" s="11"/>
      <c r="G241" s="30">
        <v>3</v>
      </c>
      <c r="H241" s="263" t="s">
        <v>389</v>
      </c>
      <c r="I241" s="21" t="s">
        <v>68</v>
      </c>
      <c r="J241" s="21" t="s">
        <v>337</v>
      </c>
      <c r="K241" s="30" t="s">
        <v>94</v>
      </c>
      <c r="L241" s="36">
        <v>0</v>
      </c>
      <c r="M241" s="18">
        <v>3.37</v>
      </c>
      <c r="N241" s="42">
        <v>44711</v>
      </c>
      <c r="O241" s="30" t="s">
        <v>115</v>
      </c>
    </row>
    <row r="242" spans="1:15" s="30" customFormat="1" ht="15" customHeight="1" x14ac:dyDescent="0.25">
      <c r="A242" s="30">
        <v>1</v>
      </c>
      <c r="B242" s="30" t="s">
        <v>168</v>
      </c>
      <c r="C242" s="30" t="s">
        <v>6</v>
      </c>
      <c r="D242" s="30" t="s">
        <v>10</v>
      </c>
      <c r="E242" s="30" t="s">
        <v>297</v>
      </c>
      <c r="F242" s="11"/>
      <c r="G242" s="30">
        <v>3</v>
      </c>
      <c r="H242" s="263" t="s">
        <v>258</v>
      </c>
      <c r="I242" s="262" t="s">
        <v>48</v>
      </c>
      <c r="J242" s="21" t="s">
        <v>364</v>
      </c>
      <c r="K242" s="30" t="s">
        <v>94</v>
      </c>
      <c r="L242" s="36">
        <v>0</v>
      </c>
      <c r="M242" s="18">
        <v>6.86</v>
      </c>
      <c r="N242" s="42">
        <v>45306</v>
      </c>
      <c r="O242" s="30" t="s">
        <v>115</v>
      </c>
    </row>
    <row r="243" spans="1:15" s="30" customFormat="1" ht="15" customHeight="1" x14ac:dyDescent="0.25">
      <c r="A243" s="30">
        <v>1</v>
      </c>
      <c r="B243" s="30" t="s">
        <v>167</v>
      </c>
      <c r="C243" s="30" t="s">
        <v>6</v>
      </c>
      <c r="D243" s="30" t="s">
        <v>10</v>
      </c>
      <c r="E243" s="30" t="s">
        <v>14</v>
      </c>
      <c r="F243" s="11"/>
      <c r="G243" s="30">
        <v>3</v>
      </c>
      <c r="H243" s="263" t="s">
        <v>389</v>
      </c>
      <c r="I243" s="21" t="s">
        <v>68</v>
      </c>
      <c r="J243" s="21" t="s">
        <v>906</v>
      </c>
      <c r="K243" s="30" t="s">
        <v>107</v>
      </c>
      <c r="L243" s="36">
        <v>0</v>
      </c>
      <c r="M243" s="18">
        <v>6.6</v>
      </c>
      <c r="N243" s="42">
        <v>44711</v>
      </c>
      <c r="O243" s="30" t="s">
        <v>115</v>
      </c>
    </row>
    <row r="244" spans="1:15" s="30" customFormat="1" ht="15" customHeight="1" x14ac:dyDescent="0.25">
      <c r="A244" s="30">
        <v>1</v>
      </c>
      <c r="B244" s="30" t="s">
        <v>168</v>
      </c>
      <c r="C244" s="30" t="s">
        <v>6</v>
      </c>
      <c r="D244" s="30" t="s">
        <v>10</v>
      </c>
      <c r="E244" s="30" t="s">
        <v>14</v>
      </c>
      <c r="F244" s="11"/>
      <c r="G244" s="30">
        <v>3</v>
      </c>
      <c r="H244" s="263" t="s">
        <v>399</v>
      </c>
      <c r="I244" s="21" t="s">
        <v>68</v>
      </c>
      <c r="J244" s="21" t="s">
        <v>564</v>
      </c>
      <c r="K244" s="30" t="s">
        <v>94</v>
      </c>
      <c r="L244" s="36">
        <v>2</v>
      </c>
      <c r="M244" s="18">
        <v>8.6300000000000008</v>
      </c>
      <c r="N244" s="42">
        <v>44711</v>
      </c>
      <c r="O244" s="30" t="s">
        <v>114</v>
      </c>
    </row>
    <row r="245" spans="1:15" s="30" customFormat="1" ht="15" customHeight="1" x14ac:dyDescent="0.25">
      <c r="A245" s="30">
        <v>1</v>
      </c>
      <c r="B245" s="30" t="s">
        <v>168</v>
      </c>
      <c r="C245" s="30" t="s">
        <v>6</v>
      </c>
      <c r="D245" s="30" t="s">
        <v>10</v>
      </c>
      <c r="E245" s="30" t="s">
        <v>14</v>
      </c>
      <c r="F245" s="11"/>
      <c r="G245" s="30">
        <v>3</v>
      </c>
      <c r="H245" s="263" t="s">
        <v>399</v>
      </c>
      <c r="I245" s="21" t="s">
        <v>68</v>
      </c>
      <c r="J245" s="21" t="s">
        <v>565</v>
      </c>
      <c r="K245" s="30" t="s">
        <v>94</v>
      </c>
      <c r="L245" s="36">
        <v>2</v>
      </c>
      <c r="M245" s="18">
        <v>7.71</v>
      </c>
      <c r="N245" s="42">
        <v>44711</v>
      </c>
      <c r="O245" s="30" t="s">
        <v>114</v>
      </c>
    </row>
    <row r="246" spans="1:15" s="30" customFormat="1" ht="15" customHeight="1" x14ac:dyDescent="0.25">
      <c r="A246" s="30">
        <v>1</v>
      </c>
      <c r="B246" s="30" t="s">
        <v>170</v>
      </c>
      <c r="C246" s="30" t="s">
        <v>6</v>
      </c>
      <c r="D246" s="30" t="s">
        <v>10</v>
      </c>
      <c r="E246" s="30" t="s">
        <v>14</v>
      </c>
      <c r="F246" s="11"/>
      <c r="G246" s="30">
        <v>3</v>
      </c>
      <c r="H246" s="263" t="s">
        <v>394</v>
      </c>
      <c r="I246" s="21" t="s">
        <v>35</v>
      </c>
      <c r="J246" s="21" t="s">
        <v>812</v>
      </c>
      <c r="K246" s="30" t="s">
        <v>107</v>
      </c>
      <c r="L246" s="36">
        <v>0</v>
      </c>
      <c r="M246" s="18">
        <v>16.89</v>
      </c>
      <c r="N246" s="42">
        <v>44711</v>
      </c>
      <c r="O246" s="30" t="s">
        <v>114</v>
      </c>
    </row>
    <row r="247" spans="1:15" s="30" customFormat="1" ht="30" customHeight="1" x14ac:dyDescent="0.25">
      <c r="A247" s="30">
        <v>1</v>
      </c>
      <c r="B247" s="30" t="s">
        <v>170</v>
      </c>
      <c r="C247" s="30" t="s">
        <v>6</v>
      </c>
      <c r="D247" s="30" t="s">
        <v>10</v>
      </c>
      <c r="E247" s="30" t="s">
        <v>14</v>
      </c>
      <c r="F247" s="11"/>
      <c r="G247" s="30">
        <v>3</v>
      </c>
      <c r="H247" s="263" t="s">
        <v>391</v>
      </c>
      <c r="I247" s="21" t="s">
        <v>68</v>
      </c>
      <c r="J247" s="21" t="s">
        <v>567</v>
      </c>
      <c r="K247" s="30" t="s">
        <v>107</v>
      </c>
      <c r="L247" s="36">
        <v>8</v>
      </c>
      <c r="M247" s="18">
        <v>7.57</v>
      </c>
      <c r="N247" s="42">
        <v>44711</v>
      </c>
      <c r="O247" s="30" t="s">
        <v>114</v>
      </c>
    </row>
    <row r="248" spans="1:15" s="30" customFormat="1" ht="30" customHeight="1" x14ac:dyDescent="0.25">
      <c r="A248" s="30">
        <v>1</v>
      </c>
      <c r="B248" s="30" t="s">
        <v>168</v>
      </c>
      <c r="C248" s="30" t="s">
        <v>6</v>
      </c>
      <c r="D248" s="30" t="s">
        <v>10</v>
      </c>
      <c r="E248" s="30" t="s">
        <v>297</v>
      </c>
      <c r="F248" s="11" t="s">
        <v>551</v>
      </c>
      <c r="G248" s="30">
        <v>3</v>
      </c>
      <c r="H248" s="263" t="s">
        <v>23</v>
      </c>
      <c r="I248" s="21" t="s">
        <v>62</v>
      </c>
      <c r="J248" s="50" t="s">
        <v>907</v>
      </c>
      <c r="K248" s="43" t="s">
        <v>91</v>
      </c>
      <c r="L248" s="258">
        <v>3</v>
      </c>
      <c r="M248" s="255">
        <v>21.78</v>
      </c>
      <c r="N248" s="257">
        <v>45281</v>
      </c>
      <c r="O248" s="30" t="s">
        <v>115</v>
      </c>
    </row>
    <row r="249" spans="1:15" s="30" customFormat="1" ht="15" customHeight="1" x14ac:dyDescent="0.25">
      <c r="A249" s="30">
        <v>16</v>
      </c>
      <c r="B249" s="30" t="s">
        <v>165</v>
      </c>
      <c r="C249" s="30" t="s">
        <v>6</v>
      </c>
      <c r="D249" s="30" t="s">
        <v>10</v>
      </c>
      <c r="E249" s="30" t="s">
        <v>297</v>
      </c>
      <c r="F249" s="11" t="s">
        <v>552</v>
      </c>
      <c r="G249" s="30">
        <v>3</v>
      </c>
      <c r="H249" s="263" t="s">
        <v>117</v>
      </c>
      <c r="I249" s="21" t="s">
        <v>32</v>
      </c>
      <c r="J249" s="21" t="s">
        <v>138</v>
      </c>
      <c r="K249" s="30" t="s">
        <v>90</v>
      </c>
      <c r="L249" s="35">
        <v>28</v>
      </c>
      <c r="M249" s="22">
        <v>40.33</v>
      </c>
      <c r="N249" s="42">
        <v>45619</v>
      </c>
      <c r="O249" s="30" t="s">
        <v>115</v>
      </c>
    </row>
    <row r="250" spans="1:15" s="30" customFormat="1" ht="15" customHeight="1" x14ac:dyDescent="0.25">
      <c r="A250" s="30">
        <v>17</v>
      </c>
      <c r="B250" s="30" t="s">
        <v>165</v>
      </c>
      <c r="C250" s="30" t="s">
        <v>6</v>
      </c>
      <c r="D250" s="30" t="s">
        <v>10</v>
      </c>
      <c r="E250" s="30" t="s">
        <v>297</v>
      </c>
      <c r="F250" s="11" t="s">
        <v>553</v>
      </c>
      <c r="G250" s="30">
        <v>3</v>
      </c>
      <c r="H250" s="263" t="s">
        <v>26</v>
      </c>
      <c r="I250" s="21" t="s">
        <v>32</v>
      </c>
      <c r="J250" s="21" t="s">
        <v>138</v>
      </c>
      <c r="K250" s="30" t="s">
        <v>90</v>
      </c>
      <c r="L250" s="35">
        <v>42</v>
      </c>
      <c r="M250" s="22">
        <v>63.57</v>
      </c>
      <c r="N250" s="42">
        <v>44711</v>
      </c>
      <c r="O250" s="30" t="s">
        <v>115</v>
      </c>
    </row>
    <row r="251" spans="1:15" s="30" customFormat="1" ht="15" customHeight="1" x14ac:dyDescent="0.25">
      <c r="A251" s="30">
        <v>18</v>
      </c>
      <c r="B251" s="30" t="s">
        <v>165</v>
      </c>
      <c r="C251" s="30" t="s">
        <v>6</v>
      </c>
      <c r="D251" s="30" t="s">
        <v>10</v>
      </c>
      <c r="E251" s="30" t="s">
        <v>297</v>
      </c>
      <c r="F251" s="11" t="s">
        <v>554</v>
      </c>
      <c r="G251" s="30">
        <v>3</v>
      </c>
      <c r="H251" s="263" t="s">
        <v>26</v>
      </c>
      <c r="I251" s="21" t="s">
        <v>32</v>
      </c>
      <c r="J251" s="21" t="s">
        <v>138</v>
      </c>
      <c r="K251" s="30" t="s">
        <v>90</v>
      </c>
      <c r="L251" s="35">
        <v>30</v>
      </c>
      <c r="M251" s="22">
        <v>38.020000000000003</v>
      </c>
      <c r="N251" s="42">
        <v>44711</v>
      </c>
      <c r="O251" s="30" t="s">
        <v>115</v>
      </c>
    </row>
    <row r="252" spans="1:15" s="30" customFormat="1" ht="15" customHeight="1" x14ac:dyDescent="0.25">
      <c r="A252" s="30">
        <v>19</v>
      </c>
      <c r="B252" s="30" t="s">
        <v>165</v>
      </c>
      <c r="C252" s="30" t="s">
        <v>6</v>
      </c>
      <c r="D252" s="30" t="s">
        <v>10</v>
      </c>
      <c r="E252" s="30" t="s">
        <v>297</v>
      </c>
      <c r="F252" s="11" t="s">
        <v>555</v>
      </c>
      <c r="G252" s="30">
        <v>3</v>
      </c>
      <c r="H252" s="263" t="s">
        <v>26</v>
      </c>
      <c r="I252" s="21" t="s">
        <v>32</v>
      </c>
      <c r="J252" s="21" t="s">
        <v>138</v>
      </c>
      <c r="K252" s="30" t="s">
        <v>90</v>
      </c>
      <c r="L252" s="35">
        <v>36</v>
      </c>
      <c r="M252" s="22">
        <v>34.590000000000003</v>
      </c>
      <c r="N252" s="42">
        <v>44711</v>
      </c>
      <c r="O252" s="30" t="s">
        <v>115</v>
      </c>
    </row>
    <row r="253" spans="1:15" s="30" customFormat="1" ht="15" customHeight="1" x14ac:dyDescent="0.25">
      <c r="A253" s="30">
        <v>20</v>
      </c>
      <c r="B253" s="30" t="s">
        <v>165</v>
      </c>
      <c r="C253" s="30" t="s">
        <v>6</v>
      </c>
      <c r="D253" s="30" t="s">
        <v>10</v>
      </c>
      <c r="E253" s="30" t="s">
        <v>297</v>
      </c>
      <c r="F253" s="11" t="s">
        <v>556</v>
      </c>
      <c r="G253" s="30">
        <v>3</v>
      </c>
      <c r="H253" s="263" t="s">
        <v>26</v>
      </c>
      <c r="I253" s="21" t="s">
        <v>32</v>
      </c>
      <c r="J253" s="21" t="s">
        <v>138</v>
      </c>
      <c r="K253" s="30" t="s">
        <v>90</v>
      </c>
      <c r="L253" s="35">
        <v>48</v>
      </c>
      <c r="M253" s="22">
        <v>55.03</v>
      </c>
      <c r="N253" s="42">
        <v>44711</v>
      </c>
      <c r="O253" s="30" t="s">
        <v>115</v>
      </c>
    </row>
    <row r="254" spans="1:15" s="30" customFormat="1" ht="30" customHeight="1" x14ac:dyDescent="0.25">
      <c r="A254" s="30">
        <v>21</v>
      </c>
      <c r="B254" s="30" t="s">
        <v>165</v>
      </c>
      <c r="C254" s="30" t="s">
        <v>6</v>
      </c>
      <c r="D254" s="30" t="s">
        <v>10</v>
      </c>
      <c r="E254" s="30" t="s">
        <v>297</v>
      </c>
      <c r="F254" s="11" t="s">
        <v>557</v>
      </c>
      <c r="G254" s="30">
        <v>3</v>
      </c>
      <c r="H254" s="263" t="s">
        <v>26</v>
      </c>
      <c r="I254" s="21" t="s">
        <v>32</v>
      </c>
      <c r="J254" s="21" t="s">
        <v>138</v>
      </c>
      <c r="K254" s="30" t="s">
        <v>90</v>
      </c>
      <c r="L254" s="35">
        <v>48</v>
      </c>
      <c r="M254" s="22">
        <v>49.99</v>
      </c>
      <c r="N254" s="42">
        <v>44711</v>
      </c>
      <c r="O254" s="30" t="s">
        <v>115</v>
      </c>
    </row>
    <row r="255" spans="1:15" s="30" customFormat="1" ht="30" customHeight="1" x14ac:dyDescent="0.25">
      <c r="A255" s="30">
        <v>22</v>
      </c>
      <c r="B255" s="30" t="s">
        <v>165</v>
      </c>
      <c r="C255" s="30" t="s">
        <v>6</v>
      </c>
      <c r="D255" s="30" t="s">
        <v>10</v>
      </c>
      <c r="E255" s="30" t="s">
        <v>297</v>
      </c>
      <c r="F255" s="11" t="s">
        <v>558</v>
      </c>
      <c r="G255" s="30">
        <v>3</v>
      </c>
      <c r="H255" s="263" t="s">
        <v>26</v>
      </c>
      <c r="I255" s="21" t="s">
        <v>32</v>
      </c>
      <c r="J255" s="21" t="s">
        <v>138</v>
      </c>
      <c r="K255" s="30" t="s">
        <v>90</v>
      </c>
      <c r="L255" s="35">
        <v>48</v>
      </c>
      <c r="M255" s="22">
        <v>49.5</v>
      </c>
      <c r="N255" s="42">
        <v>44711</v>
      </c>
      <c r="O255" s="30" t="s">
        <v>115</v>
      </c>
    </row>
    <row r="256" spans="1:15" s="30" customFormat="1" ht="30" customHeight="1" x14ac:dyDescent="0.25">
      <c r="A256" s="30">
        <v>23</v>
      </c>
      <c r="B256" s="30" t="s">
        <v>165</v>
      </c>
      <c r="C256" s="30" t="s">
        <v>6</v>
      </c>
      <c r="D256" s="30" t="s">
        <v>10</v>
      </c>
      <c r="E256" s="30" t="s">
        <v>297</v>
      </c>
      <c r="F256" s="11" t="s">
        <v>559</v>
      </c>
      <c r="G256" s="30">
        <v>3</v>
      </c>
      <c r="H256" s="263" t="s">
        <v>26</v>
      </c>
      <c r="I256" s="21" t="s">
        <v>32</v>
      </c>
      <c r="J256" s="21" t="s">
        <v>138</v>
      </c>
      <c r="K256" s="30" t="s">
        <v>90</v>
      </c>
      <c r="L256" s="35">
        <v>45</v>
      </c>
      <c r="M256" s="22">
        <v>50.13</v>
      </c>
      <c r="N256" s="42">
        <v>44711</v>
      </c>
      <c r="O256" s="30" t="s">
        <v>115</v>
      </c>
    </row>
    <row r="257" spans="1:15" s="30" customFormat="1" ht="45.75" customHeight="1" x14ac:dyDescent="0.25">
      <c r="B257" s="30" t="s">
        <v>168</v>
      </c>
      <c r="C257" s="30" t="s">
        <v>6</v>
      </c>
      <c r="D257" s="30" t="s">
        <v>10</v>
      </c>
      <c r="E257" s="30" t="s">
        <v>297</v>
      </c>
      <c r="F257" s="11" t="s">
        <v>211</v>
      </c>
      <c r="G257" s="30">
        <v>3</v>
      </c>
      <c r="H257" s="263" t="s">
        <v>23</v>
      </c>
      <c r="I257" s="21" t="s">
        <v>53</v>
      </c>
      <c r="J257" s="21" t="s">
        <v>446</v>
      </c>
      <c r="K257" s="30" t="s">
        <v>90</v>
      </c>
      <c r="L257" s="35">
        <v>1</v>
      </c>
      <c r="M257" s="22">
        <v>16.18</v>
      </c>
      <c r="N257" s="42">
        <v>44711</v>
      </c>
      <c r="O257" s="30" t="s">
        <v>115</v>
      </c>
    </row>
    <row r="258" spans="1:15" s="30" customFormat="1" ht="30" customHeight="1" x14ac:dyDescent="0.25">
      <c r="B258" s="30" t="s">
        <v>165</v>
      </c>
      <c r="C258" s="30" t="s">
        <v>6</v>
      </c>
      <c r="D258" s="30" t="s">
        <v>10</v>
      </c>
      <c r="E258" s="30" t="s">
        <v>297</v>
      </c>
      <c r="F258" s="11" t="s">
        <v>212</v>
      </c>
      <c r="G258" s="30">
        <v>3</v>
      </c>
      <c r="H258" s="263" t="s">
        <v>21</v>
      </c>
      <c r="I258" s="21" t="s">
        <v>53</v>
      </c>
      <c r="J258" s="21" t="s">
        <v>340</v>
      </c>
      <c r="K258" s="30" t="s">
        <v>90</v>
      </c>
      <c r="L258" s="35">
        <v>12</v>
      </c>
      <c r="M258" s="22">
        <v>39.51</v>
      </c>
      <c r="N258" s="42">
        <v>44711</v>
      </c>
      <c r="O258" s="30" t="s">
        <v>115</v>
      </c>
    </row>
    <row r="259" spans="1:15" s="30" customFormat="1" ht="30" customHeight="1" x14ac:dyDescent="0.25">
      <c r="B259" s="30" t="s">
        <v>168</v>
      </c>
      <c r="C259" s="30" t="s">
        <v>6</v>
      </c>
      <c r="D259" s="30" t="s">
        <v>10</v>
      </c>
      <c r="E259" s="30" t="s">
        <v>297</v>
      </c>
      <c r="F259" s="11" t="s">
        <v>213</v>
      </c>
      <c r="G259" s="30">
        <v>3</v>
      </c>
      <c r="H259" s="263" t="s">
        <v>23</v>
      </c>
      <c r="I259" s="21" t="s">
        <v>53</v>
      </c>
      <c r="J259" s="21" t="s">
        <v>447</v>
      </c>
      <c r="K259" s="30" t="s">
        <v>107</v>
      </c>
      <c r="L259" s="35">
        <v>1</v>
      </c>
      <c r="M259" s="22">
        <v>10.29</v>
      </c>
      <c r="N259" s="42">
        <v>44711</v>
      </c>
      <c r="O259" s="30" t="s">
        <v>115</v>
      </c>
    </row>
    <row r="260" spans="1:15" s="30" customFormat="1" ht="30" customHeight="1" x14ac:dyDescent="0.25">
      <c r="B260" s="30" t="s">
        <v>168</v>
      </c>
      <c r="C260" s="30" t="s">
        <v>6</v>
      </c>
      <c r="D260" s="30" t="s">
        <v>10</v>
      </c>
      <c r="E260" s="30" t="s">
        <v>297</v>
      </c>
      <c r="F260" s="11" t="s">
        <v>214</v>
      </c>
      <c r="G260" s="30">
        <v>3</v>
      </c>
      <c r="H260" s="263" t="s">
        <v>23</v>
      </c>
      <c r="I260" s="21" t="s">
        <v>53</v>
      </c>
      <c r="J260" s="21" t="s">
        <v>572</v>
      </c>
      <c r="K260" s="30" t="s">
        <v>90</v>
      </c>
      <c r="L260" s="35">
        <v>1</v>
      </c>
      <c r="M260" s="22">
        <v>10.27</v>
      </c>
      <c r="N260" s="42">
        <v>44711</v>
      </c>
      <c r="O260" s="30" t="s">
        <v>115</v>
      </c>
    </row>
    <row r="261" spans="1:15" s="30" customFormat="1" ht="15" customHeight="1" x14ac:dyDescent="0.25">
      <c r="B261" s="30" t="s">
        <v>168</v>
      </c>
      <c r="C261" s="30" t="s">
        <v>6</v>
      </c>
      <c r="D261" s="30" t="s">
        <v>10</v>
      </c>
      <c r="E261" s="30" t="s">
        <v>297</v>
      </c>
      <c r="F261" s="11" t="s">
        <v>215</v>
      </c>
      <c r="G261" s="30">
        <v>3</v>
      </c>
      <c r="H261" s="263" t="s">
        <v>23</v>
      </c>
      <c r="I261" s="21" t="s">
        <v>53</v>
      </c>
      <c r="J261" s="21" t="s">
        <v>571</v>
      </c>
      <c r="K261" s="30" t="s">
        <v>90</v>
      </c>
      <c r="L261" s="35">
        <v>1</v>
      </c>
      <c r="M261" s="22">
        <v>15.92</v>
      </c>
      <c r="N261" s="42">
        <v>44711</v>
      </c>
      <c r="O261" s="30" t="s">
        <v>115</v>
      </c>
    </row>
    <row r="262" spans="1:15" s="30" customFormat="1" ht="15" customHeight="1" x14ac:dyDescent="0.25">
      <c r="B262" s="30" t="s">
        <v>168</v>
      </c>
      <c r="C262" s="30" t="s">
        <v>6</v>
      </c>
      <c r="D262" s="30" t="s">
        <v>10</v>
      </c>
      <c r="E262" s="30" t="s">
        <v>297</v>
      </c>
      <c r="F262" s="11" t="s">
        <v>215</v>
      </c>
      <c r="G262" s="30">
        <v>3</v>
      </c>
      <c r="H262" s="263" t="s">
        <v>394</v>
      </c>
      <c r="I262" s="21" t="s">
        <v>53</v>
      </c>
      <c r="J262" s="21" t="s">
        <v>366</v>
      </c>
      <c r="K262" s="30" t="s">
        <v>107</v>
      </c>
      <c r="L262" s="35">
        <v>6</v>
      </c>
      <c r="M262" s="22">
        <v>9.94</v>
      </c>
      <c r="N262" s="42">
        <v>44711</v>
      </c>
      <c r="O262" s="30" t="s">
        <v>115</v>
      </c>
    </row>
    <row r="263" spans="1:15" s="30" customFormat="1" ht="15" customHeight="1" x14ac:dyDescent="0.25">
      <c r="B263" s="30" t="s">
        <v>168</v>
      </c>
      <c r="C263" s="30" t="s">
        <v>6</v>
      </c>
      <c r="D263" s="30" t="s">
        <v>10</v>
      </c>
      <c r="E263" s="30" t="s">
        <v>297</v>
      </c>
      <c r="F263" s="11"/>
      <c r="G263" s="30">
        <v>3</v>
      </c>
      <c r="H263" s="263" t="s">
        <v>398</v>
      </c>
      <c r="I263" s="21" t="s">
        <v>68</v>
      </c>
      <c r="J263" s="21" t="s">
        <v>338</v>
      </c>
      <c r="K263" s="30" t="s">
        <v>94</v>
      </c>
      <c r="L263" s="35">
        <v>1</v>
      </c>
      <c r="M263" s="22">
        <v>1.44</v>
      </c>
      <c r="N263" s="42">
        <v>44711</v>
      </c>
      <c r="O263" s="30" t="s">
        <v>115</v>
      </c>
    </row>
    <row r="264" spans="1:15" s="30" customFormat="1" ht="15" customHeight="1" x14ac:dyDescent="0.25">
      <c r="B264" s="30" t="s">
        <v>168</v>
      </c>
      <c r="C264" s="30" t="s">
        <v>6</v>
      </c>
      <c r="D264" s="30" t="s">
        <v>10</v>
      </c>
      <c r="E264" s="30" t="s">
        <v>297</v>
      </c>
      <c r="F264" s="11"/>
      <c r="G264" s="30">
        <v>3</v>
      </c>
      <c r="H264" s="263" t="s">
        <v>398</v>
      </c>
      <c r="I264" s="21" t="s">
        <v>68</v>
      </c>
      <c r="J264" s="21" t="s">
        <v>339</v>
      </c>
      <c r="K264" s="30" t="s">
        <v>94</v>
      </c>
      <c r="L264" s="35">
        <v>1</v>
      </c>
      <c r="M264" s="22">
        <v>1.44</v>
      </c>
      <c r="N264" s="42">
        <v>44711</v>
      </c>
      <c r="O264" s="30" t="s">
        <v>115</v>
      </c>
    </row>
    <row r="265" spans="1:15" s="30" customFormat="1" ht="26.25" customHeight="1" x14ac:dyDescent="0.25">
      <c r="B265" s="30" t="s">
        <v>170</v>
      </c>
      <c r="C265" s="30" t="s">
        <v>6</v>
      </c>
      <c r="D265" s="30" t="s">
        <v>10</v>
      </c>
      <c r="E265" s="30" t="s">
        <v>297</v>
      </c>
      <c r="F265" s="11"/>
      <c r="G265" s="30">
        <v>3</v>
      </c>
      <c r="H265" s="263" t="s">
        <v>394</v>
      </c>
      <c r="I265" s="21" t="s">
        <v>68</v>
      </c>
      <c r="J265" s="21" t="s">
        <v>570</v>
      </c>
      <c r="K265" s="30" t="s">
        <v>94</v>
      </c>
      <c r="L265" s="35">
        <v>95</v>
      </c>
      <c r="M265" s="22">
        <v>191.23</v>
      </c>
      <c r="N265" s="42">
        <v>44711</v>
      </c>
      <c r="O265" s="30" t="s">
        <v>115</v>
      </c>
    </row>
    <row r="266" spans="1:15" s="30" customFormat="1" ht="30" customHeight="1" x14ac:dyDescent="0.25">
      <c r="A266" s="30">
        <v>24</v>
      </c>
      <c r="B266" s="30" t="s">
        <v>165</v>
      </c>
      <c r="C266" s="30" t="s">
        <v>6</v>
      </c>
      <c r="D266" s="30" t="s">
        <v>10</v>
      </c>
      <c r="E266" s="30" t="s">
        <v>14</v>
      </c>
      <c r="F266" s="11" t="s">
        <v>573</v>
      </c>
      <c r="G266" s="30">
        <v>4</v>
      </c>
      <c r="H266" s="263" t="s">
        <v>26</v>
      </c>
      <c r="I266" s="21" t="s">
        <v>32</v>
      </c>
      <c r="J266" s="21" t="s">
        <v>138</v>
      </c>
      <c r="K266" s="30" t="s">
        <v>90</v>
      </c>
      <c r="L266" s="35">
        <v>30</v>
      </c>
      <c r="M266" s="22">
        <v>36.450000000000003</v>
      </c>
      <c r="N266" s="44">
        <v>44714</v>
      </c>
      <c r="O266" s="30" t="s">
        <v>115</v>
      </c>
    </row>
    <row r="267" spans="1:15" s="30" customFormat="1" ht="30" customHeight="1" x14ac:dyDescent="0.25">
      <c r="A267" s="30">
        <v>25</v>
      </c>
      <c r="B267" s="30" t="s">
        <v>165</v>
      </c>
      <c r="C267" s="30" t="s">
        <v>6</v>
      </c>
      <c r="D267" s="30" t="s">
        <v>10</v>
      </c>
      <c r="E267" s="30" t="s">
        <v>14</v>
      </c>
      <c r="F267" s="11" t="s">
        <v>574</v>
      </c>
      <c r="G267" s="30">
        <v>4</v>
      </c>
      <c r="H267" s="263" t="s">
        <v>26</v>
      </c>
      <c r="I267" s="21" t="s">
        <v>32</v>
      </c>
      <c r="J267" s="21" t="s">
        <v>908</v>
      </c>
      <c r="K267" s="30" t="s">
        <v>90</v>
      </c>
      <c r="L267" s="35">
        <v>24</v>
      </c>
      <c r="M267" s="22">
        <v>55.06</v>
      </c>
      <c r="N267" s="44">
        <v>44714</v>
      </c>
      <c r="O267" s="30" t="s">
        <v>115</v>
      </c>
    </row>
    <row r="268" spans="1:15" s="30" customFormat="1" ht="30" customHeight="1" x14ac:dyDescent="0.25">
      <c r="A268" s="30">
        <v>26</v>
      </c>
      <c r="B268" s="30" t="s">
        <v>165</v>
      </c>
      <c r="C268" s="30" t="s">
        <v>6</v>
      </c>
      <c r="D268" s="30" t="s">
        <v>10</v>
      </c>
      <c r="E268" s="30" t="s">
        <v>14</v>
      </c>
      <c r="F268" s="11" t="s">
        <v>575</v>
      </c>
      <c r="G268" s="30">
        <v>4</v>
      </c>
      <c r="H268" s="263" t="s">
        <v>26</v>
      </c>
      <c r="I268" s="21" t="s">
        <v>32</v>
      </c>
      <c r="J268" s="21" t="s">
        <v>908</v>
      </c>
      <c r="K268" s="30" t="s">
        <v>90</v>
      </c>
      <c r="L268" s="35">
        <v>30</v>
      </c>
      <c r="M268" s="22">
        <v>79.86</v>
      </c>
      <c r="N268" s="44">
        <v>44714</v>
      </c>
      <c r="O268" s="30" t="s">
        <v>115</v>
      </c>
    </row>
    <row r="269" spans="1:15" s="30" customFormat="1" ht="30" customHeight="1" x14ac:dyDescent="0.25">
      <c r="B269" s="30" t="s">
        <v>168</v>
      </c>
      <c r="C269" s="30" t="s">
        <v>6</v>
      </c>
      <c r="D269" s="30" t="s">
        <v>10</v>
      </c>
      <c r="E269" s="30" t="s">
        <v>14</v>
      </c>
      <c r="F269" s="11" t="s">
        <v>576</v>
      </c>
      <c r="G269" s="30">
        <v>4</v>
      </c>
      <c r="H269" s="263" t="s">
        <v>258</v>
      </c>
      <c r="I269" s="262" t="s">
        <v>57</v>
      </c>
      <c r="J269" s="262" t="s">
        <v>935</v>
      </c>
      <c r="K269" s="30" t="s">
        <v>94</v>
      </c>
      <c r="L269" s="35">
        <v>0</v>
      </c>
      <c r="M269" s="22">
        <v>5.89</v>
      </c>
      <c r="N269" s="44">
        <v>44714</v>
      </c>
      <c r="O269" s="30" t="s">
        <v>115</v>
      </c>
    </row>
    <row r="270" spans="1:15" s="30" customFormat="1" ht="30" customHeight="1" x14ac:dyDescent="0.25">
      <c r="B270" s="30" t="s">
        <v>168</v>
      </c>
      <c r="C270" s="30" t="s">
        <v>6</v>
      </c>
      <c r="D270" s="30" t="s">
        <v>10</v>
      </c>
      <c r="E270" s="30" t="s">
        <v>14</v>
      </c>
      <c r="F270" s="11" t="s">
        <v>577</v>
      </c>
      <c r="G270" s="30">
        <v>4</v>
      </c>
      <c r="H270" s="263" t="s">
        <v>390</v>
      </c>
      <c r="I270" s="21" t="s">
        <v>38</v>
      </c>
      <c r="J270" s="21" t="s">
        <v>326</v>
      </c>
      <c r="K270" s="30" t="s">
        <v>94</v>
      </c>
      <c r="L270" s="35">
        <v>0</v>
      </c>
      <c r="M270" s="22">
        <v>5.74</v>
      </c>
      <c r="N270" s="44">
        <v>44714</v>
      </c>
      <c r="O270" s="30" t="s">
        <v>115</v>
      </c>
    </row>
    <row r="271" spans="1:15" s="30" customFormat="1" ht="15" customHeight="1" x14ac:dyDescent="0.25">
      <c r="A271" s="30">
        <v>27</v>
      </c>
      <c r="B271" s="30" t="s">
        <v>165</v>
      </c>
      <c r="C271" s="30" t="s">
        <v>6</v>
      </c>
      <c r="D271" s="30" t="s">
        <v>10</v>
      </c>
      <c r="E271" s="30" t="s">
        <v>14</v>
      </c>
      <c r="F271" s="11" t="s">
        <v>579</v>
      </c>
      <c r="G271" s="30">
        <v>4</v>
      </c>
      <c r="H271" s="263" t="s">
        <v>26</v>
      </c>
      <c r="I271" s="21" t="s">
        <v>32</v>
      </c>
      <c r="J271" s="21" t="s">
        <v>909</v>
      </c>
      <c r="K271" s="30" t="s">
        <v>90</v>
      </c>
      <c r="L271" s="35">
        <v>32</v>
      </c>
      <c r="M271" s="22">
        <v>72.81</v>
      </c>
      <c r="N271" s="44">
        <v>44714</v>
      </c>
      <c r="O271" s="30" t="s">
        <v>115</v>
      </c>
    </row>
    <row r="272" spans="1:15" s="30" customFormat="1" ht="29.25" customHeight="1" x14ac:dyDescent="0.25">
      <c r="A272" s="30">
        <v>28</v>
      </c>
      <c r="B272" s="30" t="s">
        <v>165</v>
      </c>
      <c r="C272" s="30" t="s">
        <v>6</v>
      </c>
      <c r="D272" s="30" t="s">
        <v>10</v>
      </c>
      <c r="E272" s="30" t="s">
        <v>14</v>
      </c>
      <c r="F272" s="11" t="s">
        <v>580</v>
      </c>
      <c r="G272" s="30">
        <v>4</v>
      </c>
      <c r="H272" s="263" t="s">
        <v>26</v>
      </c>
      <c r="I272" s="21" t="s">
        <v>32</v>
      </c>
      <c r="J272" s="21" t="s">
        <v>909</v>
      </c>
      <c r="K272" s="30" t="s">
        <v>90</v>
      </c>
      <c r="L272" s="35">
        <v>40</v>
      </c>
      <c r="M272" s="22">
        <v>75.099999999999994</v>
      </c>
      <c r="N272" s="44">
        <v>44714</v>
      </c>
      <c r="O272" s="30" t="s">
        <v>115</v>
      </c>
    </row>
    <row r="273" spans="2:15" s="30" customFormat="1" ht="15" customHeight="1" x14ac:dyDescent="0.25">
      <c r="B273" s="30" t="s">
        <v>168</v>
      </c>
      <c r="C273" s="30" t="s">
        <v>6</v>
      </c>
      <c r="D273" s="30" t="s">
        <v>10</v>
      </c>
      <c r="E273" s="30" t="s">
        <v>14</v>
      </c>
      <c r="F273" s="11" t="s">
        <v>581</v>
      </c>
      <c r="G273" s="30">
        <v>4</v>
      </c>
      <c r="H273" s="263" t="s">
        <v>23</v>
      </c>
      <c r="I273" s="21" t="s">
        <v>54</v>
      </c>
      <c r="J273" s="21" t="s">
        <v>960</v>
      </c>
      <c r="K273" s="30" t="s">
        <v>90</v>
      </c>
      <c r="L273" s="35">
        <v>5</v>
      </c>
      <c r="M273" s="22">
        <v>21.78</v>
      </c>
      <c r="N273" s="44">
        <v>44714</v>
      </c>
      <c r="O273" s="30" t="s">
        <v>115</v>
      </c>
    </row>
    <row r="274" spans="2:15" s="30" customFormat="1" ht="15" customHeight="1" x14ac:dyDescent="0.25">
      <c r="B274" s="30" t="s">
        <v>165</v>
      </c>
      <c r="C274" s="30" t="s">
        <v>6</v>
      </c>
      <c r="D274" s="30" t="s">
        <v>10</v>
      </c>
      <c r="E274" s="30" t="s">
        <v>14</v>
      </c>
      <c r="F274" s="11" t="s">
        <v>582</v>
      </c>
      <c r="G274" s="30">
        <v>4</v>
      </c>
      <c r="H274" s="263" t="s">
        <v>117</v>
      </c>
      <c r="I274" s="21" t="s">
        <v>32</v>
      </c>
      <c r="J274" s="21" t="s">
        <v>138</v>
      </c>
      <c r="K274" s="30" t="s">
        <v>90</v>
      </c>
      <c r="L274" s="35">
        <v>38</v>
      </c>
      <c r="M274" s="22">
        <v>39.729999999999997</v>
      </c>
      <c r="N274" s="44">
        <v>45454</v>
      </c>
      <c r="O274" s="30" t="s">
        <v>115</v>
      </c>
    </row>
    <row r="275" spans="2:15" s="30" customFormat="1" ht="15" customHeight="1" x14ac:dyDescent="0.25">
      <c r="B275" s="30" t="s">
        <v>165</v>
      </c>
      <c r="C275" s="30" t="s">
        <v>6</v>
      </c>
      <c r="D275" s="30" t="s">
        <v>10</v>
      </c>
      <c r="E275" s="30" t="s">
        <v>14</v>
      </c>
      <c r="F275" s="11"/>
      <c r="G275" s="30">
        <v>4</v>
      </c>
      <c r="H275" s="263" t="s">
        <v>399</v>
      </c>
      <c r="I275" s="21" t="s">
        <v>68</v>
      </c>
      <c r="J275" s="21" t="s">
        <v>564</v>
      </c>
      <c r="K275" s="30" t="s">
        <v>94</v>
      </c>
      <c r="L275" s="36">
        <v>2</v>
      </c>
      <c r="M275" s="18">
        <v>8.6300000000000008</v>
      </c>
      <c r="N275" s="44">
        <v>44714</v>
      </c>
      <c r="O275" s="30" t="s">
        <v>114</v>
      </c>
    </row>
    <row r="276" spans="2:15" s="30" customFormat="1" ht="15" customHeight="1" x14ac:dyDescent="0.25">
      <c r="B276" s="30" t="s">
        <v>165</v>
      </c>
      <c r="C276" s="30" t="s">
        <v>6</v>
      </c>
      <c r="D276" s="30" t="s">
        <v>10</v>
      </c>
      <c r="E276" s="30" t="s">
        <v>14</v>
      </c>
      <c r="F276" s="11"/>
      <c r="G276" s="30">
        <v>4</v>
      </c>
      <c r="H276" s="263" t="s">
        <v>399</v>
      </c>
      <c r="I276" s="21" t="s">
        <v>68</v>
      </c>
      <c r="J276" s="21" t="s">
        <v>565</v>
      </c>
      <c r="K276" s="30" t="s">
        <v>94</v>
      </c>
      <c r="L276" s="36">
        <v>2</v>
      </c>
      <c r="M276" s="18">
        <v>7.71</v>
      </c>
      <c r="N276" s="44">
        <v>44714</v>
      </c>
      <c r="O276" s="30" t="s">
        <v>114</v>
      </c>
    </row>
    <row r="277" spans="2:15" s="30" customFormat="1" ht="29.25" customHeight="1" x14ac:dyDescent="0.25">
      <c r="B277" s="30" t="s">
        <v>170</v>
      </c>
      <c r="C277" s="30" t="s">
        <v>6</v>
      </c>
      <c r="D277" s="30" t="s">
        <v>10</v>
      </c>
      <c r="E277" s="30" t="s">
        <v>14</v>
      </c>
      <c r="F277" s="11"/>
      <c r="G277" s="30">
        <v>4</v>
      </c>
      <c r="H277" s="263" t="s">
        <v>183</v>
      </c>
      <c r="I277" s="21" t="s">
        <v>35</v>
      </c>
      <c r="J277" s="21" t="s">
        <v>183</v>
      </c>
      <c r="K277" s="30" t="s">
        <v>107</v>
      </c>
      <c r="L277" s="36">
        <v>0</v>
      </c>
      <c r="M277" s="18">
        <v>16.89</v>
      </c>
      <c r="N277" s="44">
        <v>44714</v>
      </c>
      <c r="O277" s="30" t="s">
        <v>114</v>
      </c>
    </row>
    <row r="278" spans="2:15" s="30" customFormat="1" ht="29.25" customHeight="1" x14ac:dyDescent="0.25">
      <c r="B278" s="30" t="s">
        <v>167</v>
      </c>
      <c r="C278" s="30" t="s">
        <v>6</v>
      </c>
      <c r="D278" s="30" t="s">
        <v>10</v>
      </c>
      <c r="E278" s="30" t="s">
        <v>14</v>
      </c>
      <c r="F278" s="11"/>
      <c r="G278" s="30">
        <v>4</v>
      </c>
      <c r="H278" s="263" t="s">
        <v>389</v>
      </c>
      <c r="I278" s="21" t="s">
        <v>68</v>
      </c>
      <c r="J278" s="50" t="s">
        <v>936</v>
      </c>
      <c r="K278" s="43" t="s">
        <v>107</v>
      </c>
      <c r="L278" s="259">
        <v>2</v>
      </c>
      <c r="M278" s="260">
        <v>15.15</v>
      </c>
      <c r="N278" s="235">
        <v>45306</v>
      </c>
      <c r="O278" s="30" t="s">
        <v>114</v>
      </c>
    </row>
    <row r="279" spans="2:15" s="30" customFormat="1" ht="28.5" customHeight="1" x14ac:dyDescent="0.25">
      <c r="B279" s="30" t="s">
        <v>170</v>
      </c>
      <c r="C279" s="30" t="s">
        <v>6</v>
      </c>
      <c r="D279" s="30" t="s">
        <v>10</v>
      </c>
      <c r="E279" s="30" t="s">
        <v>14</v>
      </c>
      <c r="F279" s="11"/>
      <c r="G279" s="30">
        <v>4</v>
      </c>
      <c r="H279" s="263" t="s">
        <v>391</v>
      </c>
      <c r="I279" s="21" t="s">
        <v>68</v>
      </c>
      <c r="J279" s="21" t="s">
        <v>813</v>
      </c>
      <c r="K279" s="30" t="s">
        <v>107</v>
      </c>
      <c r="L279" s="36">
        <v>8</v>
      </c>
      <c r="M279" s="18">
        <v>7.62</v>
      </c>
      <c r="N279" s="44">
        <v>44714</v>
      </c>
      <c r="O279" s="30" t="s">
        <v>114</v>
      </c>
    </row>
    <row r="280" spans="2:15" s="30" customFormat="1" ht="15" customHeight="1" x14ac:dyDescent="0.25">
      <c r="B280" s="30" t="s">
        <v>165</v>
      </c>
      <c r="C280" s="30" t="s">
        <v>6</v>
      </c>
      <c r="D280" s="30" t="s">
        <v>10</v>
      </c>
      <c r="E280" s="30" t="s">
        <v>297</v>
      </c>
      <c r="F280" s="11" t="s">
        <v>583</v>
      </c>
      <c r="G280" s="30">
        <v>4</v>
      </c>
      <c r="H280" s="263" t="s">
        <v>26</v>
      </c>
      <c r="I280" s="21" t="s">
        <v>32</v>
      </c>
      <c r="J280" s="21" t="s">
        <v>909</v>
      </c>
      <c r="K280" s="30" t="s">
        <v>90</v>
      </c>
      <c r="L280" s="35">
        <v>45</v>
      </c>
      <c r="M280" s="22">
        <v>63.47</v>
      </c>
      <c r="N280" s="44">
        <v>44714</v>
      </c>
      <c r="O280" s="30" t="s">
        <v>115</v>
      </c>
    </row>
    <row r="281" spans="2:15" s="30" customFormat="1" ht="15" customHeight="1" x14ac:dyDescent="0.25">
      <c r="B281" s="30" t="s">
        <v>165</v>
      </c>
      <c r="C281" s="30" t="s">
        <v>6</v>
      </c>
      <c r="D281" s="30" t="s">
        <v>10</v>
      </c>
      <c r="E281" s="30" t="s">
        <v>297</v>
      </c>
      <c r="F281" s="11" t="s">
        <v>578</v>
      </c>
      <c r="G281" s="30">
        <v>4</v>
      </c>
      <c r="H281" s="263" t="s">
        <v>26</v>
      </c>
      <c r="I281" s="21" t="s">
        <v>32</v>
      </c>
      <c r="J281" s="21" t="s">
        <v>138</v>
      </c>
      <c r="K281" s="30" t="s">
        <v>90</v>
      </c>
      <c r="L281" s="35">
        <v>28</v>
      </c>
      <c r="M281" s="22">
        <v>38.020000000000003</v>
      </c>
      <c r="N281" s="44">
        <v>44714</v>
      </c>
      <c r="O281" s="30" t="s">
        <v>115</v>
      </c>
    </row>
    <row r="282" spans="2:15" s="30" customFormat="1" ht="15" customHeight="1" x14ac:dyDescent="0.25">
      <c r="B282" s="30" t="s">
        <v>165</v>
      </c>
      <c r="C282" s="30" t="s">
        <v>6</v>
      </c>
      <c r="D282" s="30" t="s">
        <v>10</v>
      </c>
      <c r="E282" s="30" t="s">
        <v>297</v>
      </c>
      <c r="F282" s="11" t="s">
        <v>584</v>
      </c>
      <c r="G282" s="30">
        <v>4</v>
      </c>
      <c r="H282" s="263" t="s">
        <v>26</v>
      </c>
      <c r="I282" s="21" t="s">
        <v>32</v>
      </c>
      <c r="J282" s="21" t="s">
        <v>138</v>
      </c>
      <c r="K282" s="30" t="s">
        <v>90</v>
      </c>
      <c r="L282" s="35">
        <v>30</v>
      </c>
      <c r="M282" s="22">
        <v>41.63</v>
      </c>
      <c r="N282" s="44">
        <v>44714</v>
      </c>
      <c r="O282" s="30" t="s">
        <v>115</v>
      </c>
    </row>
    <row r="283" spans="2:15" s="30" customFormat="1" ht="30" customHeight="1" x14ac:dyDescent="0.25">
      <c r="B283" s="30" t="s">
        <v>165</v>
      </c>
      <c r="C283" s="30" t="s">
        <v>6</v>
      </c>
      <c r="D283" s="30" t="s">
        <v>10</v>
      </c>
      <c r="E283" s="30" t="s">
        <v>297</v>
      </c>
      <c r="F283" s="11" t="s">
        <v>585</v>
      </c>
      <c r="G283" s="30">
        <v>4</v>
      </c>
      <c r="H283" s="263" t="s">
        <v>26</v>
      </c>
      <c r="I283" s="21" t="s">
        <v>32</v>
      </c>
      <c r="J283" s="21" t="s">
        <v>138</v>
      </c>
      <c r="K283" s="30" t="s">
        <v>90</v>
      </c>
      <c r="L283" s="35">
        <v>48</v>
      </c>
      <c r="M283" s="22">
        <v>55.03</v>
      </c>
      <c r="N283" s="44">
        <v>44714</v>
      </c>
      <c r="O283" s="30" t="s">
        <v>115</v>
      </c>
    </row>
    <row r="284" spans="2:15" s="30" customFormat="1" ht="45" customHeight="1" x14ac:dyDescent="0.25">
      <c r="B284" s="30" t="s">
        <v>165</v>
      </c>
      <c r="C284" s="30" t="s">
        <v>6</v>
      </c>
      <c r="D284" s="30" t="s">
        <v>10</v>
      </c>
      <c r="E284" s="30" t="s">
        <v>297</v>
      </c>
      <c r="F284" s="11" t="s">
        <v>587</v>
      </c>
      <c r="G284" s="30">
        <v>4</v>
      </c>
      <c r="H284" s="263" t="s">
        <v>26</v>
      </c>
      <c r="I284" s="21" t="s">
        <v>32</v>
      </c>
      <c r="J284" s="21" t="s">
        <v>138</v>
      </c>
      <c r="K284" s="30" t="s">
        <v>90</v>
      </c>
      <c r="L284" s="35">
        <v>48</v>
      </c>
      <c r="M284" s="22">
        <v>49.99</v>
      </c>
      <c r="N284" s="44">
        <v>44714</v>
      </c>
      <c r="O284" s="30" t="s">
        <v>115</v>
      </c>
    </row>
    <row r="285" spans="2:15" s="30" customFormat="1" ht="15" customHeight="1" x14ac:dyDescent="0.25">
      <c r="B285" s="30" t="s">
        <v>165</v>
      </c>
      <c r="C285" s="30" t="s">
        <v>6</v>
      </c>
      <c r="D285" s="30" t="s">
        <v>10</v>
      </c>
      <c r="E285" s="30" t="s">
        <v>297</v>
      </c>
      <c r="F285" s="11" t="s">
        <v>588</v>
      </c>
      <c r="G285" s="30">
        <v>4</v>
      </c>
      <c r="H285" s="263" t="s">
        <v>26</v>
      </c>
      <c r="I285" s="21" t="s">
        <v>32</v>
      </c>
      <c r="J285" s="21" t="s">
        <v>138</v>
      </c>
      <c r="K285" s="30" t="s">
        <v>90</v>
      </c>
      <c r="L285" s="35">
        <v>48</v>
      </c>
      <c r="M285" s="22">
        <v>49.5</v>
      </c>
      <c r="N285" s="44">
        <v>44714</v>
      </c>
      <c r="O285" s="30" t="s">
        <v>115</v>
      </c>
    </row>
    <row r="286" spans="2:15" s="30" customFormat="1" ht="30" customHeight="1" x14ac:dyDescent="0.25">
      <c r="B286" s="30" t="s">
        <v>165</v>
      </c>
      <c r="C286" s="30" t="s">
        <v>6</v>
      </c>
      <c r="D286" s="30" t="s">
        <v>10</v>
      </c>
      <c r="E286" s="30" t="s">
        <v>297</v>
      </c>
      <c r="F286" s="11" t="s">
        <v>589</v>
      </c>
      <c r="G286" s="30">
        <v>4</v>
      </c>
      <c r="H286" s="263" t="s">
        <v>26</v>
      </c>
      <c r="I286" s="21" t="s">
        <v>32</v>
      </c>
      <c r="J286" s="21" t="s">
        <v>138</v>
      </c>
      <c r="K286" s="30" t="s">
        <v>90</v>
      </c>
      <c r="L286" s="35">
        <v>45</v>
      </c>
      <c r="M286" s="22">
        <v>50.13</v>
      </c>
      <c r="N286" s="44">
        <v>44714</v>
      </c>
      <c r="O286" s="30" t="s">
        <v>115</v>
      </c>
    </row>
    <row r="287" spans="2:15" s="30" customFormat="1" ht="29.25" customHeight="1" x14ac:dyDescent="0.25">
      <c r="B287" s="30" t="s">
        <v>168</v>
      </c>
      <c r="C287" s="30" t="s">
        <v>6</v>
      </c>
      <c r="D287" s="30" t="s">
        <v>10</v>
      </c>
      <c r="E287" s="30" t="s">
        <v>297</v>
      </c>
      <c r="F287" s="11" t="s">
        <v>590</v>
      </c>
      <c r="G287" s="30">
        <v>4</v>
      </c>
      <c r="H287" s="263" t="s">
        <v>23</v>
      </c>
      <c r="I287" s="21" t="s">
        <v>72</v>
      </c>
      <c r="J287" s="21" t="s">
        <v>816</v>
      </c>
      <c r="K287" s="30" t="s">
        <v>90</v>
      </c>
      <c r="L287" s="35">
        <v>3</v>
      </c>
      <c r="M287" s="22">
        <v>15.34</v>
      </c>
      <c r="N287" s="44">
        <v>44714</v>
      </c>
      <c r="O287" s="30" t="s">
        <v>115</v>
      </c>
    </row>
    <row r="288" spans="2:15" s="30" customFormat="1" ht="29.25" customHeight="1" x14ac:dyDescent="0.25">
      <c r="B288" s="30" t="s">
        <v>168</v>
      </c>
      <c r="C288" s="30" t="s">
        <v>6</v>
      </c>
      <c r="D288" s="30" t="s">
        <v>10</v>
      </c>
      <c r="E288" s="30" t="s">
        <v>297</v>
      </c>
      <c r="F288" s="11" t="s">
        <v>586</v>
      </c>
      <c r="G288" s="30">
        <v>4</v>
      </c>
      <c r="H288" s="263" t="s">
        <v>23</v>
      </c>
      <c r="I288" s="21" t="s">
        <v>72</v>
      </c>
      <c r="J288" s="21" t="s">
        <v>817</v>
      </c>
      <c r="K288" s="30" t="s">
        <v>90</v>
      </c>
      <c r="L288" s="35">
        <v>3</v>
      </c>
      <c r="M288" s="22">
        <v>16.66</v>
      </c>
      <c r="N288" s="44">
        <v>44714</v>
      </c>
      <c r="O288" s="30" t="s">
        <v>115</v>
      </c>
    </row>
    <row r="289" spans="2:15" s="30" customFormat="1" ht="30" customHeight="1" x14ac:dyDescent="0.25">
      <c r="B289" s="30" t="s">
        <v>165</v>
      </c>
      <c r="C289" s="30" t="s">
        <v>6</v>
      </c>
      <c r="D289" s="30" t="s">
        <v>10</v>
      </c>
      <c r="E289" s="30" t="s">
        <v>297</v>
      </c>
      <c r="F289" s="11" t="s">
        <v>591</v>
      </c>
      <c r="G289" s="30">
        <v>4</v>
      </c>
      <c r="H289" s="263" t="s">
        <v>117</v>
      </c>
      <c r="I289" s="21" t="s">
        <v>72</v>
      </c>
      <c r="J289" s="21" t="s">
        <v>815</v>
      </c>
      <c r="K289" s="30" t="s">
        <v>90</v>
      </c>
      <c r="L289" s="35">
        <v>3</v>
      </c>
      <c r="M289" s="22">
        <v>10.57</v>
      </c>
      <c r="N289" s="44">
        <v>44714</v>
      </c>
      <c r="O289" s="30" t="s">
        <v>115</v>
      </c>
    </row>
    <row r="290" spans="2:15" s="30" customFormat="1" ht="15" customHeight="1" x14ac:dyDescent="0.25">
      <c r="B290" s="30" t="s">
        <v>165</v>
      </c>
      <c r="C290" s="30" t="s">
        <v>6</v>
      </c>
      <c r="D290" s="30" t="s">
        <v>10</v>
      </c>
      <c r="E290" s="30" t="s">
        <v>297</v>
      </c>
      <c r="F290" s="11"/>
      <c r="G290" s="30">
        <v>4</v>
      </c>
      <c r="H290" s="263" t="s">
        <v>23</v>
      </c>
      <c r="I290" s="21" t="s">
        <v>85</v>
      </c>
      <c r="J290" s="21" t="s">
        <v>818</v>
      </c>
      <c r="K290" s="30" t="s">
        <v>90</v>
      </c>
      <c r="L290" s="35">
        <v>3</v>
      </c>
      <c r="M290" s="22">
        <v>7.59</v>
      </c>
      <c r="N290" s="44">
        <v>44714</v>
      </c>
      <c r="O290" s="30" t="s">
        <v>115</v>
      </c>
    </row>
    <row r="291" spans="2:15" s="30" customFormat="1" ht="15" customHeight="1" x14ac:dyDescent="0.25">
      <c r="B291" s="30" t="s">
        <v>165</v>
      </c>
      <c r="C291" s="30" t="s">
        <v>6</v>
      </c>
      <c r="D291" s="30" t="s">
        <v>10</v>
      </c>
      <c r="E291" s="30" t="s">
        <v>297</v>
      </c>
      <c r="F291" s="11"/>
      <c r="G291" s="30">
        <v>4</v>
      </c>
      <c r="H291" s="263" t="s">
        <v>21</v>
      </c>
      <c r="I291" s="21" t="s">
        <v>72</v>
      </c>
      <c r="J291" s="21" t="s">
        <v>861</v>
      </c>
      <c r="K291" s="30" t="s">
        <v>90</v>
      </c>
      <c r="L291" s="35">
        <v>18</v>
      </c>
      <c r="M291" s="22">
        <v>39.15</v>
      </c>
      <c r="N291" s="44">
        <v>44714</v>
      </c>
      <c r="O291" s="30" t="s">
        <v>115</v>
      </c>
    </row>
    <row r="292" spans="2:15" s="30" customFormat="1" ht="15" customHeight="1" x14ac:dyDescent="0.25">
      <c r="B292" s="30" t="s">
        <v>165</v>
      </c>
      <c r="C292" s="30" t="s">
        <v>6</v>
      </c>
      <c r="D292" s="30" t="s">
        <v>10</v>
      </c>
      <c r="E292" s="30" t="s">
        <v>297</v>
      </c>
      <c r="F292" s="11"/>
      <c r="G292" s="30">
        <v>4</v>
      </c>
      <c r="H292" s="263" t="s">
        <v>394</v>
      </c>
      <c r="I292" s="21" t="s">
        <v>94</v>
      </c>
      <c r="J292" s="21" t="s">
        <v>777</v>
      </c>
      <c r="K292" s="30" t="s">
        <v>107</v>
      </c>
      <c r="L292" s="35">
        <v>5</v>
      </c>
      <c r="M292" s="22">
        <v>11.75</v>
      </c>
      <c r="N292" s="44">
        <v>44714</v>
      </c>
      <c r="O292" s="30" t="s">
        <v>115</v>
      </c>
    </row>
    <row r="293" spans="2:15" s="30" customFormat="1" ht="15" customHeight="1" x14ac:dyDescent="0.25">
      <c r="B293" s="30" t="s">
        <v>168</v>
      </c>
      <c r="C293" s="30" t="s">
        <v>6</v>
      </c>
      <c r="D293" s="30" t="s">
        <v>10</v>
      </c>
      <c r="E293" s="30" t="s">
        <v>297</v>
      </c>
      <c r="F293" s="11"/>
      <c r="G293" s="30">
        <v>4</v>
      </c>
      <c r="H293" s="263" t="s">
        <v>389</v>
      </c>
      <c r="I293" s="21" t="s">
        <v>48</v>
      </c>
      <c r="J293" s="20" t="s">
        <v>778</v>
      </c>
      <c r="K293" s="30" t="s">
        <v>94</v>
      </c>
      <c r="L293" s="36">
        <v>0</v>
      </c>
      <c r="M293" s="37">
        <v>5.09</v>
      </c>
      <c r="N293" s="44">
        <v>44714</v>
      </c>
      <c r="O293" s="30" t="s">
        <v>115</v>
      </c>
    </row>
    <row r="294" spans="2:15" s="30" customFormat="1" ht="30" customHeight="1" x14ac:dyDescent="0.25">
      <c r="B294" s="30" t="s">
        <v>168</v>
      </c>
      <c r="C294" s="30" t="s">
        <v>6</v>
      </c>
      <c r="D294" s="30" t="s">
        <v>10</v>
      </c>
      <c r="E294" s="30" t="s">
        <v>297</v>
      </c>
      <c r="F294" s="11"/>
      <c r="G294" s="30">
        <v>4</v>
      </c>
      <c r="H294" s="263" t="s">
        <v>389</v>
      </c>
      <c r="I294" s="21" t="s">
        <v>150</v>
      </c>
      <c r="J294" s="20" t="s">
        <v>779</v>
      </c>
      <c r="K294" s="30" t="s">
        <v>94</v>
      </c>
      <c r="L294" s="36">
        <v>0</v>
      </c>
      <c r="M294" s="37">
        <v>5.14</v>
      </c>
      <c r="N294" s="44">
        <v>44714</v>
      </c>
      <c r="O294" s="30" t="s">
        <v>115</v>
      </c>
    </row>
    <row r="295" spans="2:15" s="30" customFormat="1" ht="29.25" customHeight="1" x14ac:dyDescent="0.25">
      <c r="B295" s="30" t="s">
        <v>168</v>
      </c>
      <c r="C295" s="30" t="s">
        <v>6</v>
      </c>
      <c r="D295" s="30" t="s">
        <v>10</v>
      </c>
      <c r="E295" s="30" t="s">
        <v>297</v>
      </c>
      <c r="F295" s="11"/>
      <c r="G295" s="30">
        <v>4</v>
      </c>
      <c r="H295" s="263" t="s">
        <v>398</v>
      </c>
      <c r="I295" s="21" t="s">
        <v>72</v>
      </c>
      <c r="J295" s="21" t="s">
        <v>814</v>
      </c>
      <c r="K295" s="30" t="s">
        <v>94</v>
      </c>
      <c r="L295" s="35">
        <v>1</v>
      </c>
      <c r="M295" s="22">
        <v>1.44</v>
      </c>
      <c r="N295" s="44">
        <v>44714</v>
      </c>
      <c r="O295" s="30" t="s">
        <v>115</v>
      </c>
    </row>
    <row r="296" spans="2:15" s="30" customFormat="1" ht="29.25" customHeight="1" x14ac:dyDescent="0.25">
      <c r="B296" s="30" t="s">
        <v>168</v>
      </c>
      <c r="C296" s="30" t="s">
        <v>6</v>
      </c>
      <c r="D296" s="30" t="s">
        <v>10</v>
      </c>
      <c r="E296" s="30" t="s">
        <v>297</v>
      </c>
      <c r="F296" s="11"/>
      <c r="G296" s="30">
        <v>4</v>
      </c>
      <c r="H296" s="263" t="s">
        <v>398</v>
      </c>
      <c r="I296" s="21" t="s">
        <v>72</v>
      </c>
      <c r="J296" s="21" t="s">
        <v>814</v>
      </c>
      <c r="K296" s="30" t="s">
        <v>94</v>
      </c>
      <c r="L296" s="35">
        <v>1</v>
      </c>
      <c r="M296" s="22">
        <v>1.44</v>
      </c>
      <c r="N296" s="44">
        <v>44714</v>
      </c>
      <c r="O296" s="30" t="s">
        <v>115</v>
      </c>
    </row>
    <row r="297" spans="2:15" s="30" customFormat="1" ht="29.25" customHeight="1" x14ac:dyDescent="0.25">
      <c r="B297" s="30" t="s">
        <v>170</v>
      </c>
      <c r="C297" s="30" t="s">
        <v>6</v>
      </c>
      <c r="D297" s="30" t="s">
        <v>10</v>
      </c>
      <c r="E297" s="30" t="s">
        <v>297</v>
      </c>
      <c r="F297" s="11"/>
      <c r="G297" s="30">
        <v>4</v>
      </c>
      <c r="H297" s="263" t="s">
        <v>394</v>
      </c>
      <c r="I297" s="21" t="s">
        <v>68</v>
      </c>
      <c r="J297" s="21" t="s">
        <v>780</v>
      </c>
      <c r="K297" s="30" t="s">
        <v>107</v>
      </c>
      <c r="L297" s="35">
        <v>0</v>
      </c>
      <c r="M297" s="22">
        <v>10.92</v>
      </c>
      <c r="N297" s="44">
        <v>44714</v>
      </c>
      <c r="O297" s="30" t="s">
        <v>115</v>
      </c>
    </row>
    <row r="298" spans="2:15" s="30" customFormat="1" ht="30" customHeight="1" x14ac:dyDescent="0.25">
      <c r="B298" s="30" t="s">
        <v>170</v>
      </c>
      <c r="C298" s="30" t="s">
        <v>6</v>
      </c>
      <c r="D298" s="30" t="s">
        <v>10</v>
      </c>
      <c r="E298" s="30" t="s">
        <v>297</v>
      </c>
      <c r="F298" s="11"/>
      <c r="G298" s="30">
        <v>4</v>
      </c>
      <c r="H298" s="263" t="s">
        <v>394</v>
      </c>
      <c r="I298" s="21" t="s">
        <v>68</v>
      </c>
      <c r="J298" s="21" t="s">
        <v>268</v>
      </c>
      <c r="K298" s="30" t="s">
        <v>94</v>
      </c>
      <c r="L298" s="35">
        <v>0</v>
      </c>
      <c r="M298" s="22">
        <v>189.14</v>
      </c>
      <c r="N298" s="44">
        <v>44714</v>
      </c>
      <c r="O298" s="30" t="s">
        <v>115</v>
      </c>
    </row>
    <row r="299" spans="2:15" s="30" customFormat="1" ht="30" customHeight="1" x14ac:dyDescent="0.25">
      <c r="B299" s="30" t="s">
        <v>165</v>
      </c>
      <c r="C299" s="30" t="s">
        <v>6</v>
      </c>
      <c r="D299" s="30" t="s">
        <v>10</v>
      </c>
      <c r="E299" s="30" t="s">
        <v>14</v>
      </c>
      <c r="F299" s="11" t="s">
        <v>593</v>
      </c>
      <c r="G299" s="30">
        <v>5</v>
      </c>
      <c r="H299" s="263" t="s">
        <v>26</v>
      </c>
      <c r="I299" s="21" t="s">
        <v>32</v>
      </c>
      <c r="J299" s="21" t="s">
        <v>138</v>
      </c>
      <c r="K299" s="30" t="s">
        <v>90</v>
      </c>
      <c r="L299" s="35">
        <v>30</v>
      </c>
      <c r="M299" s="22">
        <v>36.450000000000003</v>
      </c>
      <c r="N299" s="38">
        <v>44718</v>
      </c>
      <c r="O299" s="30" t="s">
        <v>115</v>
      </c>
    </row>
    <row r="300" spans="2:15" s="30" customFormat="1" ht="15" customHeight="1" x14ac:dyDescent="0.25">
      <c r="B300" s="30" t="s">
        <v>165</v>
      </c>
      <c r="C300" s="30" t="s">
        <v>6</v>
      </c>
      <c r="D300" s="30" t="s">
        <v>10</v>
      </c>
      <c r="E300" s="30" t="s">
        <v>14</v>
      </c>
      <c r="F300" s="11" t="s">
        <v>594</v>
      </c>
      <c r="G300" s="30">
        <v>5</v>
      </c>
      <c r="H300" s="263" t="s">
        <v>26</v>
      </c>
      <c r="I300" s="21" t="s">
        <v>32</v>
      </c>
      <c r="J300" s="21" t="s">
        <v>803</v>
      </c>
      <c r="K300" s="30" t="s">
        <v>90</v>
      </c>
      <c r="L300" s="35">
        <v>24</v>
      </c>
      <c r="M300" s="22">
        <v>55.06</v>
      </c>
      <c r="N300" s="38">
        <v>44718</v>
      </c>
      <c r="O300" s="30" t="s">
        <v>115</v>
      </c>
    </row>
    <row r="301" spans="2:15" s="30" customFormat="1" ht="15" customHeight="1" x14ac:dyDescent="0.25">
      <c r="B301" s="30" t="s">
        <v>165</v>
      </c>
      <c r="C301" s="30" t="s">
        <v>6</v>
      </c>
      <c r="D301" s="30" t="s">
        <v>10</v>
      </c>
      <c r="E301" s="30" t="s">
        <v>14</v>
      </c>
      <c r="F301" s="11" t="s">
        <v>595</v>
      </c>
      <c r="G301" s="30">
        <v>5</v>
      </c>
      <c r="H301" s="263" t="s">
        <v>26</v>
      </c>
      <c r="I301" s="21" t="s">
        <v>32</v>
      </c>
      <c r="J301" s="21" t="s">
        <v>803</v>
      </c>
      <c r="K301" s="30" t="s">
        <v>90</v>
      </c>
      <c r="L301" s="35">
        <v>30</v>
      </c>
      <c r="M301" s="22">
        <v>79.86</v>
      </c>
      <c r="N301" s="38">
        <v>44718</v>
      </c>
      <c r="O301" s="30" t="s">
        <v>115</v>
      </c>
    </row>
    <row r="302" spans="2:15" s="30" customFormat="1" ht="15" customHeight="1" x14ac:dyDescent="0.25">
      <c r="B302" s="30" t="s">
        <v>165</v>
      </c>
      <c r="C302" s="30" t="s">
        <v>6</v>
      </c>
      <c r="D302" s="30" t="s">
        <v>10</v>
      </c>
      <c r="E302" s="30" t="s">
        <v>14</v>
      </c>
      <c r="F302" s="11" t="s">
        <v>596</v>
      </c>
      <c r="G302" s="30">
        <v>5</v>
      </c>
      <c r="H302" s="263" t="s">
        <v>26</v>
      </c>
      <c r="I302" s="21" t="s">
        <v>32</v>
      </c>
      <c r="J302" s="21" t="s">
        <v>803</v>
      </c>
      <c r="K302" s="30" t="s">
        <v>90</v>
      </c>
      <c r="L302" s="35">
        <v>32</v>
      </c>
      <c r="M302" s="22">
        <v>72.81</v>
      </c>
      <c r="N302" s="38">
        <v>44718</v>
      </c>
      <c r="O302" s="30" t="s">
        <v>115</v>
      </c>
    </row>
    <row r="303" spans="2:15" s="30" customFormat="1" ht="15" customHeight="1" x14ac:dyDescent="0.25">
      <c r="B303" s="30" t="s">
        <v>165</v>
      </c>
      <c r="C303" s="30" t="s">
        <v>6</v>
      </c>
      <c r="D303" s="30" t="s">
        <v>10</v>
      </c>
      <c r="E303" s="30" t="s">
        <v>14</v>
      </c>
      <c r="F303" s="11" t="s">
        <v>597</v>
      </c>
      <c r="G303" s="30">
        <v>5</v>
      </c>
      <c r="H303" s="263" t="s">
        <v>26</v>
      </c>
      <c r="I303" s="21" t="s">
        <v>32</v>
      </c>
      <c r="J303" s="21" t="s">
        <v>138</v>
      </c>
      <c r="K303" s="30" t="s">
        <v>90</v>
      </c>
      <c r="L303" s="35">
        <v>40</v>
      </c>
      <c r="M303" s="22">
        <v>75.099999999999994</v>
      </c>
      <c r="N303" s="38">
        <v>44718</v>
      </c>
      <c r="O303" s="30" t="s">
        <v>115</v>
      </c>
    </row>
    <row r="304" spans="2:15" s="30" customFormat="1" ht="29.25" customHeight="1" x14ac:dyDescent="0.25">
      <c r="B304" s="30" t="s">
        <v>168</v>
      </c>
      <c r="C304" s="30" t="s">
        <v>6</v>
      </c>
      <c r="D304" s="30" t="s">
        <v>10</v>
      </c>
      <c r="E304" s="30" t="s">
        <v>14</v>
      </c>
      <c r="F304" s="11" t="s">
        <v>598</v>
      </c>
      <c r="G304" s="30">
        <v>5</v>
      </c>
      <c r="H304" s="263" t="s">
        <v>23</v>
      </c>
      <c r="I304" s="21" t="s">
        <v>38</v>
      </c>
      <c r="J304" s="21" t="s">
        <v>491</v>
      </c>
      <c r="K304" s="30" t="s">
        <v>107</v>
      </c>
      <c r="L304" s="35">
        <v>3</v>
      </c>
      <c r="M304" s="282">
        <v>33.15</v>
      </c>
      <c r="N304" s="38">
        <v>44718</v>
      </c>
      <c r="O304" s="30" t="s">
        <v>115</v>
      </c>
    </row>
    <row r="305" spans="2:15" s="30" customFormat="1" ht="30" customHeight="1" x14ac:dyDescent="0.25">
      <c r="B305" s="30" t="s">
        <v>168</v>
      </c>
      <c r="C305" s="30" t="s">
        <v>6</v>
      </c>
      <c r="D305" s="30" t="s">
        <v>10</v>
      </c>
      <c r="E305" s="30" t="s">
        <v>14</v>
      </c>
      <c r="F305" s="11"/>
      <c r="G305" s="30">
        <v>5</v>
      </c>
      <c r="H305" s="263" t="s">
        <v>23</v>
      </c>
      <c r="I305" s="21" t="s">
        <v>47</v>
      </c>
      <c r="J305" s="21" t="s">
        <v>957</v>
      </c>
      <c r="K305" s="30" t="s">
        <v>90</v>
      </c>
      <c r="L305" s="35">
        <v>4</v>
      </c>
      <c r="M305" s="22">
        <v>20.73</v>
      </c>
      <c r="N305" s="38">
        <v>44718</v>
      </c>
      <c r="O305" s="30" t="s">
        <v>115</v>
      </c>
    </row>
    <row r="306" spans="2:15" s="30" customFormat="1" ht="29.25" customHeight="1" x14ac:dyDescent="0.25">
      <c r="B306" s="30" t="s">
        <v>168</v>
      </c>
      <c r="C306" s="30" t="s">
        <v>6</v>
      </c>
      <c r="D306" s="30" t="s">
        <v>10</v>
      </c>
      <c r="E306" s="30" t="s">
        <v>297</v>
      </c>
      <c r="F306" s="11"/>
      <c r="G306" s="30">
        <v>5</v>
      </c>
      <c r="H306" s="263" t="s">
        <v>393</v>
      </c>
      <c r="I306" s="21" t="s">
        <v>49</v>
      </c>
      <c r="J306" s="21" t="s">
        <v>600</v>
      </c>
      <c r="K306" s="30" t="s">
        <v>107</v>
      </c>
      <c r="L306" s="35">
        <v>10</v>
      </c>
      <c r="M306" s="22">
        <v>50.99</v>
      </c>
      <c r="N306" s="38">
        <v>44718</v>
      </c>
      <c r="O306" s="30" t="s">
        <v>115</v>
      </c>
    </row>
    <row r="307" spans="2:15" s="30" customFormat="1" ht="15" customHeight="1" x14ac:dyDescent="0.25">
      <c r="B307" s="30" t="s">
        <v>168</v>
      </c>
      <c r="C307" s="30" t="s">
        <v>6</v>
      </c>
      <c r="D307" s="30" t="s">
        <v>10</v>
      </c>
      <c r="E307" s="30" t="s">
        <v>14</v>
      </c>
      <c r="F307" s="11"/>
      <c r="G307" s="30">
        <v>5</v>
      </c>
      <c r="H307" s="263" t="s">
        <v>399</v>
      </c>
      <c r="I307" s="21" t="s">
        <v>68</v>
      </c>
      <c r="J307" s="21" t="s">
        <v>564</v>
      </c>
      <c r="K307" s="30" t="s">
        <v>94</v>
      </c>
      <c r="L307" s="36">
        <v>2</v>
      </c>
      <c r="M307" s="18">
        <v>8.6300000000000008</v>
      </c>
      <c r="N307" s="38">
        <v>44718</v>
      </c>
      <c r="O307" s="30" t="s">
        <v>114</v>
      </c>
    </row>
    <row r="308" spans="2:15" s="30" customFormat="1" ht="15" customHeight="1" x14ac:dyDescent="0.25">
      <c r="B308" s="30" t="s">
        <v>168</v>
      </c>
      <c r="C308" s="30" t="s">
        <v>6</v>
      </c>
      <c r="D308" s="30" t="s">
        <v>10</v>
      </c>
      <c r="E308" s="30" t="s">
        <v>14</v>
      </c>
      <c r="F308" s="11"/>
      <c r="G308" s="30">
        <v>5</v>
      </c>
      <c r="H308" s="263" t="s">
        <v>399</v>
      </c>
      <c r="I308" s="21" t="s">
        <v>68</v>
      </c>
      <c r="J308" s="21" t="s">
        <v>565</v>
      </c>
      <c r="K308" s="30" t="s">
        <v>94</v>
      </c>
      <c r="L308" s="36">
        <v>2</v>
      </c>
      <c r="M308" s="18">
        <v>7.71</v>
      </c>
      <c r="N308" s="38">
        <v>44718</v>
      </c>
      <c r="O308" s="30" t="s">
        <v>114</v>
      </c>
    </row>
    <row r="309" spans="2:15" s="30" customFormat="1" ht="30.75" customHeight="1" x14ac:dyDescent="0.25">
      <c r="B309" s="30" t="s">
        <v>170</v>
      </c>
      <c r="C309" s="30" t="s">
        <v>6</v>
      </c>
      <c r="D309" s="30" t="s">
        <v>10</v>
      </c>
      <c r="E309" s="30" t="s">
        <v>14</v>
      </c>
      <c r="F309" s="11"/>
      <c r="G309" s="30">
        <v>5</v>
      </c>
      <c r="H309" s="263" t="s">
        <v>394</v>
      </c>
      <c r="I309" s="21" t="s">
        <v>35</v>
      </c>
      <c r="J309" s="21" t="s">
        <v>566</v>
      </c>
      <c r="K309" s="30" t="s">
        <v>107</v>
      </c>
      <c r="L309" s="36">
        <v>0</v>
      </c>
      <c r="M309" s="18">
        <v>16.89</v>
      </c>
      <c r="N309" s="38">
        <v>44718</v>
      </c>
      <c r="O309" s="30" t="s">
        <v>114</v>
      </c>
    </row>
    <row r="310" spans="2:15" s="30" customFormat="1" ht="15" customHeight="1" x14ac:dyDescent="0.25">
      <c r="B310" s="30" t="s">
        <v>165</v>
      </c>
      <c r="C310" s="30" t="s">
        <v>6</v>
      </c>
      <c r="D310" s="30" t="s">
        <v>10</v>
      </c>
      <c r="E310" s="30" t="s">
        <v>297</v>
      </c>
      <c r="F310" s="11">
        <v>509</v>
      </c>
      <c r="G310" s="30">
        <v>5</v>
      </c>
      <c r="H310" s="263" t="s">
        <v>27</v>
      </c>
      <c r="I310" s="21" t="s">
        <v>80</v>
      </c>
      <c r="J310" s="50" t="s">
        <v>910</v>
      </c>
      <c r="K310" s="43" t="s">
        <v>90</v>
      </c>
      <c r="L310" s="258">
        <v>10</v>
      </c>
      <c r="M310" s="255">
        <v>55.56</v>
      </c>
      <c r="N310" s="261">
        <v>45272</v>
      </c>
      <c r="O310" s="30" t="s">
        <v>115</v>
      </c>
    </row>
    <row r="311" spans="2:15" s="30" customFormat="1" ht="15" customHeight="1" x14ac:dyDescent="0.25">
      <c r="B311" s="30" t="s">
        <v>165</v>
      </c>
      <c r="C311" s="30" t="s">
        <v>6</v>
      </c>
      <c r="D311" s="30" t="s">
        <v>10</v>
      </c>
      <c r="E311" s="30" t="s">
        <v>297</v>
      </c>
      <c r="F311" s="11">
        <v>510</v>
      </c>
      <c r="G311" s="30">
        <v>5</v>
      </c>
      <c r="H311" s="263" t="s">
        <v>23</v>
      </c>
      <c r="I311" s="21" t="s">
        <v>32</v>
      </c>
      <c r="J311" s="50" t="s">
        <v>819</v>
      </c>
      <c r="K311" s="43" t="s">
        <v>90</v>
      </c>
      <c r="L311" s="258">
        <v>46</v>
      </c>
      <c r="M311" s="255">
        <v>44.46</v>
      </c>
      <c r="N311" s="261">
        <v>44718</v>
      </c>
      <c r="O311" s="30" t="s">
        <v>115</v>
      </c>
    </row>
    <row r="312" spans="2:15" s="30" customFormat="1" ht="15" customHeight="1" x14ac:dyDescent="0.25">
      <c r="B312" s="69" t="s">
        <v>165</v>
      </c>
      <c r="C312" s="69" t="s">
        <v>6</v>
      </c>
      <c r="D312" s="69" t="s">
        <v>10</v>
      </c>
      <c r="E312" s="69" t="s">
        <v>297</v>
      </c>
      <c r="F312" s="70">
        <v>511</v>
      </c>
      <c r="G312" s="69">
        <v>5</v>
      </c>
      <c r="H312" s="285" t="s">
        <v>393</v>
      </c>
      <c r="I312" s="71" t="s">
        <v>80</v>
      </c>
      <c r="J312" s="71" t="s">
        <v>601</v>
      </c>
      <c r="K312" s="69" t="s">
        <v>90</v>
      </c>
      <c r="L312" s="74">
        <v>20</v>
      </c>
      <c r="M312" s="73">
        <v>9.0299999999999994</v>
      </c>
      <c r="N312" s="233">
        <v>44718</v>
      </c>
      <c r="O312" s="69" t="s">
        <v>115</v>
      </c>
    </row>
    <row r="313" spans="2:15" s="30" customFormat="1" ht="15" customHeight="1" x14ac:dyDescent="0.25">
      <c r="B313" s="30" t="s">
        <v>165</v>
      </c>
      <c r="C313" s="30" t="s">
        <v>6</v>
      </c>
      <c r="D313" s="30" t="s">
        <v>10</v>
      </c>
      <c r="E313" s="30" t="s">
        <v>14</v>
      </c>
      <c r="F313" s="11"/>
      <c r="G313" s="30">
        <v>5</v>
      </c>
      <c r="H313" s="263" t="s">
        <v>27</v>
      </c>
      <c r="I313" s="21" t="s">
        <v>32</v>
      </c>
      <c r="J313" s="21" t="s">
        <v>958</v>
      </c>
      <c r="K313" s="30" t="s">
        <v>107</v>
      </c>
      <c r="L313" s="35">
        <v>6</v>
      </c>
      <c r="M313" s="22">
        <f>9.18+6.8</f>
        <v>15.98</v>
      </c>
      <c r="N313" s="38">
        <v>45454</v>
      </c>
      <c r="O313" s="30" t="s">
        <v>115</v>
      </c>
    </row>
    <row r="314" spans="2:15" s="30" customFormat="1" ht="15" customHeight="1" x14ac:dyDescent="0.25">
      <c r="B314" s="30" t="s">
        <v>165</v>
      </c>
      <c r="C314" s="30" t="s">
        <v>6</v>
      </c>
      <c r="D314" s="30" t="s">
        <v>10</v>
      </c>
      <c r="E314" s="30" t="s">
        <v>297</v>
      </c>
      <c r="F314" s="11">
        <v>512</v>
      </c>
      <c r="G314" s="30">
        <v>5</v>
      </c>
      <c r="H314" s="263" t="s">
        <v>27</v>
      </c>
      <c r="I314" s="21" t="s">
        <v>80</v>
      </c>
      <c r="J314" s="21" t="s">
        <v>228</v>
      </c>
      <c r="K314" s="30" t="s">
        <v>90</v>
      </c>
      <c r="L314" s="35">
        <v>50</v>
      </c>
      <c r="M314" s="22">
        <v>84.17</v>
      </c>
      <c r="N314" s="38">
        <v>44718</v>
      </c>
      <c r="O314" s="30" t="s">
        <v>115</v>
      </c>
    </row>
    <row r="315" spans="2:15" s="30" customFormat="1" ht="30" customHeight="1" x14ac:dyDescent="0.25">
      <c r="B315" s="30" t="s">
        <v>168</v>
      </c>
      <c r="C315" s="30" t="s">
        <v>6</v>
      </c>
      <c r="D315" s="30" t="s">
        <v>10</v>
      </c>
      <c r="E315" s="30" t="s">
        <v>297</v>
      </c>
      <c r="F315" s="11">
        <v>514</v>
      </c>
      <c r="G315" s="30">
        <v>5</v>
      </c>
      <c r="H315" s="263" t="s">
        <v>23</v>
      </c>
      <c r="I315" s="21" t="s">
        <v>81</v>
      </c>
      <c r="J315" s="21" t="s">
        <v>407</v>
      </c>
      <c r="K315" s="30" t="s">
        <v>90</v>
      </c>
      <c r="L315" s="35">
        <v>2</v>
      </c>
      <c r="M315" s="22">
        <v>17.62</v>
      </c>
      <c r="N315" s="38">
        <v>44718</v>
      </c>
      <c r="O315" s="30" t="s">
        <v>115</v>
      </c>
    </row>
    <row r="316" spans="2:15" s="30" customFormat="1" ht="15" customHeight="1" x14ac:dyDescent="0.25">
      <c r="B316" s="30" t="s">
        <v>165</v>
      </c>
      <c r="C316" s="30" t="s">
        <v>6</v>
      </c>
      <c r="D316" s="30" t="s">
        <v>10</v>
      </c>
      <c r="E316" s="30" t="s">
        <v>297</v>
      </c>
      <c r="F316" s="11">
        <v>515</v>
      </c>
      <c r="G316" s="30">
        <v>5</v>
      </c>
      <c r="H316" s="263" t="s">
        <v>21</v>
      </c>
      <c r="I316" s="21" t="s">
        <v>81</v>
      </c>
      <c r="J316" s="21" t="s">
        <v>341</v>
      </c>
      <c r="K316" s="30" t="s">
        <v>90</v>
      </c>
      <c r="L316" s="35">
        <v>27</v>
      </c>
      <c r="M316" s="22">
        <v>54.11</v>
      </c>
      <c r="N316" s="38">
        <v>44718</v>
      </c>
      <c r="O316" s="30" t="s">
        <v>115</v>
      </c>
    </row>
    <row r="317" spans="2:15" s="30" customFormat="1" ht="29.25" customHeight="1" x14ac:dyDescent="0.25">
      <c r="B317" s="30" t="s">
        <v>165</v>
      </c>
      <c r="C317" s="30" t="s">
        <v>6</v>
      </c>
      <c r="D317" s="30" t="s">
        <v>10</v>
      </c>
      <c r="E317" s="30" t="s">
        <v>297</v>
      </c>
      <c r="F317" s="11">
        <v>516</v>
      </c>
      <c r="G317" s="30">
        <v>5</v>
      </c>
      <c r="H317" s="263" t="s">
        <v>21</v>
      </c>
      <c r="I317" s="21" t="s">
        <v>80</v>
      </c>
      <c r="J317" s="21" t="s">
        <v>454</v>
      </c>
      <c r="K317" s="30" t="s">
        <v>90</v>
      </c>
      <c r="L317" s="35">
        <v>29</v>
      </c>
      <c r="M317" s="22">
        <v>54.89</v>
      </c>
      <c r="N317" s="38">
        <v>44718</v>
      </c>
      <c r="O317" s="30" t="s">
        <v>115</v>
      </c>
    </row>
    <row r="318" spans="2:15" s="30" customFormat="1" ht="15" customHeight="1" x14ac:dyDescent="0.25">
      <c r="B318" s="30" t="s">
        <v>168</v>
      </c>
      <c r="C318" s="30" t="s">
        <v>6</v>
      </c>
      <c r="D318" s="30" t="s">
        <v>10</v>
      </c>
      <c r="E318" s="30" t="s">
        <v>297</v>
      </c>
      <c r="F318" s="11">
        <v>517</v>
      </c>
      <c r="G318" s="30">
        <v>5</v>
      </c>
      <c r="H318" s="263" t="s">
        <v>23</v>
      </c>
      <c r="I318" s="21" t="s">
        <v>80</v>
      </c>
      <c r="J318" s="21" t="s">
        <v>453</v>
      </c>
      <c r="K318" s="30" t="s">
        <v>90</v>
      </c>
      <c r="L318" s="35">
        <v>5</v>
      </c>
      <c r="M318" s="22">
        <v>12.1</v>
      </c>
      <c r="N318" s="38">
        <v>44718</v>
      </c>
      <c r="O318" s="30" t="s">
        <v>115</v>
      </c>
    </row>
    <row r="319" spans="2:15" s="30" customFormat="1" ht="15" customHeight="1" x14ac:dyDescent="0.25">
      <c r="B319" s="30" t="s">
        <v>168</v>
      </c>
      <c r="C319" s="30" t="s">
        <v>6</v>
      </c>
      <c r="D319" s="30" t="s">
        <v>10</v>
      </c>
      <c r="E319" s="30" t="s">
        <v>297</v>
      </c>
      <c r="F319" s="11">
        <v>517</v>
      </c>
      <c r="G319" s="30">
        <v>5</v>
      </c>
      <c r="H319" s="263" t="s">
        <v>23</v>
      </c>
      <c r="I319" s="21" t="s">
        <v>80</v>
      </c>
      <c r="J319" s="21" t="s">
        <v>376</v>
      </c>
      <c r="K319" s="30" t="s">
        <v>90</v>
      </c>
      <c r="L319" s="35">
        <v>5</v>
      </c>
      <c r="M319" s="22">
        <v>13.55</v>
      </c>
      <c r="N319" s="38">
        <v>44718</v>
      </c>
      <c r="O319" s="30" t="s">
        <v>115</v>
      </c>
    </row>
    <row r="320" spans="2:15" s="30" customFormat="1" ht="15" customHeight="1" x14ac:dyDescent="0.25">
      <c r="B320" s="30" t="s">
        <v>168</v>
      </c>
      <c r="C320" s="30" t="s">
        <v>6</v>
      </c>
      <c r="D320" s="30" t="s">
        <v>10</v>
      </c>
      <c r="E320" s="30" t="s">
        <v>297</v>
      </c>
      <c r="F320" s="11">
        <v>517</v>
      </c>
      <c r="G320" s="30">
        <v>5</v>
      </c>
      <c r="H320" s="263" t="s">
        <v>23</v>
      </c>
      <c r="I320" s="21" t="s">
        <v>80</v>
      </c>
      <c r="J320" s="21" t="s">
        <v>377</v>
      </c>
      <c r="K320" s="30" t="s">
        <v>90</v>
      </c>
      <c r="L320" s="35">
        <v>5</v>
      </c>
      <c r="M320" s="22">
        <v>4.13</v>
      </c>
      <c r="N320" s="38">
        <v>44718</v>
      </c>
      <c r="O320" s="30" t="s">
        <v>115</v>
      </c>
    </row>
    <row r="321" spans="2:15" s="30" customFormat="1" ht="15" customHeight="1" x14ac:dyDescent="0.25">
      <c r="B321" s="30" t="s">
        <v>168</v>
      </c>
      <c r="C321" s="30" t="s">
        <v>6</v>
      </c>
      <c r="D321" s="30" t="s">
        <v>10</v>
      </c>
      <c r="E321" s="30" t="s">
        <v>297</v>
      </c>
      <c r="F321" s="11">
        <v>517</v>
      </c>
      <c r="G321" s="30">
        <v>5</v>
      </c>
      <c r="H321" s="263" t="s">
        <v>23</v>
      </c>
      <c r="I321" s="21" t="s">
        <v>80</v>
      </c>
      <c r="J321" s="21" t="s">
        <v>455</v>
      </c>
      <c r="K321" s="30" t="s">
        <v>90</v>
      </c>
      <c r="L321" s="35">
        <v>5</v>
      </c>
      <c r="M321" s="22">
        <v>17.62</v>
      </c>
      <c r="N321" s="38">
        <v>44718</v>
      </c>
      <c r="O321" s="30" t="s">
        <v>115</v>
      </c>
    </row>
    <row r="322" spans="2:15" s="30" customFormat="1" ht="28.5" customHeight="1" x14ac:dyDescent="0.25">
      <c r="B322" s="30" t="s">
        <v>168</v>
      </c>
      <c r="C322" s="30" t="s">
        <v>6</v>
      </c>
      <c r="D322" s="30" t="s">
        <v>10</v>
      </c>
      <c r="E322" s="30" t="s">
        <v>297</v>
      </c>
      <c r="F322" s="11">
        <v>518</v>
      </c>
      <c r="G322" s="30">
        <v>5</v>
      </c>
      <c r="H322" s="263" t="s">
        <v>23</v>
      </c>
      <c r="I322" s="21" t="s">
        <v>81</v>
      </c>
      <c r="J322" s="21" t="s">
        <v>456</v>
      </c>
      <c r="K322" s="30" t="s">
        <v>90</v>
      </c>
      <c r="L322" s="35">
        <v>2</v>
      </c>
      <c r="M322" s="22">
        <v>16.96</v>
      </c>
      <c r="N322" s="38">
        <v>44718</v>
      </c>
      <c r="O322" s="30" t="s">
        <v>115</v>
      </c>
    </row>
    <row r="323" spans="2:15" s="30" customFormat="1" ht="30" customHeight="1" x14ac:dyDescent="0.25">
      <c r="B323" s="30" t="s">
        <v>168</v>
      </c>
      <c r="C323" s="30" t="s">
        <v>6</v>
      </c>
      <c r="D323" s="30" t="s">
        <v>10</v>
      </c>
      <c r="E323" s="30" t="s">
        <v>297</v>
      </c>
      <c r="F323" s="11">
        <v>519</v>
      </c>
      <c r="G323" s="30">
        <v>5</v>
      </c>
      <c r="H323" s="263" t="s">
        <v>23</v>
      </c>
      <c r="I323" s="21" t="s">
        <v>74</v>
      </c>
      <c r="J323" s="21" t="s">
        <v>457</v>
      </c>
      <c r="K323" s="30" t="s">
        <v>90</v>
      </c>
      <c r="L323" s="35">
        <v>1</v>
      </c>
      <c r="M323" s="22">
        <v>19.95</v>
      </c>
      <c r="N323" s="38">
        <v>44718</v>
      </c>
      <c r="O323" s="30" t="s">
        <v>115</v>
      </c>
    </row>
    <row r="324" spans="2:15" s="30" customFormat="1" ht="30.75" customHeight="1" x14ac:dyDescent="0.25">
      <c r="B324" s="30" t="s">
        <v>168</v>
      </c>
      <c r="C324" s="30" t="s">
        <v>6</v>
      </c>
      <c r="D324" s="30" t="s">
        <v>10</v>
      </c>
      <c r="E324" s="30" t="s">
        <v>297</v>
      </c>
      <c r="F324" s="11"/>
      <c r="G324" s="30">
        <v>5</v>
      </c>
      <c r="H324" s="263" t="s">
        <v>23</v>
      </c>
      <c r="I324" s="21" t="s">
        <v>74</v>
      </c>
      <c r="J324" s="21" t="s">
        <v>458</v>
      </c>
      <c r="K324" s="30" t="s">
        <v>90</v>
      </c>
      <c r="L324" s="35">
        <v>1</v>
      </c>
      <c r="M324" s="22">
        <v>8.01</v>
      </c>
      <c r="N324" s="38">
        <v>44718</v>
      </c>
      <c r="O324" s="30" t="s">
        <v>115</v>
      </c>
    </row>
    <row r="325" spans="2:15" s="30" customFormat="1" ht="15" customHeight="1" x14ac:dyDescent="0.25">
      <c r="B325" s="30" t="s">
        <v>168</v>
      </c>
      <c r="C325" s="30" t="s">
        <v>6</v>
      </c>
      <c r="D325" s="30" t="s">
        <v>10</v>
      </c>
      <c r="E325" s="30" t="s">
        <v>297</v>
      </c>
      <c r="F325" s="11">
        <v>520</v>
      </c>
      <c r="G325" s="30">
        <v>5</v>
      </c>
      <c r="H325" s="263" t="s">
        <v>23</v>
      </c>
      <c r="I325" s="21" t="s">
        <v>81</v>
      </c>
      <c r="J325" s="21" t="s">
        <v>445</v>
      </c>
      <c r="K325" s="30" t="s">
        <v>90</v>
      </c>
      <c r="L325" s="35">
        <v>1</v>
      </c>
      <c r="M325" s="22">
        <v>18.27</v>
      </c>
      <c r="N325" s="38">
        <v>44718</v>
      </c>
      <c r="O325" s="30" t="s">
        <v>115</v>
      </c>
    </row>
    <row r="326" spans="2:15" s="30" customFormat="1" ht="15" customHeight="1" x14ac:dyDescent="0.25">
      <c r="B326" s="30" t="s">
        <v>168</v>
      </c>
      <c r="C326" s="30" t="s">
        <v>6</v>
      </c>
      <c r="D326" s="30" t="s">
        <v>10</v>
      </c>
      <c r="E326" s="30" t="s">
        <v>297</v>
      </c>
      <c r="F326" s="11" t="s">
        <v>216</v>
      </c>
      <c r="G326" s="30">
        <v>5</v>
      </c>
      <c r="H326" s="263" t="s">
        <v>389</v>
      </c>
      <c r="I326" s="21" t="s">
        <v>68</v>
      </c>
      <c r="J326" s="21" t="s">
        <v>224</v>
      </c>
      <c r="K326" s="30" t="s">
        <v>94</v>
      </c>
      <c r="L326" s="35">
        <v>0</v>
      </c>
      <c r="M326" s="22">
        <v>5.63</v>
      </c>
      <c r="N326" s="38">
        <v>44718</v>
      </c>
      <c r="O326" s="30" t="s">
        <v>115</v>
      </c>
    </row>
    <row r="327" spans="2:15" s="30" customFormat="1" ht="29.25" customHeight="1" x14ac:dyDescent="0.25">
      <c r="B327" s="30" t="s">
        <v>168</v>
      </c>
      <c r="C327" s="30" t="s">
        <v>6</v>
      </c>
      <c r="D327" s="30" t="s">
        <v>10</v>
      </c>
      <c r="E327" s="30" t="s">
        <v>14</v>
      </c>
      <c r="F327" s="11" t="s">
        <v>216</v>
      </c>
      <c r="G327" s="30">
        <v>5</v>
      </c>
      <c r="H327" s="263" t="s">
        <v>390</v>
      </c>
      <c r="I327" s="21" t="s">
        <v>38</v>
      </c>
      <c r="J327" s="21" t="s">
        <v>961</v>
      </c>
      <c r="K327" s="30" t="s">
        <v>94</v>
      </c>
      <c r="L327" s="35">
        <v>0</v>
      </c>
      <c r="M327" s="22">
        <v>6.85</v>
      </c>
      <c r="N327" s="38">
        <v>45619</v>
      </c>
      <c r="O327" s="30" t="s">
        <v>115</v>
      </c>
    </row>
    <row r="328" spans="2:15" s="30" customFormat="1" ht="29.25" customHeight="1" x14ac:dyDescent="0.25">
      <c r="B328" s="30" t="s">
        <v>168</v>
      </c>
      <c r="C328" s="30" t="s">
        <v>6</v>
      </c>
      <c r="D328" s="30" t="s">
        <v>10</v>
      </c>
      <c r="E328" s="30" t="s">
        <v>297</v>
      </c>
      <c r="F328" s="11" t="s">
        <v>218</v>
      </c>
      <c r="G328" s="30">
        <v>5</v>
      </c>
      <c r="H328" s="263" t="s">
        <v>390</v>
      </c>
      <c r="I328" s="21" t="s">
        <v>68</v>
      </c>
      <c r="J328" s="21" t="s">
        <v>231</v>
      </c>
      <c r="K328" s="30" t="s">
        <v>94</v>
      </c>
      <c r="L328" s="35">
        <v>0</v>
      </c>
      <c r="M328" s="22">
        <v>4.17</v>
      </c>
      <c r="N328" s="38">
        <v>44718</v>
      </c>
      <c r="O328" s="30" t="s">
        <v>115</v>
      </c>
    </row>
    <row r="329" spans="2:15" s="30" customFormat="1" ht="29.25" customHeight="1" x14ac:dyDescent="0.25">
      <c r="B329" s="30" t="s">
        <v>168</v>
      </c>
      <c r="C329" s="30" t="s">
        <v>6</v>
      </c>
      <c r="D329" s="30" t="s">
        <v>10</v>
      </c>
      <c r="E329" s="30" t="s">
        <v>297</v>
      </c>
      <c r="F329" s="11" t="s">
        <v>219</v>
      </c>
      <c r="G329" s="30">
        <v>5</v>
      </c>
      <c r="H329" s="263" t="s">
        <v>23</v>
      </c>
      <c r="I329" s="21" t="s">
        <v>81</v>
      </c>
      <c r="J329" s="21" t="s">
        <v>451</v>
      </c>
      <c r="K329" s="30" t="s">
        <v>90</v>
      </c>
      <c r="L329" s="35">
        <v>3</v>
      </c>
      <c r="M329" s="22">
        <v>19.41</v>
      </c>
      <c r="N329" s="38">
        <v>44718</v>
      </c>
      <c r="O329" s="30" t="s">
        <v>115</v>
      </c>
    </row>
    <row r="330" spans="2:15" s="30" customFormat="1" ht="30.75" customHeight="1" x14ac:dyDescent="0.25">
      <c r="B330" s="30" t="s">
        <v>170</v>
      </c>
      <c r="C330" s="30" t="s">
        <v>6</v>
      </c>
      <c r="D330" s="30" t="s">
        <v>10</v>
      </c>
      <c r="E330" s="30" t="s">
        <v>297</v>
      </c>
      <c r="F330" s="11"/>
      <c r="G330" s="30">
        <v>5</v>
      </c>
      <c r="H330" s="263" t="s">
        <v>394</v>
      </c>
      <c r="I330" s="21" t="s">
        <v>68</v>
      </c>
      <c r="J330" s="21" t="s">
        <v>267</v>
      </c>
      <c r="K330" s="30" t="s">
        <v>94</v>
      </c>
      <c r="L330" s="35">
        <v>40</v>
      </c>
      <c r="M330" s="22">
        <v>121.68</v>
      </c>
      <c r="N330" s="38">
        <v>44718</v>
      </c>
      <c r="O330" s="30" t="s">
        <v>115</v>
      </c>
    </row>
    <row r="331" spans="2:15" s="30" customFormat="1" ht="15" customHeight="1" x14ac:dyDescent="0.25">
      <c r="B331" s="30" t="s">
        <v>168</v>
      </c>
      <c r="C331" s="30" t="s">
        <v>6</v>
      </c>
      <c r="D331" s="30" t="s">
        <v>10</v>
      </c>
      <c r="E331" s="30" t="s">
        <v>14</v>
      </c>
      <c r="F331" s="11">
        <v>600</v>
      </c>
      <c r="G331" s="30">
        <v>6</v>
      </c>
      <c r="H331" s="263" t="s">
        <v>23</v>
      </c>
      <c r="I331" s="21" t="s">
        <v>32</v>
      </c>
      <c r="J331" s="21" t="s">
        <v>459</v>
      </c>
      <c r="K331" s="30" t="s">
        <v>107</v>
      </c>
      <c r="L331" s="35">
        <v>2</v>
      </c>
      <c r="M331" s="22">
        <v>10.79</v>
      </c>
      <c r="N331" s="38">
        <v>44718</v>
      </c>
      <c r="O331" s="30" t="s">
        <v>115</v>
      </c>
    </row>
    <row r="332" spans="2:15" s="30" customFormat="1" ht="15" customHeight="1" x14ac:dyDescent="0.25">
      <c r="B332" s="30" t="s">
        <v>168</v>
      </c>
      <c r="C332" s="30" t="s">
        <v>6</v>
      </c>
      <c r="D332" s="30" t="s">
        <v>10</v>
      </c>
      <c r="E332" s="30" t="s">
        <v>14</v>
      </c>
      <c r="F332" s="11" t="s">
        <v>220</v>
      </c>
      <c r="G332" s="30">
        <v>6</v>
      </c>
      <c r="H332" s="263" t="s">
        <v>389</v>
      </c>
      <c r="I332" s="21" t="s">
        <v>32</v>
      </c>
      <c r="J332" s="21" t="s">
        <v>224</v>
      </c>
      <c r="K332" s="30" t="s">
        <v>94</v>
      </c>
      <c r="L332" s="35">
        <v>0</v>
      </c>
      <c r="M332" s="22">
        <v>5.58</v>
      </c>
      <c r="N332" s="38">
        <v>44718</v>
      </c>
      <c r="O332" s="30" t="s">
        <v>115</v>
      </c>
    </row>
    <row r="333" spans="2:15" s="30" customFormat="1" ht="15" customHeight="1" x14ac:dyDescent="0.25">
      <c r="B333" s="69" t="s">
        <v>165</v>
      </c>
      <c r="C333" s="69" t="s">
        <v>6</v>
      </c>
      <c r="D333" s="69" t="s">
        <v>10</v>
      </c>
      <c r="E333" s="69" t="s">
        <v>14</v>
      </c>
      <c r="F333" s="70" t="s">
        <v>911</v>
      </c>
      <c r="G333" s="69">
        <v>6</v>
      </c>
      <c r="H333" s="285" t="s">
        <v>393</v>
      </c>
      <c r="I333" s="71" t="s">
        <v>32</v>
      </c>
      <c r="J333" s="71" t="s">
        <v>487</v>
      </c>
      <c r="K333" s="69" t="s">
        <v>90</v>
      </c>
      <c r="L333" s="74">
        <v>30</v>
      </c>
      <c r="M333" s="73">
        <v>97.36</v>
      </c>
      <c r="N333" s="233">
        <v>44718</v>
      </c>
      <c r="O333" s="69" t="s">
        <v>115</v>
      </c>
    </row>
    <row r="334" spans="2:15" s="30" customFormat="1" ht="15" customHeight="1" x14ac:dyDescent="0.25">
      <c r="B334" s="69" t="s">
        <v>165</v>
      </c>
      <c r="C334" s="69" t="s">
        <v>6</v>
      </c>
      <c r="D334" s="69" t="s">
        <v>10</v>
      </c>
      <c r="E334" s="69" t="s">
        <v>14</v>
      </c>
      <c r="F334" s="70" t="s">
        <v>912</v>
      </c>
      <c r="G334" s="69">
        <v>6</v>
      </c>
      <c r="H334" s="285" t="s">
        <v>393</v>
      </c>
      <c r="I334" s="71" t="s">
        <v>32</v>
      </c>
      <c r="J334" s="71" t="s">
        <v>862</v>
      </c>
      <c r="K334" s="69" t="s">
        <v>90</v>
      </c>
      <c r="L334" s="74">
        <v>37</v>
      </c>
      <c r="M334" s="73">
        <v>94.38</v>
      </c>
      <c r="N334" s="233">
        <v>44718</v>
      </c>
      <c r="O334" s="69" t="s">
        <v>115</v>
      </c>
    </row>
    <row r="335" spans="2:15" s="30" customFormat="1" ht="15" customHeight="1" x14ac:dyDescent="0.25">
      <c r="B335" s="30" t="s">
        <v>168</v>
      </c>
      <c r="C335" s="30" t="s">
        <v>6</v>
      </c>
      <c r="D335" s="30" t="s">
        <v>10</v>
      </c>
      <c r="E335" s="30" t="s">
        <v>14</v>
      </c>
      <c r="F335" s="11"/>
      <c r="G335" s="30">
        <v>6</v>
      </c>
      <c r="H335" s="263" t="s">
        <v>23</v>
      </c>
      <c r="I335" s="21" t="s">
        <v>85</v>
      </c>
      <c r="J335" s="21" t="s">
        <v>617</v>
      </c>
      <c r="K335" s="30" t="s">
        <v>90</v>
      </c>
      <c r="L335" s="35">
        <v>1</v>
      </c>
      <c r="M335" s="22">
        <v>10.79</v>
      </c>
      <c r="N335" s="38">
        <v>44718</v>
      </c>
      <c r="O335" s="30" t="s">
        <v>115</v>
      </c>
    </row>
    <row r="336" spans="2:15" s="30" customFormat="1" ht="15" customHeight="1" x14ac:dyDescent="0.25">
      <c r="B336" s="30" t="s">
        <v>6</v>
      </c>
      <c r="C336" s="30" t="s">
        <v>6</v>
      </c>
      <c r="D336" s="30" t="s">
        <v>10</v>
      </c>
      <c r="E336" s="30" t="s">
        <v>14</v>
      </c>
      <c r="F336" s="11"/>
      <c r="G336" s="19">
        <v>6</v>
      </c>
      <c r="H336" s="263" t="s">
        <v>23</v>
      </c>
      <c r="I336" s="21" t="s">
        <v>85</v>
      </c>
      <c r="J336" s="21" t="s">
        <v>602</v>
      </c>
      <c r="K336" s="21" t="s">
        <v>107</v>
      </c>
      <c r="L336" s="35">
        <v>1</v>
      </c>
      <c r="M336" s="34">
        <v>7.87</v>
      </c>
      <c r="N336" s="38">
        <v>44718</v>
      </c>
      <c r="O336" s="30" t="s">
        <v>115</v>
      </c>
    </row>
    <row r="337" spans="2:15" s="30" customFormat="1" ht="15" customHeight="1" x14ac:dyDescent="0.25">
      <c r="B337" s="30" t="s">
        <v>168</v>
      </c>
      <c r="C337" s="30" t="s">
        <v>6</v>
      </c>
      <c r="D337" s="30" t="s">
        <v>10</v>
      </c>
      <c r="E337" s="30" t="s">
        <v>14</v>
      </c>
      <c r="F337" s="11"/>
      <c r="G337" s="30">
        <v>6</v>
      </c>
      <c r="H337" s="263" t="s">
        <v>390</v>
      </c>
      <c r="I337" s="21" t="s">
        <v>38</v>
      </c>
      <c r="J337" s="21" t="s">
        <v>328</v>
      </c>
      <c r="K337" s="30" t="s">
        <v>94</v>
      </c>
      <c r="L337" s="35">
        <v>0</v>
      </c>
      <c r="M337" s="22">
        <v>7.91</v>
      </c>
      <c r="N337" s="38">
        <v>44718</v>
      </c>
      <c r="O337" s="30" t="s">
        <v>115</v>
      </c>
    </row>
    <row r="338" spans="2:15" s="30" customFormat="1" ht="15" customHeight="1" x14ac:dyDescent="0.25">
      <c r="B338" s="30" t="s">
        <v>168</v>
      </c>
      <c r="C338" s="30" t="s">
        <v>6</v>
      </c>
      <c r="D338" s="30" t="s">
        <v>10</v>
      </c>
      <c r="E338" s="30" t="s">
        <v>14</v>
      </c>
      <c r="F338" s="11">
        <v>602</v>
      </c>
      <c r="G338" s="30">
        <v>6</v>
      </c>
      <c r="H338" s="263" t="s">
        <v>389</v>
      </c>
      <c r="I338" s="21" t="s">
        <v>32</v>
      </c>
      <c r="J338" s="21" t="s">
        <v>959</v>
      </c>
      <c r="K338" s="30" t="s">
        <v>94</v>
      </c>
      <c r="L338" s="35">
        <v>0</v>
      </c>
      <c r="M338" s="22">
        <v>7.74</v>
      </c>
      <c r="N338" s="38">
        <v>44718</v>
      </c>
      <c r="O338" s="30" t="s">
        <v>115</v>
      </c>
    </row>
    <row r="339" spans="2:15" s="30" customFormat="1" ht="29.25" customHeight="1" x14ac:dyDescent="0.25">
      <c r="B339" s="30" t="s">
        <v>168</v>
      </c>
      <c r="C339" s="30" t="s">
        <v>6</v>
      </c>
      <c r="D339" s="30" t="s">
        <v>10</v>
      </c>
      <c r="E339" s="30" t="s">
        <v>14</v>
      </c>
      <c r="F339" s="11">
        <v>603</v>
      </c>
      <c r="G339" s="30">
        <v>6</v>
      </c>
      <c r="H339" s="263" t="s">
        <v>390</v>
      </c>
      <c r="I339" s="21" t="s">
        <v>35</v>
      </c>
      <c r="J339" s="21" t="s">
        <v>342</v>
      </c>
      <c r="K339" s="30" t="s">
        <v>94</v>
      </c>
      <c r="L339" s="35">
        <v>0</v>
      </c>
      <c r="M339" s="22">
        <v>7.17</v>
      </c>
      <c r="N339" s="38">
        <v>44718</v>
      </c>
      <c r="O339" s="30" t="s">
        <v>115</v>
      </c>
    </row>
    <row r="340" spans="2:15" s="30" customFormat="1" ht="15" customHeight="1" x14ac:dyDescent="0.25">
      <c r="B340" s="30" t="s">
        <v>170</v>
      </c>
      <c r="C340" s="30" t="s">
        <v>6</v>
      </c>
      <c r="D340" s="30" t="s">
        <v>10</v>
      </c>
      <c r="E340" s="30" t="s">
        <v>14</v>
      </c>
      <c r="F340" s="11"/>
      <c r="G340" s="30">
        <v>6</v>
      </c>
      <c r="H340" s="263" t="s">
        <v>394</v>
      </c>
      <c r="I340" s="21" t="s">
        <v>68</v>
      </c>
      <c r="J340" s="21" t="s">
        <v>272</v>
      </c>
      <c r="K340" s="30" t="s">
        <v>94</v>
      </c>
      <c r="L340" s="35">
        <v>0</v>
      </c>
      <c r="M340" s="22">
        <v>46.46</v>
      </c>
      <c r="N340" s="38">
        <v>44718</v>
      </c>
      <c r="O340" s="30" t="s">
        <v>114</v>
      </c>
    </row>
    <row r="341" spans="2:15" s="30" customFormat="1" ht="15" customHeight="1" x14ac:dyDescent="0.25">
      <c r="B341" s="30" t="s">
        <v>168</v>
      </c>
      <c r="C341" s="30" t="s">
        <v>6</v>
      </c>
      <c r="D341" s="30" t="s">
        <v>10</v>
      </c>
      <c r="E341" s="30" t="s">
        <v>297</v>
      </c>
      <c r="F341" s="11"/>
      <c r="G341" s="30">
        <v>6</v>
      </c>
      <c r="H341" s="263" t="s">
        <v>391</v>
      </c>
      <c r="I341" s="21" t="s">
        <v>68</v>
      </c>
      <c r="J341" s="21" t="s">
        <v>802</v>
      </c>
      <c r="K341" s="30" t="s">
        <v>107</v>
      </c>
      <c r="L341" s="35">
        <v>2</v>
      </c>
      <c r="M341" s="22">
        <v>15.82</v>
      </c>
      <c r="N341" s="38">
        <v>44718</v>
      </c>
      <c r="O341" s="30" t="s">
        <v>115</v>
      </c>
    </row>
    <row r="342" spans="2:15" s="30" customFormat="1" ht="15" customHeight="1" x14ac:dyDescent="0.25">
      <c r="B342" s="30" t="s">
        <v>168</v>
      </c>
      <c r="C342" s="30" t="s">
        <v>6</v>
      </c>
      <c r="D342" s="30" t="s">
        <v>10</v>
      </c>
      <c r="E342" s="30" t="s">
        <v>297</v>
      </c>
      <c r="F342" s="11"/>
      <c r="G342" s="30">
        <v>6</v>
      </c>
      <c r="H342" s="263" t="s">
        <v>391</v>
      </c>
      <c r="I342" s="21" t="s">
        <v>68</v>
      </c>
      <c r="J342" s="21" t="s">
        <v>962</v>
      </c>
      <c r="K342" s="30" t="s">
        <v>107</v>
      </c>
      <c r="L342" s="35">
        <v>1</v>
      </c>
      <c r="M342" s="22">
        <v>4.68</v>
      </c>
      <c r="N342" s="38">
        <v>44718</v>
      </c>
      <c r="O342" s="30" t="s">
        <v>115</v>
      </c>
    </row>
    <row r="343" spans="2:15" s="30" customFormat="1" ht="15" customHeight="1" x14ac:dyDescent="0.25">
      <c r="B343" s="30" t="s">
        <v>169</v>
      </c>
      <c r="C343" s="30" t="s">
        <v>6</v>
      </c>
      <c r="D343" s="30" t="s">
        <v>10</v>
      </c>
      <c r="E343" s="30" t="s">
        <v>297</v>
      </c>
      <c r="F343" s="11"/>
      <c r="G343" s="30">
        <v>6</v>
      </c>
      <c r="H343" s="263" t="s">
        <v>391</v>
      </c>
      <c r="I343" s="21" t="s">
        <v>68</v>
      </c>
      <c r="J343" s="21" t="s">
        <v>493</v>
      </c>
      <c r="K343" s="30" t="s">
        <v>107</v>
      </c>
      <c r="L343" s="35">
        <v>60</v>
      </c>
      <c r="M343" s="22">
        <v>240.74</v>
      </c>
      <c r="N343" s="38">
        <v>44718</v>
      </c>
      <c r="O343" s="30" t="s">
        <v>114</v>
      </c>
    </row>
    <row r="344" spans="2:15" s="30" customFormat="1" ht="15" customHeight="1" x14ac:dyDescent="0.25">
      <c r="B344" s="30" t="s">
        <v>170</v>
      </c>
      <c r="C344" s="30" t="s">
        <v>6</v>
      </c>
      <c r="D344" s="30" t="s">
        <v>10</v>
      </c>
      <c r="E344" s="30" t="s">
        <v>18</v>
      </c>
      <c r="F344" s="11"/>
      <c r="G344" s="19" t="s">
        <v>345</v>
      </c>
      <c r="H344" s="263" t="s">
        <v>394</v>
      </c>
      <c r="I344" s="21" t="s">
        <v>68</v>
      </c>
      <c r="J344" s="21" t="s">
        <v>273</v>
      </c>
      <c r="K344" s="30" t="s">
        <v>94</v>
      </c>
      <c r="L344" s="35">
        <v>0</v>
      </c>
      <c r="M344" s="22">
        <v>398.16</v>
      </c>
      <c r="N344" s="44"/>
      <c r="O344" s="30" t="s">
        <v>115</v>
      </c>
    </row>
    <row r="345" spans="2:15" s="30" customFormat="1" ht="15" customHeight="1" x14ac:dyDescent="0.25">
      <c r="C345" s="30" t="s">
        <v>6</v>
      </c>
      <c r="D345" s="30" t="s">
        <v>10</v>
      </c>
      <c r="E345" s="30" t="s">
        <v>18</v>
      </c>
      <c r="F345" s="11"/>
      <c r="G345" s="19" t="s">
        <v>345</v>
      </c>
      <c r="H345" s="263" t="s">
        <v>193</v>
      </c>
      <c r="I345" s="21" t="s">
        <v>68</v>
      </c>
      <c r="J345" s="21" t="s">
        <v>793</v>
      </c>
      <c r="K345" s="30" t="s">
        <v>94</v>
      </c>
      <c r="L345" s="35">
        <v>0</v>
      </c>
      <c r="M345" s="22">
        <f>477-M349</f>
        <v>462.98</v>
      </c>
      <c r="N345" s="44"/>
    </row>
    <row r="346" spans="2:15" s="30" customFormat="1" ht="15" customHeight="1" x14ac:dyDescent="0.25">
      <c r="C346" s="30" t="s">
        <v>6</v>
      </c>
      <c r="D346" s="30" t="s">
        <v>10</v>
      </c>
      <c r="E346" s="30" t="s">
        <v>18</v>
      </c>
      <c r="F346" s="11"/>
      <c r="G346" s="19" t="s">
        <v>345</v>
      </c>
      <c r="H346" s="263" t="s">
        <v>193</v>
      </c>
      <c r="I346" s="21" t="s">
        <v>68</v>
      </c>
      <c r="J346" s="21" t="s">
        <v>794</v>
      </c>
      <c r="K346" s="30" t="s">
        <v>94</v>
      </c>
      <c r="L346" s="35">
        <v>35</v>
      </c>
      <c r="M346" s="22">
        <v>395.39</v>
      </c>
      <c r="N346" s="44">
        <v>44590</v>
      </c>
    </row>
    <row r="347" spans="2:15" s="30" customFormat="1" ht="30" x14ac:dyDescent="0.25">
      <c r="B347" s="30" t="s">
        <v>170</v>
      </c>
      <c r="C347" s="30" t="s">
        <v>6</v>
      </c>
      <c r="D347" s="30" t="s">
        <v>10</v>
      </c>
      <c r="E347" s="30" t="s">
        <v>16</v>
      </c>
      <c r="F347" s="11"/>
      <c r="G347" s="19" t="s">
        <v>345</v>
      </c>
      <c r="H347" s="263" t="s">
        <v>23</v>
      </c>
      <c r="I347" s="21" t="s">
        <v>57</v>
      </c>
      <c r="J347" s="21" t="s">
        <v>821</v>
      </c>
      <c r="K347" s="30" t="s">
        <v>94</v>
      </c>
      <c r="L347" s="35"/>
      <c r="M347" s="22"/>
      <c r="N347" s="44">
        <v>44719</v>
      </c>
      <c r="O347" s="30" t="s">
        <v>115</v>
      </c>
    </row>
    <row r="348" spans="2:15" s="30" customFormat="1" ht="15" customHeight="1" x14ac:dyDescent="0.25">
      <c r="B348" s="30" t="s">
        <v>170</v>
      </c>
      <c r="C348" s="30" t="s">
        <v>6</v>
      </c>
      <c r="D348" s="30" t="s">
        <v>10</v>
      </c>
      <c r="E348" s="30" t="s">
        <v>14</v>
      </c>
      <c r="F348" s="11"/>
      <c r="G348" s="19" t="s">
        <v>345</v>
      </c>
      <c r="H348" s="263" t="s">
        <v>23</v>
      </c>
      <c r="I348" s="21" t="s">
        <v>67</v>
      </c>
      <c r="J348" s="21" t="s">
        <v>821</v>
      </c>
      <c r="K348" s="30" t="s">
        <v>94</v>
      </c>
      <c r="L348" s="35"/>
      <c r="M348" s="22"/>
      <c r="N348" s="44">
        <v>44719</v>
      </c>
      <c r="O348" s="30" t="s">
        <v>115</v>
      </c>
    </row>
    <row r="349" spans="2:15" s="30" customFormat="1" ht="15" customHeight="1" x14ac:dyDescent="0.25">
      <c r="E349" s="30" t="s">
        <v>18</v>
      </c>
      <c r="F349" s="11"/>
      <c r="G349" s="19" t="s">
        <v>345</v>
      </c>
      <c r="H349" s="263" t="s">
        <v>193</v>
      </c>
      <c r="I349" s="21" t="s">
        <v>794</v>
      </c>
      <c r="J349" s="21" t="s">
        <v>899</v>
      </c>
      <c r="K349" s="30" t="s">
        <v>94</v>
      </c>
      <c r="L349" s="35">
        <v>30</v>
      </c>
      <c r="M349" s="22">
        <v>14.02</v>
      </c>
      <c r="N349" s="44"/>
    </row>
    <row r="350" spans="2:15" s="30" customFormat="1" ht="30" customHeight="1" x14ac:dyDescent="0.25">
      <c r="B350" s="30" t="s">
        <v>168</v>
      </c>
      <c r="C350" s="30" t="s">
        <v>6</v>
      </c>
      <c r="D350" s="30" t="s">
        <v>10</v>
      </c>
      <c r="E350" s="30" t="s">
        <v>18</v>
      </c>
      <c r="F350" s="11"/>
      <c r="G350" s="19" t="s">
        <v>345</v>
      </c>
      <c r="H350" s="263" t="s">
        <v>389</v>
      </c>
      <c r="I350" s="21" t="s">
        <v>35</v>
      </c>
      <c r="J350" s="21" t="s">
        <v>489</v>
      </c>
      <c r="K350" s="30" t="s">
        <v>107</v>
      </c>
      <c r="L350" s="35">
        <v>1</v>
      </c>
      <c r="M350" s="22">
        <v>62.43</v>
      </c>
      <c r="N350" s="44">
        <v>44393</v>
      </c>
      <c r="O350" s="30" t="s">
        <v>115</v>
      </c>
    </row>
    <row r="351" spans="2:15" s="30" customFormat="1" ht="27" customHeight="1" x14ac:dyDescent="0.25">
      <c r="B351" s="30" t="s">
        <v>168</v>
      </c>
      <c r="C351" s="30" t="s">
        <v>6</v>
      </c>
      <c r="D351" s="30" t="s">
        <v>10</v>
      </c>
      <c r="E351" s="30" t="s">
        <v>18</v>
      </c>
      <c r="F351" s="11"/>
      <c r="G351" s="19" t="s">
        <v>345</v>
      </c>
      <c r="H351" s="263" t="s">
        <v>389</v>
      </c>
      <c r="I351" s="21" t="s">
        <v>35</v>
      </c>
      <c r="J351" s="21" t="s">
        <v>896</v>
      </c>
      <c r="K351" s="30" t="s">
        <v>107</v>
      </c>
      <c r="L351" s="35">
        <v>1</v>
      </c>
      <c r="M351" s="22">
        <v>14.28</v>
      </c>
      <c r="N351" s="44">
        <v>44393</v>
      </c>
      <c r="O351" s="30" t="s">
        <v>115</v>
      </c>
    </row>
    <row r="352" spans="2:15" s="30" customFormat="1" ht="26.25" customHeight="1" x14ac:dyDescent="0.25">
      <c r="B352" s="30" t="s">
        <v>168</v>
      </c>
      <c r="C352" s="30" t="s">
        <v>6</v>
      </c>
      <c r="D352" s="30" t="s">
        <v>10</v>
      </c>
      <c r="E352" s="30" t="s">
        <v>18</v>
      </c>
      <c r="F352" s="11"/>
      <c r="G352" s="19" t="s">
        <v>345</v>
      </c>
      <c r="H352" s="263" t="s">
        <v>389</v>
      </c>
      <c r="I352" s="21" t="s">
        <v>35</v>
      </c>
      <c r="J352" s="21" t="s">
        <v>105</v>
      </c>
      <c r="K352" s="30" t="s">
        <v>107</v>
      </c>
      <c r="L352" s="35">
        <v>1</v>
      </c>
      <c r="M352" s="22">
        <v>10.85</v>
      </c>
      <c r="N352" s="44">
        <v>44393</v>
      </c>
      <c r="O352" s="30" t="s">
        <v>115</v>
      </c>
    </row>
    <row r="353" spans="2:15" s="30" customFormat="1" ht="30" customHeight="1" x14ac:dyDescent="0.25">
      <c r="B353" s="30" t="s">
        <v>168</v>
      </c>
      <c r="C353" s="30" t="s">
        <v>6</v>
      </c>
      <c r="D353" s="30" t="s">
        <v>10</v>
      </c>
      <c r="E353" s="30" t="s">
        <v>18</v>
      </c>
      <c r="F353" s="11"/>
      <c r="G353" s="19" t="s">
        <v>273</v>
      </c>
      <c r="H353" s="263" t="s">
        <v>389</v>
      </c>
      <c r="I353" s="21" t="s">
        <v>35</v>
      </c>
      <c r="J353" s="21" t="s">
        <v>897</v>
      </c>
      <c r="K353" s="21" t="s">
        <v>107</v>
      </c>
      <c r="L353" s="35">
        <v>1</v>
      </c>
      <c r="M353" s="34">
        <v>49.17</v>
      </c>
      <c r="N353" s="44">
        <v>44393</v>
      </c>
      <c r="O353" s="30" t="s">
        <v>115</v>
      </c>
    </row>
    <row r="354" spans="2:15" s="30" customFormat="1" ht="30" customHeight="1" x14ac:dyDescent="0.25">
      <c r="B354" s="30" t="s">
        <v>168</v>
      </c>
      <c r="C354" s="30" t="s">
        <v>6</v>
      </c>
      <c r="D354" s="30" t="s">
        <v>10</v>
      </c>
      <c r="E354" s="30" t="s">
        <v>18</v>
      </c>
      <c r="F354" s="11"/>
      <c r="G354" s="19" t="s">
        <v>273</v>
      </c>
      <c r="H354" s="263" t="s">
        <v>390</v>
      </c>
      <c r="I354" s="21" t="s">
        <v>35</v>
      </c>
      <c r="J354" s="21" t="s">
        <v>517</v>
      </c>
      <c r="K354" s="21" t="s">
        <v>107</v>
      </c>
      <c r="L354" s="35">
        <v>1</v>
      </c>
      <c r="M354" s="34">
        <v>23.71</v>
      </c>
      <c r="N354" s="44">
        <v>44393</v>
      </c>
      <c r="O354" s="30" t="s">
        <v>115</v>
      </c>
    </row>
    <row r="355" spans="2:15" s="30" customFormat="1" ht="30" customHeight="1" x14ac:dyDescent="0.25">
      <c r="B355" s="30" t="s">
        <v>168</v>
      </c>
      <c r="C355" s="30" t="s">
        <v>6</v>
      </c>
      <c r="D355" s="30" t="s">
        <v>10</v>
      </c>
      <c r="E355" s="30" t="s">
        <v>18</v>
      </c>
      <c r="F355" s="11"/>
      <c r="G355" s="19" t="s">
        <v>345</v>
      </c>
      <c r="H355" s="263" t="s">
        <v>389</v>
      </c>
      <c r="I355" s="21" t="s">
        <v>35</v>
      </c>
      <c r="J355" s="21" t="s">
        <v>224</v>
      </c>
      <c r="K355" s="30" t="s">
        <v>107</v>
      </c>
      <c r="L355" s="35">
        <v>0</v>
      </c>
      <c r="M355" s="22">
        <v>10.220000000000001</v>
      </c>
      <c r="N355" s="44">
        <v>44393</v>
      </c>
      <c r="O355" s="30" t="s">
        <v>115</v>
      </c>
    </row>
    <row r="356" spans="2:15" s="30" customFormat="1" ht="30" customHeight="1" x14ac:dyDescent="0.25">
      <c r="B356" s="30" t="s">
        <v>168</v>
      </c>
      <c r="C356" s="30" t="s">
        <v>6</v>
      </c>
      <c r="D356" s="30" t="s">
        <v>10</v>
      </c>
      <c r="E356" s="30" t="s">
        <v>18</v>
      </c>
      <c r="F356" s="11"/>
      <c r="G356" s="19" t="s">
        <v>273</v>
      </c>
      <c r="H356" s="263" t="s">
        <v>389</v>
      </c>
      <c r="I356" s="21" t="s">
        <v>35</v>
      </c>
      <c r="J356" s="21" t="s">
        <v>898</v>
      </c>
      <c r="K356" s="21" t="s">
        <v>107</v>
      </c>
      <c r="L356" s="35">
        <v>0</v>
      </c>
      <c r="M356" s="34">
        <v>2.2999999999999998</v>
      </c>
      <c r="N356" s="44">
        <v>44393</v>
      </c>
      <c r="O356" s="30" t="s">
        <v>115</v>
      </c>
    </row>
    <row r="357" spans="2:15" s="30" customFormat="1" ht="29.25" customHeight="1" x14ac:dyDescent="0.25">
      <c r="B357" s="30" t="s">
        <v>168</v>
      </c>
      <c r="C357" s="30" t="s">
        <v>6</v>
      </c>
      <c r="D357" s="30" t="s">
        <v>10</v>
      </c>
      <c r="E357" s="30" t="s">
        <v>18</v>
      </c>
      <c r="F357" s="11"/>
      <c r="G357" s="19" t="s">
        <v>345</v>
      </c>
      <c r="H357" s="263" t="s">
        <v>390</v>
      </c>
      <c r="I357" s="21" t="s">
        <v>35</v>
      </c>
      <c r="J357" s="21" t="s">
        <v>241</v>
      </c>
      <c r="K357" s="30" t="s">
        <v>94</v>
      </c>
      <c r="L357" s="35">
        <v>0</v>
      </c>
      <c r="M357" s="22">
        <v>24.65</v>
      </c>
      <c r="N357" s="44">
        <v>44393</v>
      </c>
      <c r="O357" s="30" t="s">
        <v>115</v>
      </c>
    </row>
    <row r="358" spans="2:15" s="30" customFormat="1" ht="30" customHeight="1" x14ac:dyDescent="0.25">
      <c r="B358" s="30" t="s">
        <v>168</v>
      </c>
      <c r="C358" s="30" t="s">
        <v>6</v>
      </c>
      <c r="D358" s="30" t="s">
        <v>10</v>
      </c>
      <c r="E358" s="30" t="s">
        <v>18</v>
      </c>
      <c r="F358" s="11"/>
      <c r="G358" s="19" t="s">
        <v>345</v>
      </c>
      <c r="H358" s="263" t="s">
        <v>177</v>
      </c>
      <c r="I358" s="21" t="s">
        <v>68</v>
      </c>
      <c r="J358" s="21" t="s">
        <v>521</v>
      </c>
      <c r="K358" s="30" t="s">
        <v>107</v>
      </c>
      <c r="L358" s="35">
        <v>1</v>
      </c>
      <c r="M358" s="22">
        <v>4.51</v>
      </c>
      <c r="N358" s="44">
        <v>44393</v>
      </c>
      <c r="O358" s="30" t="s">
        <v>115</v>
      </c>
    </row>
    <row r="359" spans="2:15" s="30" customFormat="1" ht="15" customHeight="1" x14ac:dyDescent="0.25">
      <c r="B359" s="30" t="s">
        <v>168</v>
      </c>
      <c r="C359" s="30" t="s">
        <v>6</v>
      </c>
      <c r="D359" s="30" t="s">
        <v>10</v>
      </c>
      <c r="E359" s="30" t="s">
        <v>18</v>
      </c>
      <c r="F359" s="11"/>
      <c r="G359" s="19" t="s">
        <v>345</v>
      </c>
      <c r="H359" s="263" t="s">
        <v>389</v>
      </c>
      <c r="I359" s="21" t="s">
        <v>68</v>
      </c>
      <c r="J359" s="21" t="s">
        <v>349</v>
      </c>
      <c r="K359" s="30" t="s">
        <v>94</v>
      </c>
      <c r="L359" s="35">
        <v>0</v>
      </c>
      <c r="M359" s="22">
        <v>52.25</v>
      </c>
      <c r="N359" s="44">
        <v>44393</v>
      </c>
      <c r="O359" s="30" t="s">
        <v>115</v>
      </c>
    </row>
    <row r="360" spans="2:15" s="30" customFormat="1" ht="15" customHeight="1" x14ac:dyDescent="0.25">
      <c r="B360" s="30" t="s">
        <v>168</v>
      </c>
      <c r="C360" s="30" t="s">
        <v>6</v>
      </c>
      <c r="D360" s="30" t="s">
        <v>10</v>
      </c>
      <c r="E360" s="30" t="s">
        <v>18</v>
      </c>
      <c r="F360" s="11"/>
      <c r="G360" s="19" t="s">
        <v>345</v>
      </c>
      <c r="H360" s="263" t="s">
        <v>389</v>
      </c>
      <c r="I360" s="21" t="s">
        <v>68</v>
      </c>
      <c r="J360" s="21" t="s">
        <v>350</v>
      </c>
      <c r="K360" s="30" t="s">
        <v>94</v>
      </c>
      <c r="L360" s="35">
        <v>0</v>
      </c>
      <c r="M360" s="22">
        <v>11.31</v>
      </c>
      <c r="N360" s="44">
        <v>44393</v>
      </c>
      <c r="O360" s="30" t="s">
        <v>115</v>
      </c>
    </row>
    <row r="361" spans="2:15" s="30" customFormat="1" ht="15" customHeight="1" x14ac:dyDescent="0.25">
      <c r="B361" s="30" t="s">
        <v>168</v>
      </c>
      <c r="C361" s="30" t="s">
        <v>6</v>
      </c>
      <c r="D361" s="30" t="s">
        <v>10</v>
      </c>
      <c r="E361" s="30" t="s">
        <v>18</v>
      </c>
      <c r="F361" s="11"/>
      <c r="G361" s="19" t="s">
        <v>345</v>
      </c>
      <c r="H361" s="263" t="s">
        <v>389</v>
      </c>
      <c r="I361" s="21" t="s">
        <v>68</v>
      </c>
      <c r="J361" s="21" t="s">
        <v>351</v>
      </c>
      <c r="K361" s="30" t="s">
        <v>94</v>
      </c>
      <c r="L361" s="35">
        <v>0</v>
      </c>
      <c r="M361" s="22">
        <v>15.51</v>
      </c>
      <c r="N361" s="44">
        <v>44393</v>
      </c>
      <c r="O361" s="30" t="s">
        <v>115</v>
      </c>
    </row>
    <row r="362" spans="2:15" s="30" customFormat="1" ht="30" customHeight="1" x14ac:dyDescent="0.25">
      <c r="B362" s="30" t="s">
        <v>168</v>
      </c>
      <c r="C362" s="30" t="s">
        <v>6</v>
      </c>
      <c r="D362" s="30" t="s">
        <v>10</v>
      </c>
      <c r="E362" s="30" t="s">
        <v>18</v>
      </c>
      <c r="F362" s="11"/>
      <c r="G362" s="19" t="s">
        <v>345</v>
      </c>
      <c r="H362" s="263" t="s">
        <v>389</v>
      </c>
      <c r="I362" s="21" t="s">
        <v>68</v>
      </c>
      <c r="J362" s="21" t="s">
        <v>352</v>
      </c>
      <c r="K362" s="30" t="s">
        <v>94</v>
      </c>
      <c r="L362" s="35">
        <v>0</v>
      </c>
      <c r="M362" s="22">
        <v>7.96</v>
      </c>
      <c r="N362" s="44">
        <v>44393</v>
      </c>
      <c r="O362" s="30" t="s">
        <v>115</v>
      </c>
    </row>
    <row r="363" spans="2:15" s="30" customFormat="1" ht="30" customHeight="1" x14ac:dyDescent="0.25">
      <c r="B363" s="30" t="s">
        <v>170</v>
      </c>
      <c r="D363" s="30" t="s">
        <v>10</v>
      </c>
      <c r="E363" s="30" t="s">
        <v>18</v>
      </c>
      <c r="F363" s="11"/>
      <c r="G363" s="19" t="s">
        <v>273</v>
      </c>
      <c r="H363" s="263" t="s">
        <v>394</v>
      </c>
      <c r="I363" s="21" t="s">
        <v>35</v>
      </c>
      <c r="J363" s="21" t="s">
        <v>520</v>
      </c>
      <c r="K363" s="21" t="s">
        <v>94</v>
      </c>
      <c r="L363" s="35">
        <v>0</v>
      </c>
      <c r="M363" s="34">
        <v>8.32</v>
      </c>
      <c r="N363" s="44">
        <v>44393</v>
      </c>
      <c r="O363" s="30" t="s">
        <v>114</v>
      </c>
    </row>
    <row r="364" spans="2:15" s="30" customFormat="1" ht="30.75" customHeight="1" x14ac:dyDescent="0.25">
      <c r="B364" s="30" t="s">
        <v>170</v>
      </c>
      <c r="D364" s="30" t="s">
        <v>10</v>
      </c>
      <c r="E364" s="30" t="s">
        <v>18</v>
      </c>
      <c r="F364" s="11"/>
      <c r="G364" s="19" t="s">
        <v>273</v>
      </c>
      <c r="H364" s="263" t="s">
        <v>394</v>
      </c>
      <c r="I364" s="21" t="s">
        <v>35</v>
      </c>
      <c r="J364" s="21" t="s">
        <v>519</v>
      </c>
      <c r="K364" s="21" t="s">
        <v>94</v>
      </c>
      <c r="L364" s="35">
        <v>0</v>
      </c>
      <c r="M364" s="34">
        <v>12.92</v>
      </c>
      <c r="N364" s="44">
        <v>44393</v>
      </c>
      <c r="O364" s="30" t="s">
        <v>114</v>
      </c>
    </row>
    <row r="365" spans="2:15" s="30" customFormat="1" ht="15" customHeight="1" x14ac:dyDescent="0.25">
      <c r="B365" s="30" t="s">
        <v>168</v>
      </c>
      <c r="C365" s="30" t="s">
        <v>6</v>
      </c>
      <c r="D365" s="30" t="s">
        <v>10</v>
      </c>
      <c r="E365" s="30" t="s">
        <v>18</v>
      </c>
      <c r="F365" s="11"/>
      <c r="G365" s="19" t="s">
        <v>345</v>
      </c>
      <c r="H365" s="263" t="s">
        <v>389</v>
      </c>
      <c r="I365" s="21" t="s">
        <v>68</v>
      </c>
      <c r="J365" s="21" t="s">
        <v>348</v>
      </c>
      <c r="K365" s="30" t="s">
        <v>94</v>
      </c>
      <c r="L365" s="35">
        <v>0</v>
      </c>
      <c r="M365" s="22">
        <v>10.28</v>
      </c>
      <c r="N365" s="44">
        <v>44393</v>
      </c>
      <c r="O365" s="30" t="s">
        <v>115</v>
      </c>
    </row>
    <row r="366" spans="2:15" s="30" customFormat="1" ht="30" customHeight="1" x14ac:dyDescent="0.25">
      <c r="B366" s="30" t="s">
        <v>165</v>
      </c>
      <c r="C366" s="30" t="s">
        <v>6</v>
      </c>
      <c r="D366" s="30" t="s">
        <v>10</v>
      </c>
      <c r="E366" s="30" t="s">
        <v>18</v>
      </c>
      <c r="F366" s="11">
        <v>100</v>
      </c>
      <c r="G366" s="19" t="s">
        <v>343</v>
      </c>
      <c r="H366" s="263" t="s">
        <v>390</v>
      </c>
      <c r="I366" s="21" t="s">
        <v>35</v>
      </c>
      <c r="J366" s="21" t="s">
        <v>500</v>
      </c>
      <c r="K366" s="30" t="s">
        <v>107</v>
      </c>
      <c r="L366" s="35">
        <v>3</v>
      </c>
      <c r="M366" s="22">
        <v>40</v>
      </c>
      <c r="N366" s="44">
        <v>44391</v>
      </c>
      <c r="O366" s="30" t="s">
        <v>115</v>
      </c>
    </row>
    <row r="367" spans="2:15" s="30" customFormat="1" ht="30.75" customHeight="1" x14ac:dyDescent="0.25">
      <c r="B367" s="30" t="s">
        <v>165</v>
      </c>
      <c r="C367" s="30" t="s">
        <v>6</v>
      </c>
      <c r="D367" s="30" t="s">
        <v>10</v>
      </c>
      <c r="E367" s="30" t="s">
        <v>18</v>
      </c>
      <c r="F367" s="11">
        <v>101</v>
      </c>
      <c r="G367" s="19" t="s">
        <v>343</v>
      </c>
      <c r="H367" s="263" t="s">
        <v>26</v>
      </c>
      <c r="I367" s="21" t="s">
        <v>32</v>
      </c>
      <c r="J367" s="21" t="s">
        <v>909</v>
      </c>
      <c r="K367" s="30" t="s">
        <v>90</v>
      </c>
      <c r="L367" s="35">
        <v>36</v>
      </c>
      <c r="M367" s="22">
        <v>128</v>
      </c>
      <c r="N367" s="44">
        <v>44391</v>
      </c>
      <c r="O367" s="30" t="s">
        <v>115</v>
      </c>
    </row>
    <row r="368" spans="2:15" s="30" customFormat="1" ht="15" customHeight="1" x14ac:dyDescent="0.25">
      <c r="B368" s="30" t="s">
        <v>165</v>
      </c>
      <c r="C368" s="30" t="s">
        <v>6</v>
      </c>
      <c r="D368" s="30" t="s">
        <v>10</v>
      </c>
      <c r="E368" s="30" t="s">
        <v>18</v>
      </c>
      <c r="F368" s="11">
        <v>102</v>
      </c>
      <c r="G368" s="19" t="s">
        <v>343</v>
      </c>
      <c r="H368" s="263" t="s">
        <v>27</v>
      </c>
      <c r="I368" s="21" t="s">
        <v>81</v>
      </c>
      <c r="J368" s="262" t="s">
        <v>233</v>
      </c>
      <c r="K368" s="30" t="s">
        <v>90</v>
      </c>
      <c r="L368" s="35">
        <v>31</v>
      </c>
      <c r="M368" s="22">
        <v>63.63</v>
      </c>
      <c r="N368" s="44">
        <v>44391</v>
      </c>
      <c r="O368" s="30" t="s">
        <v>115</v>
      </c>
    </row>
    <row r="369" spans="2:15" s="30" customFormat="1" ht="15" customHeight="1" x14ac:dyDescent="0.25">
      <c r="B369" s="30" t="s">
        <v>169</v>
      </c>
      <c r="C369" s="30" t="s">
        <v>6</v>
      </c>
      <c r="D369" s="30" t="s">
        <v>10</v>
      </c>
      <c r="E369" s="30" t="s">
        <v>18</v>
      </c>
      <c r="F369" s="11"/>
      <c r="G369" s="19" t="s">
        <v>343</v>
      </c>
      <c r="H369" s="263" t="s">
        <v>399</v>
      </c>
      <c r="I369" s="21" t="s">
        <v>68</v>
      </c>
      <c r="J369" s="21" t="s">
        <v>401</v>
      </c>
      <c r="K369" s="30" t="s">
        <v>94</v>
      </c>
      <c r="L369" s="35">
        <v>2</v>
      </c>
      <c r="M369" s="22">
        <v>20.32</v>
      </c>
      <c r="N369" s="44">
        <v>44391</v>
      </c>
      <c r="O369" s="30" t="s">
        <v>114</v>
      </c>
    </row>
    <row r="370" spans="2:15" s="30" customFormat="1" ht="30" customHeight="1" x14ac:dyDescent="0.25">
      <c r="B370" s="30" t="s">
        <v>169</v>
      </c>
      <c r="C370" s="30" t="s">
        <v>6</v>
      </c>
      <c r="D370" s="30" t="s">
        <v>10</v>
      </c>
      <c r="E370" s="30" t="s">
        <v>18</v>
      </c>
      <c r="F370" s="11"/>
      <c r="G370" s="19" t="s">
        <v>343</v>
      </c>
      <c r="H370" s="263" t="s">
        <v>399</v>
      </c>
      <c r="I370" s="21" t="s">
        <v>68</v>
      </c>
      <c r="J370" s="21" t="s">
        <v>402</v>
      </c>
      <c r="K370" s="30" t="s">
        <v>94</v>
      </c>
      <c r="L370" s="35">
        <v>5</v>
      </c>
      <c r="M370" s="22">
        <v>19.37</v>
      </c>
      <c r="N370" s="44">
        <v>44391</v>
      </c>
      <c r="O370" s="30" t="s">
        <v>114</v>
      </c>
    </row>
    <row r="371" spans="2:15" s="30" customFormat="1" ht="45" customHeight="1" x14ac:dyDescent="0.25">
      <c r="B371" s="30" t="s">
        <v>169</v>
      </c>
      <c r="C371" s="30" t="s">
        <v>6</v>
      </c>
      <c r="D371" s="30" t="s">
        <v>10</v>
      </c>
      <c r="E371" s="30" t="s">
        <v>18</v>
      </c>
      <c r="F371" s="11"/>
      <c r="G371" s="19" t="s">
        <v>343</v>
      </c>
      <c r="H371" s="263" t="s">
        <v>399</v>
      </c>
      <c r="I371" s="21" t="s">
        <v>68</v>
      </c>
      <c r="J371" s="21" t="s">
        <v>274</v>
      </c>
      <c r="K371" s="30" t="s">
        <v>94</v>
      </c>
      <c r="L371" s="35">
        <v>1</v>
      </c>
      <c r="M371" s="22">
        <v>4</v>
      </c>
      <c r="N371" s="44">
        <v>44391</v>
      </c>
      <c r="O371" s="30" t="s">
        <v>115</v>
      </c>
    </row>
    <row r="372" spans="2:15" s="30" customFormat="1" ht="45" customHeight="1" x14ac:dyDescent="0.25">
      <c r="B372" s="30" t="s">
        <v>170</v>
      </c>
      <c r="C372" s="30" t="s">
        <v>6</v>
      </c>
      <c r="D372" s="30" t="s">
        <v>10</v>
      </c>
      <c r="E372" s="30" t="s">
        <v>18</v>
      </c>
      <c r="F372" s="11"/>
      <c r="G372" s="19" t="s">
        <v>343</v>
      </c>
      <c r="H372" s="263" t="s">
        <v>394</v>
      </c>
      <c r="I372" s="21" t="s">
        <v>57</v>
      </c>
      <c r="J372" s="21" t="s">
        <v>804</v>
      </c>
      <c r="K372" s="30" t="s">
        <v>94</v>
      </c>
      <c r="L372" s="35">
        <v>1</v>
      </c>
      <c r="M372" s="22">
        <v>12.78</v>
      </c>
      <c r="N372" s="44">
        <v>44391</v>
      </c>
      <c r="O372" s="30" t="s">
        <v>114</v>
      </c>
    </row>
    <row r="373" spans="2:15" s="30" customFormat="1" ht="45" customHeight="1" x14ac:dyDescent="0.25">
      <c r="B373" s="30" t="s">
        <v>168</v>
      </c>
      <c r="C373" s="30" t="s">
        <v>6</v>
      </c>
      <c r="D373" s="30" t="s">
        <v>10</v>
      </c>
      <c r="E373" s="30" t="s">
        <v>18</v>
      </c>
      <c r="F373" s="11"/>
      <c r="G373" s="19" t="s">
        <v>343</v>
      </c>
      <c r="H373" s="263" t="s">
        <v>391</v>
      </c>
      <c r="I373" s="21" t="s">
        <v>61</v>
      </c>
      <c r="J373" s="21" t="s">
        <v>913</v>
      </c>
      <c r="K373" s="30" t="s">
        <v>107</v>
      </c>
      <c r="L373" s="35">
        <v>18</v>
      </c>
      <c r="M373" s="22">
        <v>45.1</v>
      </c>
      <c r="N373" s="235">
        <v>45275</v>
      </c>
      <c r="O373" s="30" t="s">
        <v>115</v>
      </c>
    </row>
    <row r="374" spans="2:15" s="30" customFormat="1" ht="45" customHeight="1" x14ac:dyDescent="0.25">
      <c r="B374" s="30" t="s">
        <v>168</v>
      </c>
      <c r="C374" s="30" t="s">
        <v>6</v>
      </c>
      <c r="D374" s="30" t="s">
        <v>10</v>
      </c>
      <c r="E374" s="30" t="s">
        <v>18</v>
      </c>
      <c r="F374" s="11"/>
      <c r="G374" s="19" t="s">
        <v>343</v>
      </c>
      <c r="H374" s="263" t="s">
        <v>23</v>
      </c>
      <c r="I374" s="21" t="s">
        <v>61</v>
      </c>
      <c r="J374" s="21" t="s">
        <v>914</v>
      </c>
      <c r="K374" s="30" t="s">
        <v>107</v>
      </c>
      <c r="L374" s="35">
        <v>4</v>
      </c>
      <c r="M374" s="22">
        <v>8.08</v>
      </c>
      <c r="N374" s="235">
        <v>45275</v>
      </c>
      <c r="O374" s="30" t="s">
        <v>115</v>
      </c>
    </row>
    <row r="375" spans="2:15" s="30" customFormat="1" ht="30" customHeight="1" x14ac:dyDescent="0.25">
      <c r="B375" s="30" t="s">
        <v>168</v>
      </c>
      <c r="C375" s="30" t="s">
        <v>6</v>
      </c>
      <c r="D375" s="30" t="s">
        <v>10</v>
      </c>
      <c r="E375" s="30" t="s">
        <v>18</v>
      </c>
      <c r="F375" s="11"/>
      <c r="G375" s="19" t="s">
        <v>343</v>
      </c>
      <c r="H375" s="263" t="s">
        <v>258</v>
      </c>
      <c r="I375" s="21" t="s">
        <v>61</v>
      </c>
      <c r="J375" s="21" t="s">
        <v>937</v>
      </c>
      <c r="K375" s="30" t="s">
        <v>107</v>
      </c>
      <c r="L375" s="35">
        <v>1</v>
      </c>
      <c r="M375" s="22">
        <v>7.84</v>
      </c>
      <c r="N375" s="235">
        <v>45275</v>
      </c>
      <c r="O375" s="30" t="s">
        <v>115</v>
      </c>
    </row>
    <row r="376" spans="2:15" s="30" customFormat="1" ht="30" customHeight="1" x14ac:dyDescent="0.25">
      <c r="B376" s="30" t="s">
        <v>168</v>
      </c>
      <c r="C376" s="30" t="s">
        <v>6</v>
      </c>
      <c r="D376" s="30" t="s">
        <v>10</v>
      </c>
      <c r="E376" s="30" t="s">
        <v>18</v>
      </c>
      <c r="F376" s="11"/>
      <c r="G376" s="19" t="s">
        <v>343</v>
      </c>
      <c r="H376" s="263" t="s">
        <v>23</v>
      </c>
      <c r="I376" s="21" t="s">
        <v>68</v>
      </c>
      <c r="J376" s="21" t="s">
        <v>785</v>
      </c>
      <c r="K376" s="30" t="s">
        <v>107</v>
      </c>
      <c r="L376" s="35">
        <v>7</v>
      </c>
      <c r="M376" s="22">
        <v>13.96</v>
      </c>
      <c r="N376" s="44">
        <v>44391</v>
      </c>
      <c r="O376" s="30" t="s">
        <v>115</v>
      </c>
    </row>
    <row r="377" spans="2:15" s="30" customFormat="1" ht="30" customHeight="1" x14ac:dyDescent="0.25">
      <c r="B377" s="30" t="s">
        <v>168</v>
      </c>
      <c r="C377" s="30" t="s">
        <v>6</v>
      </c>
      <c r="D377" s="30" t="s">
        <v>10</v>
      </c>
      <c r="E377" s="30" t="s">
        <v>18</v>
      </c>
      <c r="F377" s="11"/>
      <c r="G377" s="19" t="s">
        <v>343</v>
      </c>
      <c r="H377" s="263" t="s">
        <v>23</v>
      </c>
      <c r="I377" s="21" t="s">
        <v>94</v>
      </c>
      <c r="J377" s="21" t="s">
        <v>563</v>
      </c>
      <c r="K377" s="30" t="s">
        <v>107</v>
      </c>
      <c r="L377" s="35">
        <v>4</v>
      </c>
      <c r="M377" s="22">
        <v>9.1</v>
      </c>
      <c r="N377" s="44">
        <v>44391</v>
      </c>
      <c r="O377" s="30" t="s">
        <v>115</v>
      </c>
    </row>
    <row r="378" spans="2:15" s="30" customFormat="1" ht="30" customHeight="1" x14ac:dyDescent="0.25">
      <c r="B378" s="30" t="s">
        <v>168</v>
      </c>
      <c r="C378" s="30" t="s">
        <v>6</v>
      </c>
      <c r="D378" s="30" t="s">
        <v>10</v>
      </c>
      <c r="E378" s="30" t="s">
        <v>18</v>
      </c>
      <c r="F378" s="11"/>
      <c r="G378" s="19" t="s">
        <v>343</v>
      </c>
      <c r="H378" s="263" t="s">
        <v>398</v>
      </c>
      <c r="I378" s="21" t="s">
        <v>68</v>
      </c>
      <c r="J378" s="21" t="s">
        <v>806</v>
      </c>
      <c r="K378" s="30" t="s">
        <v>94</v>
      </c>
      <c r="L378" s="35">
        <v>1</v>
      </c>
      <c r="M378" s="22">
        <v>3.49</v>
      </c>
      <c r="N378" s="44">
        <v>44391</v>
      </c>
      <c r="O378" s="30" t="s">
        <v>115</v>
      </c>
    </row>
    <row r="379" spans="2:15" s="30" customFormat="1" ht="30" customHeight="1" x14ac:dyDescent="0.25">
      <c r="B379" s="30" t="s">
        <v>166</v>
      </c>
      <c r="C379" s="30" t="s">
        <v>6</v>
      </c>
      <c r="D379" s="30" t="s">
        <v>10</v>
      </c>
      <c r="E379" s="30" t="s">
        <v>18</v>
      </c>
      <c r="F379" s="11"/>
      <c r="G379" s="19" t="s">
        <v>343</v>
      </c>
      <c r="H379" s="263" t="s">
        <v>397</v>
      </c>
      <c r="I379" s="21" t="s">
        <v>70</v>
      </c>
      <c r="J379" s="21" t="s">
        <v>460</v>
      </c>
      <c r="K379" s="30" t="s">
        <v>91</v>
      </c>
      <c r="L379" s="35">
        <v>22</v>
      </c>
      <c r="M379" s="22">
        <v>90.9</v>
      </c>
      <c r="N379" s="44">
        <v>44391</v>
      </c>
      <c r="O379" s="30" t="s">
        <v>115</v>
      </c>
    </row>
    <row r="380" spans="2:15" s="30" customFormat="1" ht="30" customHeight="1" x14ac:dyDescent="0.25">
      <c r="B380" s="30" t="s">
        <v>166</v>
      </c>
      <c r="C380" s="30" t="s">
        <v>6</v>
      </c>
      <c r="D380" s="30" t="s">
        <v>10</v>
      </c>
      <c r="E380" s="30" t="s">
        <v>18</v>
      </c>
      <c r="F380" s="11"/>
      <c r="G380" s="19" t="s">
        <v>343</v>
      </c>
      <c r="H380" s="263" t="s">
        <v>397</v>
      </c>
      <c r="I380" s="21" t="s">
        <v>70</v>
      </c>
      <c r="J380" s="21" t="s">
        <v>379</v>
      </c>
      <c r="K380" s="30" t="s">
        <v>107</v>
      </c>
      <c r="L380" s="35">
        <v>4</v>
      </c>
      <c r="M380" s="22">
        <v>15.84</v>
      </c>
      <c r="N380" s="44">
        <v>44391</v>
      </c>
      <c r="O380" s="30" t="s">
        <v>115</v>
      </c>
    </row>
    <row r="381" spans="2:15" s="30" customFormat="1" ht="30" customHeight="1" x14ac:dyDescent="0.25">
      <c r="B381" s="30" t="s">
        <v>166</v>
      </c>
      <c r="C381" s="30" t="s">
        <v>6</v>
      </c>
      <c r="D381" s="30" t="s">
        <v>10</v>
      </c>
      <c r="E381" s="30" t="s">
        <v>18</v>
      </c>
      <c r="F381" s="11"/>
      <c r="G381" s="19" t="s">
        <v>343</v>
      </c>
      <c r="H381" s="263" t="s">
        <v>397</v>
      </c>
      <c r="I381" s="21" t="s">
        <v>70</v>
      </c>
      <c r="J381" s="21" t="s">
        <v>380</v>
      </c>
      <c r="K381" s="30" t="s">
        <v>91</v>
      </c>
      <c r="L381" s="35">
        <v>9</v>
      </c>
      <c r="M381" s="22">
        <v>39.42</v>
      </c>
      <c r="N381" s="44">
        <v>44391</v>
      </c>
      <c r="O381" s="30" t="s">
        <v>115</v>
      </c>
    </row>
    <row r="382" spans="2:15" s="30" customFormat="1" ht="30" customHeight="1" x14ac:dyDescent="0.25">
      <c r="B382" s="30" t="s">
        <v>168</v>
      </c>
      <c r="C382" s="30" t="s">
        <v>6</v>
      </c>
      <c r="D382" s="30" t="s">
        <v>10</v>
      </c>
      <c r="E382" s="30" t="s">
        <v>18</v>
      </c>
      <c r="F382" s="11"/>
      <c r="G382" s="19" t="s">
        <v>343</v>
      </c>
      <c r="H382" s="263" t="s">
        <v>389</v>
      </c>
      <c r="I382" s="21" t="s">
        <v>70</v>
      </c>
      <c r="J382" s="21" t="s">
        <v>494</v>
      </c>
      <c r="K382" s="30" t="s">
        <v>91</v>
      </c>
      <c r="L382" s="35">
        <v>2</v>
      </c>
      <c r="M382" s="22">
        <v>19.41</v>
      </c>
      <c r="N382" s="44">
        <v>44391</v>
      </c>
      <c r="O382" s="30" t="s">
        <v>115</v>
      </c>
    </row>
    <row r="383" spans="2:15" s="30" customFormat="1" ht="30" customHeight="1" x14ac:dyDescent="0.25">
      <c r="B383" s="30" t="s">
        <v>168</v>
      </c>
      <c r="C383" s="30" t="s">
        <v>6</v>
      </c>
      <c r="D383" s="30" t="s">
        <v>10</v>
      </c>
      <c r="E383" s="30" t="s">
        <v>18</v>
      </c>
      <c r="F383" s="11"/>
      <c r="G383" s="19" t="s">
        <v>343</v>
      </c>
      <c r="H383" s="263" t="s">
        <v>390</v>
      </c>
      <c r="I383" s="21" t="s">
        <v>38</v>
      </c>
      <c r="J383" s="21" t="s">
        <v>497</v>
      </c>
      <c r="K383" s="21" t="s">
        <v>94</v>
      </c>
      <c r="L383" s="35">
        <v>3</v>
      </c>
      <c r="M383" s="34">
        <v>65.25</v>
      </c>
      <c r="N383" s="48"/>
    </row>
    <row r="384" spans="2:15" s="30" customFormat="1" ht="30" customHeight="1" x14ac:dyDescent="0.25">
      <c r="B384" s="30" t="s">
        <v>168</v>
      </c>
      <c r="C384" s="30" t="s">
        <v>6</v>
      </c>
      <c r="D384" s="30" t="s">
        <v>10</v>
      </c>
      <c r="E384" s="30" t="s">
        <v>18</v>
      </c>
      <c r="F384" s="11"/>
      <c r="G384" s="19" t="s">
        <v>343</v>
      </c>
      <c r="H384" s="263" t="s">
        <v>390</v>
      </c>
      <c r="I384" s="21" t="s">
        <v>35</v>
      </c>
      <c r="J384" s="21" t="s">
        <v>496</v>
      </c>
      <c r="K384" s="21" t="s">
        <v>94</v>
      </c>
      <c r="L384" s="35">
        <v>0</v>
      </c>
      <c r="M384" s="34">
        <v>14.62</v>
      </c>
      <c r="N384" s="44">
        <v>44391</v>
      </c>
      <c r="O384" s="30" t="s">
        <v>115</v>
      </c>
    </row>
    <row r="385" spans="2:15" s="30" customFormat="1" ht="30" customHeight="1" x14ac:dyDescent="0.25">
      <c r="B385" s="30" t="s">
        <v>168</v>
      </c>
      <c r="C385" s="30" t="s">
        <v>6</v>
      </c>
      <c r="D385" s="30" t="s">
        <v>10</v>
      </c>
      <c r="E385" s="30" t="s">
        <v>18</v>
      </c>
      <c r="F385" s="11"/>
      <c r="G385" s="19" t="s">
        <v>343</v>
      </c>
      <c r="H385" s="263" t="s">
        <v>389</v>
      </c>
      <c r="I385" s="21" t="s">
        <v>35</v>
      </c>
      <c r="J385" s="21" t="s">
        <v>495</v>
      </c>
      <c r="K385" s="21" t="s">
        <v>94</v>
      </c>
      <c r="L385" s="35">
        <v>1</v>
      </c>
      <c r="M385" s="34">
        <v>12.15</v>
      </c>
      <c r="N385" s="44">
        <v>44391</v>
      </c>
      <c r="O385" s="30" t="s">
        <v>115</v>
      </c>
    </row>
    <row r="386" spans="2:15" s="30" customFormat="1" ht="27" customHeight="1" x14ac:dyDescent="0.25">
      <c r="B386" s="30" t="s">
        <v>168</v>
      </c>
      <c r="C386" s="30" t="s">
        <v>6</v>
      </c>
      <c r="D386" s="30" t="s">
        <v>10</v>
      </c>
      <c r="E386" s="30" t="s">
        <v>18</v>
      </c>
      <c r="F386" s="11"/>
      <c r="G386" s="19" t="s">
        <v>343</v>
      </c>
      <c r="H386" s="263" t="s">
        <v>390</v>
      </c>
      <c r="I386" s="21" t="s">
        <v>38</v>
      </c>
      <c r="J386" s="21" t="s">
        <v>408</v>
      </c>
      <c r="K386" s="30" t="s">
        <v>94</v>
      </c>
      <c r="L386" s="35">
        <v>0</v>
      </c>
      <c r="M386" s="22">
        <v>11.24</v>
      </c>
      <c r="N386" s="44">
        <v>44391</v>
      </c>
      <c r="O386" s="30" t="s">
        <v>114</v>
      </c>
    </row>
    <row r="387" spans="2:15" s="30" customFormat="1" ht="26.25" customHeight="1" x14ac:dyDescent="0.25">
      <c r="B387" s="30" t="s">
        <v>170</v>
      </c>
      <c r="C387" s="30" t="s">
        <v>6</v>
      </c>
      <c r="D387" s="30" t="s">
        <v>10</v>
      </c>
      <c r="E387" s="30" t="s">
        <v>18</v>
      </c>
      <c r="F387" s="11"/>
      <c r="G387" s="19" t="s">
        <v>343</v>
      </c>
      <c r="H387" s="263" t="s">
        <v>394</v>
      </c>
      <c r="I387" s="21" t="s">
        <v>68</v>
      </c>
      <c r="J387" s="21" t="s">
        <v>275</v>
      </c>
      <c r="K387" s="30" t="s">
        <v>94</v>
      </c>
      <c r="L387" s="35">
        <v>0</v>
      </c>
      <c r="M387" s="22">
        <v>132</v>
      </c>
      <c r="N387" s="44">
        <v>44391</v>
      </c>
      <c r="O387" s="30" t="s">
        <v>115</v>
      </c>
    </row>
    <row r="388" spans="2:15" s="30" customFormat="1" ht="26.25" customHeight="1" x14ac:dyDescent="0.25">
      <c r="B388" s="30" t="s">
        <v>168</v>
      </c>
      <c r="C388" s="30" t="s">
        <v>6</v>
      </c>
      <c r="D388" s="30" t="s">
        <v>10</v>
      </c>
      <c r="E388" s="30" t="s">
        <v>18</v>
      </c>
      <c r="F388" s="11"/>
      <c r="G388" s="19" t="s">
        <v>343</v>
      </c>
      <c r="H388" s="263" t="s">
        <v>389</v>
      </c>
      <c r="I388" s="21" t="s">
        <v>35</v>
      </c>
      <c r="J388" s="21" t="s">
        <v>240</v>
      </c>
      <c r="K388" s="30" t="s">
        <v>94</v>
      </c>
      <c r="L388" s="35">
        <v>0</v>
      </c>
      <c r="M388" s="22">
        <v>47.69</v>
      </c>
      <c r="N388" s="44">
        <v>44391</v>
      </c>
      <c r="O388" s="30" t="s">
        <v>115</v>
      </c>
    </row>
    <row r="389" spans="2:15" s="30" customFormat="1" ht="26.25" customHeight="1" x14ac:dyDescent="0.25">
      <c r="B389" s="30" t="s">
        <v>168</v>
      </c>
      <c r="C389" s="30" t="s">
        <v>6</v>
      </c>
      <c r="D389" s="30" t="s">
        <v>10</v>
      </c>
      <c r="E389" s="30" t="s">
        <v>18</v>
      </c>
      <c r="F389" s="11"/>
      <c r="G389" s="19" t="s">
        <v>343</v>
      </c>
      <c r="H389" s="263" t="s">
        <v>389</v>
      </c>
      <c r="I389" s="21" t="s">
        <v>38</v>
      </c>
      <c r="J389" s="21" t="s">
        <v>938</v>
      </c>
      <c r="K389" s="30" t="s">
        <v>107</v>
      </c>
      <c r="L389" s="35">
        <v>2</v>
      </c>
      <c r="M389" s="22">
        <v>10.64</v>
      </c>
      <c r="N389" s="44">
        <v>44391</v>
      </c>
      <c r="O389" s="30" t="s">
        <v>115</v>
      </c>
    </row>
    <row r="390" spans="2:15" s="30" customFormat="1" ht="26.25" customHeight="1" x14ac:dyDescent="0.25">
      <c r="B390" s="30" t="s">
        <v>170</v>
      </c>
      <c r="C390" s="30" t="s">
        <v>6</v>
      </c>
      <c r="D390" s="30" t="s">
        <v>10</v>
      </c>
      <c r="E390" s="30" t="s">
        <v>18</v>
      </c>
      <c r="F390" s="11"/>
      <c r="G390" s="30">
        <v>1</v>
      </c>
      <c r="H390" s="263" t="s">
        <v>394</v>
      </c>
      <c r="I390" s="21" t="s">
        <v>68</v>
      </c>
      <c r="J390" s="21" t="s">
        <v>498</v>
      </c>
      <c r="K390" s="30" t="s">
        <v>94</v>
      </c>
      <c r="L390" s="35">
        <v>0</v>
      </c>
      <c r="M390" s="22">
        <v>36</v>
      </c>
      <c r="N390" s="44">
        <v>44391</v>
      </c>
      <c r="O390" s="30" t="s">
        <v>114</v>
      </c>
    </row>
    <row r="391" spans="2:15" s="30" customFormat="1" ht="26.25" customHeight="1" x14ac:dyDescent="0.25">
      <c r="B391" s="30" t="s">
        <v>168</v>
      </c>
      <c r="C391" s="30" t="s">
        <v>6</v>
      </c>
      <c r="D391" s="30" t="s">
        <v>10</v>
      </c>
      <c r="E391" s="30" t="s">
        <v>18</v>
      </c>
      <c r="F391" s="11"/>
      <c r="G391" s="30">
        <v>1</v>
      </c>
      <c r="H391" s="263" t="s">
        <v>23</v>
      </c>
      <c r="I391" s="21" t="s">
        <v>50</v>
      </c>
      <c r="J391" s="21" t="s">
        <v>381</v>
      </c>
      <c r="K391" s="30" t="s">
        <v>107</v>
      </c>
      <c r="L391" s="35">
        <v>10</v>
      </c>
      <c r="M391" s="22">
        <v>80.52</v>
      </c>
      <c r="N391" s="44">
        <v>44391</v>
      </c>
      <c r="O391" s="30" t="s">
        <v>114</v>
      </c>
    </row>
    <row r="392" spans="2:15" s="30" customFormat="1" ht="26.25" customHeight="1" x14ac:dyDescent="0.25">
      <c r="B392" s="30" t="s">
        <v>170</v>
      </c>
      <c r="C392" s="30" t="s">
        <v>6</v>
      </c>
      <c r="D392" s="30" t="s">
        <v>10</v>
      </c>
      <c r="E392" s="30" t="s">
        <v>18</v>
      </c>
      <c r="F392" s="11"/>
      <c r="G392" s="30">
        <v>1</v>
      </c>
      <c r="H392" s="263" t="s">
        <v>394</v>
      </c>
      <c r="I392" s="21" t="s">
        <v>68</v>
      </c>
      <c r="J392" s="21" t="s">
        <v>499</v>
      </c>
      <c r="K392" s="30" t="s">
        <v>94</v>
      </c>
      <c r="L392" s="35">
        <v>45</v>
      </c>
      <c r="M392" s="22">
        <v>135.34</v>
      </c>
      <c r="N392" s="44">
        <v>44391</v>
      </c>
      <c r="O392" s="30" t="s">
        <v>114</v>
      </c>
    </row>
    <row r="393" spans="2:15" s="30" customFormat="1" ht="26.25" customHeight="1" x14ac:dyDescent="0.25">
      <c r="B393" s="30" t="s">
        <v>169</v>
      </c>
      <c r="C393" s="30" t="s">
        <v>6</v>
      </c>
      <c r="D393" s="30" t="s">
        <v>10</v>
      </c>
      <c r="E393" s="30" t="s">
        <v>18</v>
      </c>
      <c r="F393" s="11"/>
      <c r="G393" s="30">
        <v>1</v>
      </c>
      <c r="H393" s="263" t="s">
        <v>399</v>
      </c>
      <c r="I393" s="21" t="s">
        <v>68</v>
      </c>
      <c r="J393" s="21" t="s">
        <v>276</v>
      </c>
      <c r="K393" s="30" t="s">
        <v>94</v>
      </c>
      <c r="L393" s="35">
        <v>3</v>
      </c>
      <c r="M393" s="22">
        <v>19.68</v>
      </c>
      <c r="N393" s="44">
        <v>44391</v>
      </c>
      <c r="O393" s="30" t="s">
        <v>114</v>
      </c>
    </row>
    <row r="394" spans="2:15" s="30" customFormat="1" ht="26.25" customHeight="1" x14ac:dyDescent="0.25">
      <c r="B394" s="30" t="s">
        <v>169</v>
      </c>
      <c r="C394" s="30" t="s">
        <v>6</v>
      </c>
      <c r="D394" s="30" t="s">
        <v>10</v>
      </c>
      <c r="E394" s="30" t="s">
        <v>18</v>
      </c>
      <c r="F394" s="11"/>
      <c r="G394" s="30">
        <v>1</v>
      </c>
      <c r="H394" s="263" t="s">
        <v>399</v>
      </c>
      <c r="I394" s="21" t="s">
        <v>68</v>
      </c>
      <c r="J394" s="21" t="s">
        <v>277</v>
      </c>
      <c r="K394" s="30" t="s">
        <v>94</v>
      </c>
      <c r="L394" s="35">
        <v>4</v>
      </c>
      <c r="M394" s="22">
        <v>17.62</v>
      </c>
      <c r="N394" s="44">
        <v>44392</v>
      </c>
      <c r="O394" s="30" t="s">
        <v>114</v>
      </c>
    </row>
    <row r="395" spans="2:15" s="30" customFormat="1" ht="26.25" customHeight="1" x14ac:dyDescent="0.25">
      <c r="B395" s="30" t="s">
        <v>169</v>
      </c>
      <c r="C395" s="30" t="s">
        <v>6</v>
      </c>
      <c r="D395" s="30" t="s">
        <v>10</v>
      </c>
      <c r="E395" s="30" t="s">
        <v>18</v>
      </c>
      <c r="F395" s="11"/>
      <c r="G395" s="30">
        <v>1</v>
      </c>
      <c r="H395" s="263" t="s">
        <v>399</v>
      </c>
      <c r="I395" s="21" t="s">
        <v>68</v>
      </c>
      <c r="J395" s="21" t="s">
        <v>278</v>
      </c>
      <c r="K395" s="30" t="s">
        <v>94</v>
      </c>
      <c r="L395" s="35">
        <v>1</v>
      </c>
      <c r="M395" s="22">
        <v>4.1500000000000004</v>
      </c>
      <c r="N395" s="44">
        <v>44392</v>
      </c>
      <c r="O395" s="30" t="s">
        <v>114</v>
      </c>
    </row>
    <row r="396" spans="2:15" s="30" customFormat="1" ht="26.25" customHeight="1" x14ac:dyDescent="0.25">
      <c r="B396" s="30" t="s">
        <v>168</v>
      </c>
      <c r="C396" s="30" t="s">
        <v>6</v>
      </c>
      <c r="D396" s="30" t="s">
        <v>10</v>
      </c>
      <c r="E396" s="30" t="s">
        <v>18</v>
      </c>
      <c r="F396" s="11"/>
      <c r="G396" s="30">
        <v>1</v>
      </c>
      <c r="H396" s="263" t="s">
        <v>389</v>
      </c>
      <c r="I396" s="21" t="s">
        <v>68</v>
      </c>
      <c r="J396" s="21" t="s">
        <v>378</v>
      </c>
      <c r="K396" s="30" t="s">
        <v>94</v>
      </c>
      <c r="L396" s="35">
        <v>0</v>
      </c>
      <c r="M396" s="22">
        <v>1.71</v>
      </c>
      <c r="N396" s="44"/>
      <c r="O396" s="30" t="s">
        <v>114</v>
      </c>
    </row>
    <row r="397" spans="2:15" s="30" customFormat="1" ht="26.25" customHeight="1" x14ac:dyDescent="0.25">
      <c r="B397" s="30" t="s">
        <v>170</v>
      </c>
      <c r="C397" s="30" t="s">
        <v>6</v>
      </c>
      <c r="D397" s="30" t="s">
        <v>10</v>
      </c>
      <c r="E397" s="30" t="s">
        <v>18</v>
      </c>
      <c r="F397" s="11"/>
      <c r="G397" s="30">
        <v>1</v>
      </c>
      <c r="H397" s="263" t="s">
        <v>394</v>
      </c>
      <c r="I397" s="21" t="s">
        <v>68</v>
      </c>
      <c r="J397" s="21" t="s">
        <v>501</v>
      </c>
      <c r="K397" s="30" t="s">
        <v>94</v>
      </c>
      <c r="L397" s="35">
        <v>28</v>
      </c>
      <c r="M397" s="22">
        <v>56.51</v>
      </c>
      <c r="N397" s="44">
        <v>44392</v>
      </c>
      <c r="O397" s="30" t="s">
        <v>114</v>
      </c>
    </row>
    <row r="398" spans="2:15" s="30" customFormat="1" ht="26.25" customHeight="1" x14ac:dyDescent="0.25">
      <c r="B398" s="30" t="s">
        <v>170</v>
      </c>
      <c r="C398" s="30" t="s">
        <v>6</v>
      </c>
      <c r="D398" s="30" t="s">
        <v>10</v>
      </c>
      <c r="E398" s="30" t="s">
        <v>18</v>
      </c>
      <c r="F398" s="11"/>
      <c r="G398" s="30">
        <v>1</v>
      </c>
      <c r="H398" s="263" t="s">
        <v>394</v>
      </c>
      <c r="I398" s="21" t="s">
        <v>68</v>
      </c>
      <c r="J398" s="21" t="s">
        <v>502</v>
      </c>
      <c r="K398" s="30" t="s">
        <v>94</v>
      </c>
      <c r="L398" s="35">
        <v>0</v>
      </c>
      <c r="M398" s="22">
        <v>72.94</v>
      </c>
      <c r="N398" s="44">
        <v>44392</v>
      </c>
      <c r="O398" s="30" t="s">
        <v>114</v>
      </c>
    </row>
    <row r="399" spans="2:15" s="30" customFormat="1" ht="26.25" customHeight="1" x14ac:dyDescent="0.25">
      <c r="B399" s="30" t="s">
        <v>168</v>
      </c>
      <c r="C399" s="30" t="s">
        <v>6</v>
      </c>
      <c r="D399" s="30" t="s">
        <v>10</v>
      </c>
      <c r="E399" s="30" t="s">
        <v>18</v>
      </c>
      <c r="F399" s="11"/>
      <c r="G399" s="30">
        <v>1</v>
      </c>
      <c r="H399" s="263" t="s">
        <v>23</v>
      </c>
      <c r="I399" s="21" t="s">
        <v>49</v>
      </c>
      <c r="J399" s="21" t="s">
        <v>492</v>
      </c>
      <c r="K399" s="30" t="s">
        <v>107</v>
      </c>
      <c r="L399" s="35">
        <v>5</v>
      </c>
      <c r="M399" s="22">
        <v>62.29</v>
      </c>
      <c r="N399" s="44">
        <v>44392</v>
      </c>
      <c r="O399" s="30" t="s">
        <v>114</v>
      </c>
    </row>
    <row r="400" spans="2:15" s="30" customFormat="1" ht="30" customHeight="1" x14ac:dyDescent="0.25">
      <c r="B400" s="30" t="s">
        <v>170</v>
      </c>
      <c r="C400" s="30" t="s">
        <v>6</v>
      </c>
      <c r="D400" s="30" t="s">
        <v>10</v>
      </c>
      <c r="E400" s="30" t="s">
        <v>18</v>
      </c>
      <c r="F400" s="11"/>
      <c r="G400" s="30">
        <v>1</v>
      </c>
      <c r="H400" s="263" t="s">
        <v>394</v>
      </c>
      <c r="I400" s="21" t="s">
        <v>68</v>
      </c>
      <c r="J400" s="21" t="s">
        <v>279</v>
      </c>
      <c r="K400" s="30" t="s">
        <v>94</v>
      </c>
      <c r="L400" s="35">
        <v>23</v>
      </c>
      <c r="M400" s="22">
        <v>71.56</v>
      </c>
      <c r="N400" s="44">
        <v>44392</v>
      </c>
      <c r="O400" s="30" t="s">
        <v>114</v>
      </c>
    </row>
    <row r="401" spans="2:15" s="30" customFormat="1" ht="30.75" customHeight="1" x14ac:dyDescent="0.25">
      <c r="B401" s="30" t="s">
        <v>170</v>
      </c>
      <c r="C401" s="30" t="s">
        <v>6</v>
      </c>
      <c r="D401" s="30" t="s">
        <v>10</v>
      </c>
      <c r="E401" s="30" t="s">
        <v>18</v>
      </c>
      <c r="F401" s="11"/>
      <c r="G401" s="19">
        <v>1</v>
      </c>
      <c r="H401" s="263" t="s">
        <v>394</v>
      </c>
      <c r="I401" s="21" t="s">
        <v>68</v>
      </c>
      <c r="J401" s="21" t="s">
        <v>507</v>
      </c>
      <c r="K401" s="21" t="s">
        <v>107</v>
      </c>
      <c r="L401" s="35">
        <v>0</v>
      </c>
      <c r="M401" s="34">
        <v>17.82</v>
      </c>
      <c r="N401" s="44">
        <v>44392</v>
      </c>
      <c r="O401" s="30" t="s">
        <v>114</v>
      </c>
    </row>
    <row r="402" spans="2:15" s="30" customFormat="1" ht="30.75" customHeight="1" x14ac:dyDescent="0.25">
      <c r="B402" s="30" t="s">
        <v>170</v>
      </c>
      <c r="C402" s="30" t="s">
        <v>6</v>
      </c>
      <c r="D402" s="30" t="s">
        <v>10</v>
      </c>
      <c r="E402" s="30" t="s">
        <v>18</v>
      </c>
      <c r="F402" s="11"/>
      <c r="G402" s="19">
        <v>1</v>
      </c>
      <c r="H402" s="263" t="s">
        <v>394</v>
      </c>
      <c r="I402" s="21" t="s">
        <v>68</v>
      </c>
      <c r="J402" s="21" t="s">
        <v>503</v>
      </c>
      <c r="K402" s="21" t="s">
        <v>107</v>
      </c>
      <c r="L402" s="35">
        <v>0</v>
      </c>
      <c r="M402" s="34">
        <v>15.38</v>
      </c>
      <c r="N402" s="44">
        <v>44392</v>
      </c>
      <c r="O402" s="30" t="s">
        <v>114</v>
      </c>
    </row>
    <row r="403" spans="2:15" s="30" customFormat="1" ht="27" customHeight="1" x14ac:dyDescent="0.25">
      <c r="B403" s="30" t="s">
        <v>170</v>
      </c>
      <c r="C403" s="30" t="s">
        <v>6</v>
      </c>
      <c r="D403" s="30" t="s">
        <v>10</v>
      </c>
      <c r="E403" s="30" t="s">
        <v>18</v>
      </c>
      <c r="F403" s="11"/>
      <c r="G403" s="30">
        <v>1</v>
      </c>
      <c r="H403" s="263" t="s">
        <v>394</v>
      </c>
      <c r="I403" s="21" t="s">
        <v>68</v>
      </c>
      <c r="J403" s="21" t="s">
        <v>504</v>
      </c>
      <c r="K403" s="30" t="s">
        <v>107</v>
      </c>
      <c r="L403" s="35">
        <v>0</v>
      </c>
      <c r="M403" s="22">
        <v>92.95</v>
      </c>
      <c r="N403" s="44">
        <v>44392</v>
      </c>
      <c r="O403" s="30" t="s">
        <v>114</v>
      </c>
    </row>
    <row r="404" spans="2:15" s="30" customFormat="1" ht="29.25" customHeight="1" x14ac:dyDescent="0.25">
      <c r="B404" s="30" t="s">
        <v>170</v>
      </c>
      <c r="C404" s="30" t="s">
        <v>6</v>
      </c>
      <c r="D404" s="30" t="s">
        <v>10</v>
      </c>
      <c r="E404" s="30" t="s">
        <v>18</v>
      </c>
      <c r="F404" s="11"/>
      <c r="G404" s="30">
        <v>1</v>
      </c>
      <c r="H404" s="263" t="s">
        <v>394</v>
      </c>
      <c r="I404" s="21" t="s">
        <v>68</v>
      </c>
      <c r="J404" s="21" t="s">
        <v>505</v>
      </c>
      <c r="K404" s="30" t="s">
        <v>107</v>
      </c>
      <c r="L404" s="35">
        <v>0</v>
      </c>
      <c r="M404" s="22">
        <v>33.86</v>
      </c>
      <c r="N404" s="44">
        <v>44392</v>
      </c>
      <c r="O404" s="30" t="s">
        <v>114</v>
      </c>
    </row>
    <row r="405" spans="2:15" s="30" customFormat="1" ht="29.25" customHeight="1" x14ac:dyDescent="0.25">
      <c r="B405" s="30" t="s">
        <v>170</v>
      </c>
      <c r="C405" s="30" t="s">
        <v>6</v>
      </c>
      <c r="D405" s="30" t="s">
        <v>10</v>
      </c>
      <c r="E405" s="30" t="s">
        <v>18</v>
      </c>
      <c r="F405" s="11"/>
      <c r="G405" s="19">
        <v>1</v>
      </c>
      <c r="H405" s="263" t="s">
        <v>389</v>
      </c>
      <c r="I405" s="21" t="s">
        <v>35</v>
      </c>
      <c r="J405" s="21" t="s">
        <v>506</v>
      </c>
      <c r="K405" s="21" t="s">
        <v>107</v>
      </c>
      <c r="L405" s="35">
        <v>0</v>
      </c>
      <c r="M405" s="34">
        <v>46.83</v>
      </c>
      <c r="N405" s="44">
        <v>44392</v>
      </c>
    </row>
    <row r="406" spans="2:15" s="30" customFormat="1" ht="29.25" customHeight="1" x14ac:dyDescent="0.25">
      <c r="B406" s="30" t="s">
        <v>170</v>
      </c>
      <c r="C406" s="30" t="s">
        <v>6</v>
      </c>
      <c r="D406" s="30" t="s">
        <v>10</v>
      </c>
      <c r="E406" s="30" t="s">
        <v>18</v>
      </c>
      <c r="F406" s="11"/>
      <c r="G406" s="30">
        <v>1</v>
      </c>
      <c r="H406" s="263" t="s">
        <v>394</v>
      </c>
      <c r="I406" s="21" t="s">
        <v>68</v>
      </c>
      <c r="J406" s="21" t="s">
        <v>280</v>
      </c>
      <c r="K406" s="30" t="s">
        <v>107</v>
      </c>
      <c r="L406" s="35">
        <v>29</v>
      </c>
      <c r="M406" s="22">
        <v>87.39</v>
      </c>
      <c r="N406" s="44">
        <v>44392</v>
      </c>
      <c r="O406" s="30" t="s">
        <v>114</v>
      </c>
    </row>
    <row r="407" spans="2:15" s="30" customFormat="1" ht="15" customHeight="1" x14ac:dyDescent="0.25">
      <c r="B407" s="30" t="s">
        <v>167</v>
      </c>
      <c r="C407" s="30" t="s">
        <v>6</v>
      </c>
      <c r="D407" s="30" t="s">
        <v>10</v>
      </c>
      <c r="E407" s="30" t="s">
        <v>18</v>
      </c>
      <c r="F407" s="11"/>
      <c r="G407" s="30">
        <v>1</v>
      </c>
      <c r="H407" s="263" t="s">
        <v>22</v>
      </c>
      <c r="I407" s="21" t="s">
        <v>32</v>
      </c>
      <c r="J407" s="21" t="s">
        <v>461</v>
      </c>
      <c r="K407" s="30" t="s">
        <v>107</v>
      </c>
      <c r="L407" s="35">
        <v>268</v>
      </c>
      <c r="M407" s="22">
        <v>382.5</v>
      </c>
      <c r="N407" s="44">
        <v>44392</v>
      </c>
      <c r="O407" s="30" t="s">
        <v>114</v>
      </c>
    </row>
    <row r="408" spans="2:15" s="30" customFormat="1" ht="15" customHeight="1" x14ac:dyDescent="0.25">
      <c r="B408" s="30" t="s">
        <v>167</v>
      </c>
      <c r="C408" s="30" t="s">
        <v>6</v>
      </c>
      <c r="D408" s="30" t="s">
        <v>10</v>
      </c>
      <c r="E408" s="30" t="s">
        <v>18</v>
      </c>
      <c r="F408" s="11"/>
      <c r="G408" s="30">
        <v>1</v>
      </c>
      <c r="H408" s="263" t="s">
        <v>22</v>
      </c>
      <c r="I408" s="21" t="s">
        <v>32</v>
      </c>
      <c r="J408" s="21" t="s">
        <v>424</v>
      </c>
      <c r="K408" s="30" t="s">
        <v>107</v>
      </c>
      <c r="L408" s="35">
        <v>140</v>
      </c>
      <c r="M408" s="22">
        <v>154.08000000000001</v>
      </c>
      <c r="N408" s="44">
        <v>44392</v>
      </c>
      <c r="O408" s="30" t="s">
        <v>114</v>
      </c>
    </row>
    <row r="409" spans="2:15" s="30" customFormat="1" ht="28.5" customHeight="1" x14ac:dyDescent="0.25">
      <c r="B409" s="30" t="s">
        <v>168</v>
      </c>
      <c r="C409" s="30" t="s">
        <v>6</v>
      </c>
      <c r="D409" s="30" t="s">
        <v>10</v>
      </c>
      <c r="E409" s="30" t="s">
        <v>18</v>
      </c>
      <c r="F409" s="11"/>
      <c r="G409" s="19" t="s">
        <v>344</v>
      </c>
      <c r="H409" s="263" t="s">
        <v>23</v>
      </c>
      <c r="I409" s="21"/>
      <c r="J409" s="21" t="s">
        <v>825</v>
      </c>
      <c r="K409" s="30" t="s">
        <v>90</v>
      </c>
      <c r="L409" s="35">
        <v>2</v>
      </c>
      <c r="M409" s="22">
        <v>19.940000000000001</v>
      </c>
      <c r="N409" s="44">
        <v>44392</v>
      </c>
      <c r="O409" s="30" t="s">
        <v>115</v>
      </c>
    </row>
    <row r="410" spans="2:15" s="30" customFormat="1" ht="30" customHeight="1" x14ac:dyDescent="0.25">
      <c r="B410" s="30" t="s">
        <v>168</v>
      </c>
      <c r="C410" s="30" t="s">
        <v>6</v>
      </c>
      <c r="D410" s="30" t="s">
        <v>10</v>
      </c>
      <c r="E410" s="30" t="s">
        <v>18</v>
      </c>
      <c r="F410" s="11"/>
      <c r="G410" s="19" t="s">
        <v>344</v>
      </c>
      <c r="H410" s="263" t="s">
        <v>23</v>
      </c>
      <c r="I410" s="21" t="s">
        <v>67</v>
      </c>
      <c r="J410" s="21" t="s">
        <v>781</v>
      </c>
      <c r="K410" s="30" t="s">
        <v>90</v>
      </c>
      <c r="L410" s="35">
        <v>5</v>
      </c>
      <c r="M410" s="22">
        <v>17.96</v>
      </c>
      <c r="N410" s="44">
        <v>44392</v>
      </c>
      <c r="O410" s="30" t="s">
        <v>115</v>
      </c>
    </row>
    <row r="411" spans="2:15" s="30" customFormat="1" ht="15" customHeight="1" x14ac:dyDescent="0.25">
      <c r="B411" s="30" t="s">
        <v>168</v>
      </c>
      <c r="C411" s="30" t="s">
        <v>6</v>
      </c>
      <c r="D411" s="30" t="s">
        <v>10</v>
      </c>
      <c r="E411" s="30" t="s">
        <v>18</v>
      </c>
      <c r="F411" s="11"/>
      <c r="G411" s="19" t="s">
        <v>344</v>
      </c>
      <c r="H411" s="263" t="s">
        <v>21</v>
      </c>
      <c r="I411" s="21" t="s">
        <v>67</v>
      </c>
      <c r="J411" s="21" t="s">
        <v>782</v>
      </c>
      <c r="K411" s="30" t="s">
        <v>90</v>
      </c>
      <c r="L411" s="35">
        <v>40</v>
      </c>
      <c r="M411" s="22">
        <v>87.99</v>
      </c>
      <c r="N411" s="44">
        <v>44392</v>
      </c>
      <c r="O411" s="30" t="s">
        <v>115</v>
      </c>
    </row>
    <row r="412" spans="2:15" s="30" customFormat="1" ht="30" customHeight="1" x14ac:dyDescent="0.25">
      <c r="B412" s="30" t="s">
        <v>168</v>
      </c>
      <c r="C412" s="30" t="s">
        <v>6</v>
      </c>
      <c r="D412" s="30" t="s">
        <v>10</v>
      </c>
      <c r="E412" s="30" t="s">
        <v>18</v>
      </c>
      <c r="F412" s="11"/>
      <c r="G412" s="19" t="s">
        <v>344</v>
      </c>
      <c r="H412" s="263" t="s">
        <v>390</v>
      </c>
      <c r="I412" s="21" t="s">
        <v>38</v>
      </c>
      <c r="J412" s="21" t="s">
        <v>328</v>
      </c>
      <c r="K412" s="30" t="s">
        <v>94</v>
      </c>
      <c r="L412" s="35">
        <v>0</v>
      </c>
      <c r="M412" s="22">
        <v>8.6300000000000008</v>
      </c>
      <c r="N412" s="44">
        <v>44392</v>
      </c>
      <c r="O412" s="30" t="s">
        <v>115</v>
      </c>
    </row>
    <row r="413" spans="2:15" s="30" customFormat="1" ht="29.25" customHeight="1" x14ac:dyDescent="0.25">
      <c r="B413" s="30" t="s">
        <v>168</v>
      </c>
      <c r="C413" s="30" t="s">
        <v>6</v>
      </c>
      <c r="D413" s="30" t="s">
        <v>10</v>
      </c>
      <c r="E413" s="30" t="s">
        <v>18</v>
      </c>
      <c r="F413" s="11"/>
      <c r="G413" s="19" t="s">
        <v>344</v>
      </c>
      <c r="H413" s="263" t="s">
        <v>398</v>
      </c>
      <c r="I413" s="21" t="s">
        <v>68</v>
      </c>
      <c r="J413" s="21" t="s">
        <v>354</v>
      </c>
      <c r="K413" s="30" t="s">
        <v>94</v>
      </c>
      <c r="L413" s="35">
        <v>1</v>
      </c>
      <c r="M413" s="22">
        <v>2.75</v>
      </c>
      <c r="N413" s="44">
        <v>44392</v>
      </c>
      <c r="O413" s="30" t="s">
        <v>115</v>
      </c>
    </row>
    <row r="414" spans="2:15" s="30" customFormat="1" ht="30" customHeight="1" x14ac:dyDescent="0.25">
      <c r="B414" s="30" t="s">
        <v>168</v>
      </c>
      <c r="C414" s="30" t="s">
        <v>6</v>
      </c>
      <c r="D414" s="30" t="s">
        <v>10</v>
      </c>
      <c r="E414" s="30" t="s">
        <v>18</v>
      </c>
      <c r="F414" s="11"/>
      <c r="G414" s="19" t="s">
        <v>344</v>
      </c>
      <c r="H414" s="263" t="s">
        <v>398</v>
      </c>
      <c r="I414" s="21" t="s">
        <v>68</v>
      </c>
      <c r="J414" s="21" t="s">
        <v>355</v>
      </c>
      <c r="K414" s="30" t="s">
        <v>94</v>
      </c>
      <c r="L414" s="35">
        <v>1</v>
      </c>
      <c r="M414" s="22">
        <v>2.6</v>
      </c>
      <c r="N414" s="44">
        <v>44392</v>
      </c>
      <c r="O414" s="30" t="s">
        <v>115</v>
      </c>
    </row>
    <row r="415" spans="2:15" s="30" customFormat="1" ht="29.25" customHeight="1" x14ac:dyDescent="0.25">
      <c r="B415" s="30" t="s">
        <v>168</v>
      </c>
      <c r="C415" s="30" t="s">
        <v>6</v>
      </c>
      <c r="D415" s="30" t="s">
        <v>10</v>
      </c>
      <c r="E415" s="30" t="s">
        <v>18</v>
      </c>
      <c r="F415" s="11"/>
      <c r="G415" s="19" t="s">
        <v>344</v>
      </c>
      <c r="H415" s="263" t="s">
        <v>23</v>
      </c>
      <c r="I415" s="21" t="s">
        <v>67</v>
      </c>
      <c r="J415" s="21" t="s">
        <v>826</v>
      </c>
      <c r="K415" s="30" t="s">
        <v>90</v>
      </c>
      <c r="L415" s="35">
        <v>1</v>
      </c>
      <c r="M415" s="22">
        <v>12.99</v>
      </c>
      <c r="N415" s="44">
        <v>44392</v>
      </c>
      <c r="O415" s="30" t="s">
        <v>115</v>
      </c>
    </row>
    <row r="416" spans="2:15" s="30" customFormat="1" ht="15" customHeight="1" x14ac:dyDescent="0.25">
      <c r="B416" s="30" t="s">
        <v>168</v>
      </c>
      <c r="C416" s="30" t="s">
        <v>6</v>
      </c>
      <c r="D416" s="30" t="s">
        <v>10</v>
      </c>
      <c r="E416" s="30" t="s">
        <v>18</v>
      </c>
      <c r="F416" s="11"/>
      <c r="G416" s="19" t="s">
        <v>344</v>
      </c>
      <c r="H416" s="263" t="s">
        <v>23</v>
      </c>
      <c r="I416" s="21" t="s">
        <v>41</v>
      </c>
      <c r="J416" s="250" t="s">
        <v>939</v>
      </c>
      <c r="K416" s="21" t="s">
        <v>90</v>
      </c>
      <c r="L416" s="35">
        <v>1</v>
      </c>
      <c r="M416" s="34">
        <v>13.6</v>
      </c>
      <c r="N416" s="44">
        <v>45306</v>
      </c>
      <c r="O416" s="30" t="s">
        <v>115</v>
      </c>
    </row>
    <row r="417" spans="2:15" s="30" customFormat="1" ht="30" customHeight="1" x14ac:dyDescent="0.25">
      <c r="B417" s="30" t="s">
        <v>168</v>
      </c>
      <c r="C417" s="30" t="s">
        <v>6</v>
      </c>
      <c r="D417" s="30" t="s">
        <v>10</v>
      </c>
      <c r="E417" s="30" t="s">
        <v>18</v>
      </c>
      <c r="F417" s="11"/>
      <c r="G417" s="19" t="s">
        <v>344</v>
      </c>
      <c r="H417" s="263" t="s">
        <v>23</v>
      </c>
      <c r="I417" s="21" t="s">
        <v>67</v>
      </c>
      <c r="J417" s="21" t="s">
        <v>827</v>
      </c>
      <c r="K417" s="30" t="s">
        <v>90</v>
      </c>
      <c r="L417" s="35">
        <v>1</v>
      </c>
      <c r="M417" s="22">
        <v>13.78</v>
      </c>
      <c r="N417" s="44">
        <v>44392</v>
      </c>
      <c r="O417" s="30" t="s">
        <v>115</v>
      </c>
    </row>
    <row r="418" spans="2:15" s="30" customFormat="1" ht="15" customHeight="1" x14ac:dyDescent="0.25">
      <c r="B418" s="30" t="s">
        <v>168</v>
      </c>
      <c r="C418" s="30" t="s">
        <v>6</v>
      </c>
      <c r="D418" s="30" t="s">
        <v>10</v>
      </c>
      <c r="E418" s="30" t="s">
        <v>18</v>
      </c>
      <c r="F418" s="11"/>
      <c r="G418" s="19" t="s">
        <v>344</v>
      </c>
      <c r="H418" s="263" t="s">
        <v>23</v>
      </c>
      <c r="I418" s="21" t="s">
        <v>67</v>
      </c>
      <c r="J418" s="21" t="s">
        <v>783</v>
      </c>
      <c r="K418" s="30" t="s">
        <v>107</v>
      </c>
      <c r="L418" s="35">
        <v>4</v>
      </c>
      <c r="M418" s="22">
        <v>9.14</v>
      </c>
      <c r="N418" s="44">
        <v>44392</v>
      </c>
      <c r="O418" s="30" t="s">
        <v>115</v>
      </c>
    </row>
    <row r="419" spans="2:15" s="30" customFormat="1" ht="15" customHeight="1" x14ac:dyDescent="0.25">
      <c r="B419" s="30" t="s">
        <v>168</v>
      </c>
      <c r="C419" s="30" t="s">
        <v>6</v>
      </c>
      <c r="D419" s="30" t="s">
        <v>10</v>
      </c>
      <c r="E419" s="30" t="s">
        <v>18</v>
      </c>
      <c r="F419" s="11"/>
      <c r="G419" s="19" t="s">
        <v>344</v>
      </c>
      <c r="H419" s="263" t="s">
        <v>23</v>
      </c>
      <c r="I419" s="21" t="s">
        <v>67</v>
      </c>
      <c r="J419" s="21" t="s">
        <v>824</v>
      </c>
      <c r="L419" s="35"/>
      <c r="M419" s="22">
        <v>13.76</v>
      </c>
      <c r="N419" s="44"/>
    </row>
    <row r="420" spans="2:15" s="30" customFormat="1" ht="31.5" customHeight="1" x14ac:dyDescent="0.25">
      <c r="B420" s="30" t="s">
        <v>170</v>
      </c>
      <c r="C420" s="30" t="s">
        <v>6</v>
      </c>
      <c r="D420" s="30" t="s">
        <v>10</v>
      </c>
      <c r="E420" s="30" t="s">
        <v>18</v>
      </c>
      <c r="F420" s="11"/>
      <c r="G420" s="19" t="s">
        <v>344</v>
      </c>
      <c r="H420" s="263" t="s">
        <v>21</v>
      </c>
      <c r="I420" s="21" t="s">
        <v>68</v>
      </c>
      <c r="J420" s="21" t="s">
        <v>828</v>
      </c>
      <c r="K420" s="21" t="s">
        <v>107</v>
      </c>
      <c r="L420" s="35">
        <v>0</v>
      </c>
      <c r="M420" s="34">
        <v>18.13</v>
      </c>
      <c r="N420" s="44">
        <v>44392</v>
      </c>
      <c r="O420" s="30" t="s">
        <v>114</v>
      </c>
    </row>
    <row r="421" spans="2:15" s="30" customFormat="1" ht="29.25" customHeight="1" x14ac:dyDescent="0.25">
      <c r="B421" s="30" t="s">
        <v>170</v>
      </c>
      <c r="C421" s="30" t="s">
        <v>6</v>
      </c>
      <c r="D421" s="30" t="s">
        <v>10</v>
      </c>
      <c r="E421" s="30" t="s">
        <v>18</v>
      </c>
      <c r="F421" s="11"/>
      <c r="G421" s="19" t="s">
        <v>344</v>
      </c>
      <c r="H421" s="263" t="s">
        <v>394</v>
      </c>
      <c r="I421" s="21" t="s">
        <v>68</v>
      </c>
      <c r="J421" s="21" t="s">
        <v>508</v>
      </c>
      <c r="K421" s="21" t="s">
        <v>107</v>
      </c>
      <c r="L421" s="35">
        <v>0</v>
      </c>
      <c r="M421" s="34">
        <v>15.78</v>
      </c>
      <c r="N421" s="44">
        <v>44392</v>
      </c>
      <c r="O421" s="30" t="s">
        <v>114</v>
      </c>
    </row>
    <row r="422" spans="2:15" s="30" customFormat="1" ht="30" customHeight="1" x14ac:dyDescent="0.25">
      <c r="B422" s="30" t="s">
        <v>170</v>
      </c>
      <c r="C422" s="30" t="s">
        <v>6</v>
      </c>
      <c r="D422" s="30" t="s">
        <v>10</v>
      </c>
      <c r="E422" s="30" t="s">
        <v>18</v>
      </c>
      <c r="F422" s="11"/>
      <c r="G422" s="19" t="s">
        <v>344</v>
      </c>
      <c r="H422" s="263" t="s">
        <v>394</v>
      </c>
      <c r="I422" s="21" t="s">
        <v>68</v>
      </c>
      <c r="J422" s="21" t="s">
        <v>281</v>
      </c>
      <c r="K422" s="30" t="s">
        <v>94</v>
      </c>
      <c r="L422" s="35">
        <v>0</v>
      </c>
      <c r="M422" s="22">
        <v>14.97</v>
      </c>
      <c r="N422" s="44">
        <v>44392</v>
      </c>
      <c r="O422" s="30" t="s">
        <v>115</v>
      </c>
    </row>
    <row r="423" spans="2:15" s="30" customFormat="1" ht="28.5" customHeight="1" x14ac:dyDescent="0.25">
      <c r="B423" s="30" t="s">
        <v>170</v>
      </c>
      <c r="C423" s="30" t="s">
        <v>6</v>
      </c>
      <c r="D423" s="30" t="s">
        <v>10</v>
      </c>
      <c r="E423" s="30" t="s">
        <v>18</v>
      </c>
      <c r="F423" s="11"/>
      <c r="G423" s="19" t="s">
        <v>344</v>
      </c>
      <c r="H423" s="263" t="s">
        <v>394</v>
      </c>
      <c r="I423" s="21" t="s">
        <v>68</v>
      </c>
      <c r="J423" s="21" t="s">
        <v>282</v>
      </c>
      <c r="K423" s="30" t="s">
        <v>94</v>
      </c>
      <c r="L423" s="35">
        <v>0</v>
      </c>
      <c r="M423" s="22">
        <v>67.84</v>
      </c>
      <c r="N423" s="44">
        <v>44392</v>
      </c>
      <c r="O423" s="30" t="s">
        <v>115</v>
      </c>
    </row>
    <row r="424" spans="2:15" s="30" customFormat="1" ht="30" customHeight="1" x14ac:dyDescent="0.25">
      <c r="B424" s="30" t="s">
        <v>170</v>
      </c>
      <c r="C424" s="30" t="s">
        <v>6</v>
      </c>
      <c r="D424" s="30" t="s">
        <v>10</v>
      </c>
      <c r="E424" s="30" t="s">
        <v>18</v>
      </c>
      <c r="F424" s="11"/>
      <c r="G424" s="19">
        <v>2</v>
      </c>
      <c r="H424" s="263" t="s">
        <v>391</v>
      </c>
      <c r="I424" s="21" t="s">
        <v>68</v>
      </c>
      <c r="J424" s="21" t="s">
        <v>243</v>
      </c>
      <c r="K424" s="30" t="s">
        <v>107</v>
      </c>
      <c r="L424" s="35">
        <v>0</v>
      </c>
      <c r="M424" s="22">
        <f>297-M425</f>
        <v>281.69</v>
      </c>
      <c r="N424" s="44">
        <v>45456</v>
      </c>
      <c r="O424" s="30" t="s">
        <v>114</v>
      </c>
    </row>
    <row r="425" spans="2:15" s="30" customFormat="1" ht="30" customHeight="1" x14ac:dyDescent="0.25">
      <c r="B425" s="30" t="s">
        <v>168</v>
      </c>
      <c r="C425" s="30" t="s">
        <v>6</v>
      </c>
      <c r="D425" s="30" t="s">
        <v>10</v>
      </c>
      <c r="E425" s="30" t="s">
        <v>18</v>
      </c>
      <c r="F425" s="11"/>
      <c r="G425" s="19">
        <v>2</v>
      </c>
      <c r="H425" s="262" t="s">
        <v>23</v>
      </c>
      <c r="I425" s="21" t="s">
        <v>69</v>
      </c>
      <c r="J425" s="21" t="s">
        <v>940</v>
      </c>
      <c r="K425" s="30" t="s">
        <v>107</v>
      </c>
      <c r="L425" s="35">
        <v>1</v>
      </c>
      <c r="M425" s="22">
        <v>15.31</v>
      </c>
      <c r="N425" s="44">
        <v>45456</v>
      </c>
      <c r="O425" s="30" t="s">
        <v>115</v>
      </c>
    </row>
    <row r="426" spans="2:15" s="30" customFormat="1" ht="31.5" customHeight="1" x14ac:dyDescent="0.25">
      <c r="B426" s="30" t="s">
        <v>168</v>
      </c>
      <c r="C426" s="30" t="s">
        <v>6</v>
      </c>
      <c r="D426" s="30" t="s">
        <v>10</v>
      </c>
      <c r="E426" s="30" t="s">
        <v>18</v>
      </c>
      <c r="F426" s="11"/>
      <c r="G426" s="19">
        <v>2</v>
      </c>
      <c r="H426" s="262" t="s">
        <v>23</v>
      </c>
      <c r="I426" s="21" t="s">
        <v>413</v>
      </c>
      <c r="J426" s="21" t="s">
        <v>511</v>
      </c>
      <c r="K426" s="30" t="s">
        <v>107</v>
      </c>
      <c r="L426" s="35">
        <v>1</v>
      </c>
      <c r="M426" s="22">
        <v>8.23</v>
      </c>
      <c r="N426" s="44">
        <v>44392</v>
      </c>
      <c r="O426" s="30" t="s">
        <v>115</v>
      </c>
    </row>
    <row r="427" spans="2:15" s="30" customFormat="1" ht="28.5" customHeight="1" x14ac:dyDescent="0.25">
      <c r="B427" s="30" t="s">
        <v>168</v>
      </c>
      <c r="C427" s="30" t="s">
        <v>6</v>
      </c>
      <c r="D427" s="30" t="s">
        <v>10</v>
      </c>
      <c r="E427" s="30" t="s">
        <v>18</v>
      </c>
      <c r="F427" s="11"/>
      <c r="G427" s="19">
        <v>2</v>
      </c>
      <c r="H427" s="262" t="s">
        <v>23</v>
      </c>
      <c r="I427" s="21" t="s">
        <v>413</v>
      </c>
      <c r="J427" s="21" t="s">
        <v>422</v>
      </c>
      <c r="K427" s="30" t="s">
        <v>107</v>
      </c>
      <c r="L427" s="35">
        <v>1</v>
      </c>
      <c r="M427" s="22">
        <v>10</v>
      </c>
      <c r="N427" s="44">
        <v>44392</v>
      </c>
      <c r="O427" s="30" t="s">
        <v>115</v>
      </c>
    </row>
    <row r="428" spans="2:15" s="30" customFormat="1" ht="30" customHeight="1" x14ac:dyDescent="0.25">
      <c r="B428" s="30" t="s">
        <v>168</v>
      </c>
      <c r="C428" s="30" t="s">
        <v>6</v>
      </c>
      <c r="D428" s="30" t="s">
        <v>10</v>
      </c>
      <c r="E428" s="30" t="s">
        <v>18</v>
      </c>
      <c r="F428" s="11"/>
      <c r="G428" s="19">
        <v>2</v>
      </c>
      <c r="H428" s="262" t="s">
        <v>23</v>
      </c>
      <c r="I428" s="21" t="s">
        <v>413</v>
      </c>
      <c r="J428" s="21" t="s">
        <v>423</v>
      </c>
      <c r="K428" s="30" t="s">
        <v>107</v>
      </c>
      <c r="L428" s="35">
        <v>1</v>
      </c>
      <c r="M428" s="22">
        <v>10.38</v>
      </c>
      <c r="N428" s="44">
        <v>44392</v>
      </c>
      <c r="O428" s="30" t="s">
        <v>115</v>
      </c>
    </row>
    <row r="429" spans="2:15" s="30" customFormat="1" ht="33" customHeight="1" x14ac:dyDescent="0.25">
      <c r="B429" s="30" t="s">
        <v>168</v>
      </c>
      <c r="C429" s="30" t="s">
        <v>6</v>
      </c>
      <c r="D429" s="30" t="s">
        <v>10</v>
      </c>
      <c r="E429" s="30" t="s">
        <v>18</v>
      </c>
      <c r="F429" s="11"/>
      <c r="G429" s="19">
        <v>2</v>
      </c>
      <c r="H429" s="262" t="s">
        <v>21</v>
      </c>
      <c r="I429" s="21" t="s">
        <v>413</v>
      </c>
      <c r="J429" s="21" t="s">
        <v>369</v>
      </c>
      <c r="K429" s="30" t="s">
        <v>107</v>
      </c>
      <c r="L429" s="35">
        <v>15</v>
      </c>
      <c r="M429" s="22">
        <v>43.32</v>
      </c>
      <c r="N429" s="44">
        <v>44392</v>
      </c>
      <c r="O429" s="30" t="s">
        <v>115</v>
      </c>
    </row>
    <row r="430" spans="2:15" s="30" customFormat="1" ht="29.25" customHeight="1" x14ac:dyDescent="0.25">
      <c r="B430" s="30" t="s">
        <v>168</v>
      </c>
      <c r="C430" s="30" t="s">
        <v>6</v>
      </c>
      <c r="D430" s="30" t="s">
        <v>10</v>
      </c>
      <c r="E430" s="30" t="s">
        <v>18</v>
      </c>
      <c r="F430" s="11"/>
      <c r="G430" s="19">
        <v>2</v>
      </c>
      <c r="H430" s="262" t="s">
        <v>23</v>
      </c>
      <c r="I430" s="21" t="s">
        <v>413</v>
      </c>
      <c r="J430" s="21" t="s">
        <v>462</v>
      </c>
      <c r="K430" s="30" t="s">
        <v>107</v>
      </c>
      <c r="L430" s="35">
        <v>1</v>
      </c>
      <c r="M430" s="22">
        <v>8.9499999999999993</v>
      </c>
      <c r="N430" s="44">
        <v>44392</v>
      </c>
      <c r="O430" s="30" t="s">
        <v>115</v>
      </c>
    </row>
    <row r="431" spans="2:15" s="30" customFormat="1" ht="29.25" customHeight="1" x14ac:dyDescent="0.25">
      <c r="B431" s="30" t="s">
        <v>168</v>
      </c>
      <c r="C431" s="30" t="s">
        <v>6</v>
      </c>
      <c r="D431" s="30" t="s">
        <v>10</v>
      </c>
      <c r="E431" s="30" t="s">
        <v>18</v>
      </c>
      <c r="F431" s="11"/>
      <c r="G431" s="19">
        <v>2</v>
      </c>
      <c r="H431" s="262" t="s">
        <v>23</v>
      </c>
      <c r="I431" s="21" t="s">
        <v>413</v>
      </c>
      <c r="J431" s="21" t="s">
        <v>829</v>
      </c>
      <c r="K431" s="30" t="s">
        <v>107</v>
      </c>
      <c r="L431" s="35">
        <v>20</v>
      </c>
      <c r="M431" s="22">
        <v>28</v>
      </c>
      <c r="N431" s="44">
        <v>44392</v>
      </c>
      <c r="O431" s="30" t="s">
        <v>115</v>
      </c>
    </row>
    <row r="432" spans="2:15" s="30" customFormat="1" ht="30" customHeight="1" x14ac:dyDescent="0.25">
      <c r="B432" s="30" t="s">
        <v>169</v>
      </c>
      <c r="C432" s="30" t="s">
        <v>6</v>
      </c>
      <c r="D432" s="30" t="s">
        <v>10</v>
      </c>
      <c r="E432" s="30" t="s">
        <v>18</v>
      </c>
      <c r="F432" s="11"/>
      <c r="G432" s="19">
        <v>2</v>
      </c>
      <c r="H432" s="262" t="s">
        <v>391</v>
      </c>
      <c r="I432" s="21" t="s">
        <v>68</v>
      </c>
      <c r="J432" s="21" t="s">
        <v>509</v>
      </c>
      <c r="K432" s="30" t="s">
        <v>107</v>
      </c>
      <c r="L432" s="35">
        <v>16</v>
      </c>
      <c r="M432" s="22">
        <v>266.72000000000003</v>
      </c>
      <c r="N432" s="44">
        <v>44392</v>
      </c>
      <c r="O432" s="30" t="s">
        <v>114</v>
      </c>
    </row>
    <row r="433" spans="2:15" s="30" customFormat="1" ht="30" customHeight="1" x14ac:dyDescent="0.25">
      <c r="B433" s="30" t="s">
        <v>169</v>
      </c>
      <c r="C433" s="30" t="s">
        <v>6</v>
      </c>
      <c r="D433" s="30" t="s">
        <v>10</v>
      </c>
      <c r="E433" s="30" t="s">
        <v>18</v>
      </c>
      <c r="F433" s="11"/>
      <c r="G433" s="19">
        <v>2</v>
      </c>
      <c r="H433" s="262" t="s">
        <v>386</v>
      </c>
      <c r="I433" s="21" t="s">
        <v>68</v>
      </c>
      <c r="J433" s="21" t="s">
        <v>463</v>
      </c>
      <c r="K433" s="30" t="s">
        <v>107</v>
      </c>
      <c r="L433" s="35">
        <v>2</v>
      </c>
      <c r="M433" s="22">
        <v>14.27</v>
      </c>
      <c r="N433" s="44">
        <v>44392</v>
      </c>
      <c r="O433" s="30" t="s">
        <v>115</v>
      </c>
    </row>
    <row r="434" spans="2:15" s="30" customFormat="1" ht="30" customHeight="1" x14ac:dyDescent="0.25">
      <c r="B434" s="30" t="s">
        <v>169</v>
      </c>
      <c r="C434" s="30" t="s">
        <v>6</v>
      </c>
      <c r="D434" s="30" t="s">
        <v>10</v>
      </c>
      <c r="E434" s="30" t="s">
        <v>18</v>
      </c>
      <c r="F434" s="11"/>
      <c r="G434" s="19">
        <v>2</v>
      </c>
      <c r="H434" s="262" t="s">
        <v>386</v>
      </c>
      <c r="I434" s="21" t="s">
        <v>68</v>
      </c>
      <c r="J434" s="21" t="s">
        <v>465</v>
      </c>
      <c r="K434" s="30" t="s">
        <v>107</v>
      </c>
      <c r="L434" s="35">
        <v>1</v>
      </c>
      <c r="M434" s="22">
        <v>2.65</v>
      </c>
      <c r="N434" s="44">
        <v>44392</v>
      </c>
      <c r="O434" s="30" t="s">
        <v>115</v>
      </c>
    </row>
    <row r="435" spans="2:15" s="30" customFormat="1" ht="30" customHeight="1" x14ac:dyDescent="0.25">
      <c r="B435" s="30" t="s">
        <v>169</v>
      </c>
      <c r="C435" s="30" t="s">
        <v>6</v>
      </c>
      <c r="D435" s="30" t="s">
        <v>10</v>
      </c>
      <c r="E435" s="30" t="s">
        <v>18</v>
      </c>
      <c r="F435" s="11"/>
      <c r="G435" s="19">
        <v>2</v>
      </c>
      <c r="H435" s="263" t="s">
        <v>399</v>
      </c>
      <c r="I435" s="21" t="s">
        <v>68</v>
      </c>
      <c r="J435" s="21" t="s">
        <v>510</v>
      </c>
      <c r="K435" s="30" t="s">
        <v>94</v>
      </c>
      <c r="L435" s="35">
        <v>2</v>
      </c>
      <c r="M435" s="22">
        <v>17.43</v>
      </c>
      <c r="N435" s="44">
        <v>44392</v>
      </c>
      <c r="O435" s="30" t="s">
        <v>114</v>
      </c>
    </row>
    <row r="436" spans="2:15" s="30" customFormat="1" ht="30" customHeight="1" x14ac:dyDescent="0.25">
      <c r="B436" s="30" t="s">
        <v>169</v>
      </c>
      <c r="C436" s="30" t="s">
        <v>6</v>
      </c>
      <c r="D436" s="30" t="s">
        <v>10</v>
      </c>
      <c r="E436" s="30" t="s">
        <v>18</v>
      </c>
      <c r="F436" s="11"/>
      <c r="G436" s="19">
        <v>2</v>
      </c>
      <c r="H436" s="263" t="s">
        <v>399</v>
      </c>
      <c r="I436" s="21" t="s">
        <v>68</v>
      </c>
      <c r="J436" s="21" t="s">
        <v>512</v>
      </c>
      <c r="K436" s="30" t="s">
        <v>94</v>
      </c>
      <c r="L436" s="35">
        <v>3</v>
      </c>
      <c r="M436" s="22">
        <v>15.65</v>
      </c>
      <c r="N436" s="44">
        <v>44392</v>
      </c>
      <c r="O436" s="30" t="s">
        <v>114</v>
      </c>
    </row>
    <row r="437" spans="2:15" s="30" customFormat="1" ht="30" customHeight="1" x14ac:dyDescent="0.25">
      <c r="B437" s="30" t="s">
        <v>169</v>
      </c>
      <c r="C437" s="30" t="s">
        <v>6</v>
      </c>
      <c r="D437" s="30" t="s">
        <v>10</v>
      </c>
      <c r="E437" s="30" t="s">
        <v>18</v>
      </c>
      <c r="F437" s="11"/>
      <c r="G437" s="19">
        <v>2</v>
      </c>
      <c r="H437" s="263" t="s">
        <v>399</v>
      </c>
      <c r="I437" s="21" t="s">
        <v>68</v>
      </c>
      <c r="J437" s="21" t="s">
        <v>410</v>
      </c>
      <c r="K437" s="30" t="s">
        <v>94</v>
      </c>
      <c r="L437" s="35">
        <v>1</v>
      </c>
      <c r="M437" s="22">
        <v>3.64</v>
      </c>
      <c r="N437" s="44">
        <v>44392</v>
      </c>
      <c r="O437" s="30" t="s">
        <v>115</v>
      </c>
    </row>
    <row r="438" spans="2:15" s="30" customFormat="1" ht="30" customHeight="1" x14ac:dyDescent="0.25">
      <c r="B438" s="30" t="s">
        <v>168</v>
      </c>
      <c r="C438" s="30" t="s">
        <v>6</v>
      </c>
      <c r="D438" s="30" t="s">
        <v>10</v>
      </c>
      <c r="E438" s="30" t="s">
        <v>18</v>
      </c>
      <c r="F438" s="11"/>
      <c r="G438" s="19">
        <v>2</v>
      </c>
      <c r="H438" s="263" t="s">
        <v>389</v>
      </c>
      <c r="I438" s="21" t="s">
        <v>68</v>
      </c>
      <c r="J438" s="21" t="s">
        <v>368</v>
      </c>
      <c r="K438" s="30" t="s">
        <v>94</v>
      </c>
      <c r="L438" s="35">
        <v>0</v>
      </c>
      <c r="M438" s="22">
        <v>1.29</v>
      </c>
      <c r="N438" s="44">
        <v>44392</v>
      </c>
      <c r="O438" s="30" t="s">
        <v>115</v>
      </c>
    </row>
    <row r="439" spans="2:15" s="30" customFormat="1" ht="30" customHeight="1" x14ac:dyDescent="0.25">
      <c r="B439" s="30" t="s">
        <v>168</v>
      </c>
      <c r="C439" s="30" t="s">
        <v>6</v>
      </c>
      <c r="D439" s="30" t="s">
        <v>10</v>
      </c>
      <c r="E439" s="30" t="s">
        <v>18</v>
      </c>
      <c r="F439" s="11"/>
      <c r="G439" s="19">
        <v>2</v>
      </c>
      <c r="H439" s="263" t="s">
        <v>389</v>
      </c>
      <c r="I439" s="21" t="s">
        <v>68</v>
      </c>
      <c r="J439" s="21" t="s">
        <v>370</v>
      </c>
      <c r="K439" s="30" t="s">
        <v>94</v>
      </c>
      <c r="L439" s="35">
        <v>0</v>
      </c>
      <c r="M439" s="22">
        <v>1.71</v>
      </c>
      <c r="N439" s="44">
        <v>44392</v>
      </c>
      <c r="O439" s="30" t="s">
        <v>115</v>
      </c>
    </row>
    <row r="440" spans="2:15" s="30" customFormat="1" ht="30" customHeight="1" x14ac:dyDescent="0.25">
      <c r="B440" s="30" t="s">
        <v>170</v>
      </c>
      <c r="C440" s="30" t="s">
        <v>6</v>
      </c>
      <c r="D440" s="30" t="s">
        <v>10</v>
      </c>
      <c r="E440" s="30" t="s">
        <v>18</v>
      </c>
      <c r="F440" s="11"/>
      <c r="G440" s="19">
        <v>2</v>
      </c>
      <c r="H440" s="263" t="s">
        <v>394</v>
      </c>
      <c r="I440" s="21" t="s">
        <v>68</v>
      </c>
      <c r="J440" s="21" t="s">
        <v>98</v>
      </c>
      <c r="K440" s="30" t="s">
        <v>94</v>
      </c>
      <c r="L440" s="35">
        <v>0</v>
      </c>
      <c r="M440" s="22">
        <v>114.56</v>
      </c>
      <c r="N440" s="44">
        <v>44392</v>
      </c>
      <c r="O440" s="30" t="s">
        <v>115</v>
      </c>
    </row>
    <row r="441" spans="2:15" s="30" customFormat="1" ht="15" customHeight="1" x14ac:dyDescent="0.25">
      <c r="B441" s="30" t="s">
        <v>165</v>
      </c>
      <c r="C441" s="30" t="s">
        <v>6</v>
      </c>
      <c r="D441" s="30" t="s">
        <v>10</v>
      </c>
      <c r="E441" s="30" t="s">
        <v>18</v>
      </c>
      <c r="F441" s="11">
        <v>201</v>
      </c>
      <c r="G441" s="19">
        <v>2</v>
      </c>
      <c r="H441" s="262" t="s">
        <v>391</v>
      </c>
      <c r="I441" s="21" t="s">
        <v>46</v>
      </c>
      <c r="J441" s="21" t="s">
        <v>830</v>
      </c>
      <c r="K441" s="30" t="s">
        <v>90</v>
      </c>
      <c r="L441" s="35">
        <v>65</v>
      </c>
      <c r="M441" s="22">
        <v>66.069999999999993</v>
      </c>
      <c r="N441" s="44">
        <v>44392</v>
      </c>
      <c r="O441" s="30" t="s">
        <v>115</v>
      </c>
    </row>
    <row r="442" spans="2:15" s="30" customFormat="1" ht="15" customHeight="1" x14ac:dyDescent="0.25">
      <c r="B442" s="30" t="s">
        <v>165</v>
      </c>
      <c r="C442" s="30" t="s">
        <v>6</v>
      </c>
      <c r="D442" s="30" t="s">
        <v>10</v>
      </c>
      <c r="E442" s="30" t="s">
        <v>18</v>
      </c>
      <c r="F442" s="11">
        <v>202</v>
      </c>
      <c r="G442" s="19">
        <v>2</v>
      </c>
      <c r="H442" s="263" t="s">
        <v>396</v>
      </c>
      <c r="I442" s="21" t="s">
        <v>58</v>
      </c>
      <c r="J442" s="21" t="s">
        <v>234</v>
      </c>
      <c r="K442" s="30" t="s">
        <v>90</v>
      </c>
      <c r="L442" s="35">
        <v>30</v>
      </c>
      <c r="M442" s="22">
        <v>63.6</v>
      </c>
      <c r="N442" s="44">
        <v>44392</v>
      </c>
      <c r="O442" s="30" t="s">
        <v>115</v>
      </c>
    </row>
    <row r="443" spans="2:15" s="30" customFormat="1" ht="15" customHeight="1" x14ac:dyDescent="0.25">
      <c r="B443" s="30" t="s">
        <v>165</v>
      </c>
      <c r="C443" s="30" t="s">
        <v>6</v>
      </c>
      <c r="D443" s="30" t="s">
        <v>10</v>
      </c>
      <c r="E443" s="30" t="s">
        <v>18</v>
      </c>
      <c r="F443" s="11">
        <v>301</v>
      </c>
      <c r="G443" s="19">
        <v>3</v>
      </c>
      <c r="H443" s="263" t="s">
        <v>26</v>
      </c>
      <c r="I443" s="21" t="s">
        <v>32</v>
      </c>
      <c r="J443" s="21" t="s">
        <v>138</v>
      </c>
      <c r="K443" s="30" t="s">
        <v>90</v>
      </c>
      <c r="L443" s="35">
        <v>25</v>
      </c>
      <c r="M443" s="255">
        <v>64.599999999999994</v>
      </c>
      <c r="N443" s="44">
        <v>44392</v>
      </c>
      <c r="O443" s="30" t="s">
        <v>115</v>
      </c>
    </row>
    <row r="444" spans="2:15" s="30" customFormat="1" ht="15" customHeight="1" x14ac:dyDescent="0.25">
      <c r="B444" s="30" t="s">
        <v>165</v>
      </c>
      <c r="C444" s="30" t="s">
        <v>6</v>
      </c>
      <c r="D444" s="30" t="s">
        <v>10</v>
      </c>
      <c r="E444" s="30" t="s">
        <v>18</v>
      </c>
      <c r="F444" s="11">
        <v>302</v>
      </c>
      <c r="G444" s="19">
        <v>3</v>
      </c>
      <c r="H444" s="263" t="s">
        <v>396</v>
      </c>
      <c r="I444" s="21" t="s">
        <v>58</v>
      </c>
      <c r="J444" s="21" t="s">
        <v>235</v>
      </c>
      <c r="K444" s="30" t="s">
        <v>90</v>
      </c>
      <c r="L444" s="35">
        <v>44</v>
      </c>
      <c r="M444" s="22">
        <v>88.64</v>
      </c>
      <c r="N444" s="44">
        <v>44392</v>
      </c>
      <c r="O444" s="30" t="s">
        <v>115</v>
      </c>
    </row>
    <row r="445" spans="2:15" s="30" customFormat="1" ht="15" customHeight="1" x14ac:dyDescent="0.25">
      <c r="B445" s="30" t="s">
        <v>165</v>
      </c>
      <c r="C445" s="30" t="s">
        <v>6</v>
      </c>
      <c r="D445" s="30" t="s">
        <v>10</v>
      </c>
      <c r="E445" s="30" t="s">
        <v>18</v>
      </c>
      <c r="F445" s="11">
        <v>303</v>
      </c>
      <c r="G445" s="19">
        <v>3</v>
      </c>
      <c r="H445" s="263" t="s">
        <v>396</v>
      </c>
      <c r="I445" s="21" t="s">
        <v>58</v>
      </c>
      <c r="J445" s="21" t="s">
        <v>236</v>
      </c>
      <c r="K445" s="30" t="s">
        <v>90</v>
      </c>
      <c r="L445" s="35">
        <v>41</v>
      </c>
      <c r="M445" s="22">
        <v>83.35</v>
      </c>
      <c r="N445" s="44">
        <v>44392</v>
      </c>
      <c r="O445" s="30" t="s">
        <v>115</v>
      </c>
    </row>
    <row r="446" spans="2:15" s="30" customFormat="1" ht="28.5" customHeight="1" x14ac:dyDescent="0.25">
      <c r="B446" s="30" t="s">
        <v>165</v>
      </c>
      <c r="C446" s="30" t="s">
        <v>6</v>
      </c>
      <c r="D446" s="30" t="s">
        <v>10</v>
      </c>
      <c r="E446" s="30" t="s">
        <v>18</v>
      </c>
      <c r="F446" s="11">
        <v>304</v>
      </c>
      <c r="G446" s="19">
        <v>3</v>
      </c>
      <c r="H446" s="263" t="s">
        <v>396</v>
      </c>
      <c r="I446" s="21" t="s">
        <v>58</v>
      </c>
      <c r="J446" s="21" t="s">
        <v>237</v>
      </c>
      <c r="K446" s="30" t="s">
        <v>90</v>
      </c>
      <c r="L446" s="35">
        <v>41</v>
      </c>
      <c r="M446" s="22">
        <v>82.06</v>
      </c>
      <c r="N446" s="44">
        <v>44392</v>
      </c>
      <c r="O446" s="30" t="s">
        <v>115</v>
      </c>
    </row>
    <row r="447" spans="2:15" s="30" customFormat="1" ht="28.5" customHeight="1" x14ac:dyDescent="0.25">
      <c r="B447" s="30" t="s">
        <v>165</v>
      </c>
      <c r="C447" s="30" t="s">
        <v>6</v>
      </c>
      <c r="D447" s="30" t="s">
        <v>10</v>
      </c>
      <c r="E447" s="30" t="s">
        <v>18</v>
      </c>
      <c r="F447" s="11">
        <v>305</v>
      </c>
      <c r="G447" s="19">
        <v>3</v>
      </c>
      <c r="H447" s="263" t="s">
        <v>396</v>
      </c>
      <c r="I447" s="21" t="s">
        <v>58</v>
      </c>
      <c r="J447" s="21" t="s">
        <v>238</v>
      </c>
      <c r="K447" s="30" t="s">
        <v>90</v>
      </c>
      <c r="L447" s="35">
        <v>34</v>
      </c>
      <c r="M447" s="22">
        <v>68.599999999999994</v>
      </c>
      <c r="N447" s="44">
        <v>44392</v>
      </c>
      <c r="O447" s="30" t="s">
        <v>115</v>
      </c>
    </row>
    <row r="448" spans="2:15" s="30" customFormat="1" ht="25.5" customHeight="1" x14ac:dyDescent="0.25">
      <c r="B448" s="30" t="s">
        <v>165</v>
      </c>
      <c r="C448" s="30" t="s">
        <v>6</v>
      </c>
      <c r="D448" s="30" t="s">
        <v>10</v>
      </c>
      <c r="E448" s="30" t="s">
        <v>18</v>
      </c>
      <c r="F448" s="11">
        <v>306</v>
      </c>
      <c r="G448" s="19">
        <v>3</v>
      </c>
      <c r="H448" s="263" t="s">
        <v>396</v>
      </c>
      <c r="I448" s="21" t="s">
        <v>58</v>
      </c>
      <c r="J448" s="21" t="s">
        <v>357</v>
      </c>
      <c r="K448" s="30" t="s">
        <v>90</v>
      </c>
      <c r="L448" s="35">
        <v>46</v>
      </c>
      <c r="M448" s="22">
        <v>107.27</v>
      </c>
      <c r="N448" s="44">
        <v>44392</v>
      </c>
      <c r="O448" s="30" t="s">
        <v>115</v>
      </c>
    </row>
    <row r="449" spans="2:15" s="30" customFormat="1" ht="26.25" customHeight="1" x14ac:dyDescent="0.25">
      <c r="B449" s="30" t="s">
        <v>168</v>
      </c>
      <c r="C449" s="30" t="s">
        <v>6</v>
      </c>
      <c r="D449" s="30" t="s">
        <v>10</v>
      </c>
      <c r="E449" s="30" t="s">
        <v>18</v>
      </c>
      <c r="F449" s="11"/>
      <c r="G449" s="19">
        <v>3</v>
      </c>
      <c r="H449" s="263" t="s">
        <v>390</v>
      </c>
      <c r="I449" s="21" t="s">
        <v>37</v>
      </c>
      <c r="J449" s="21" t="s">
        <v>239</v>
      </c>
      <c r="K449" s="30" t="s">
        <v>94</v>
      </c>
      <c r="L449" s="35">
        <v>0</v>
      </c>
      <c r="M449" s="22">
        <v>43.82</v>
      </c>
      <c r="N449" s="44">
        <v>44392</v>
      </c>
      <c r="O449" s="30" t="s">
        <v>115</v>
      </c>
    </row>
    <row r="450" spans="2:15" s="30" customFormat="1" ht="30" customHeight="1" x14ac:dyDescent="0.25">
      <c r="B450" s="30" t="s">
        <v>168</v>
      </c>
      <c r="C450" s="30" t="s">
        <v>6</v>
      </c>
      <c r="D450" s="30" t="s">
        <v>10</v>
      </c>
      <c r="E450" s="30" t="s">
        <v>18</v>
      </c>
      <c r="F450" s="11"/>
      <c r="G450" s="19">
        <v>3</v>
      </c>
      <c r="H450" s="263" t="s">
        <v>390</v>
      </c>
      <c r="I450" s="21" t="s">
        <v>38</v>
      </c>
      <c r="J450" s="21" t="s">
        <v>244</v>
      </c>
      <c r="K450" s="30" t="s">
        <v>94</v>
      </c>
      <c r="L450" s="35">
        <v>0</v>
      </c>
      <c r="M450" s="22">
        <v>9.66</v>
      </c>
      <c r="N450" s="44">
        <v>44392</v>
      </c>
      <c r="O450" s="30" t="s">
        <v>115</v>
      </c>
    </row>
    <row r="451" spans="2:15" s="30" customFormat="1" ht="15" customHeight="1" x14ac:dyDescent="0.25">
      <c r="B451" s="30" t="s">
        <v>165</v>
      </c>
      <c r="C451" s="30" t="s">
        <v>6</v>
      </c>
      <c r="D451" s="30" t="s">
        <v>10</v>
      </c>
      <c r="E451" s="30" t="s">
        <v>18</v>
      </c>
      <c r="F451" s="11"/>
      <c r="G451" s="19">
        <v>3</v>
      </c>
      <c r="H451" s="263" t="s">
        <v>396</v>
      </c>
      <c r="I451" s="21" t="s">
        <v>58</v>
      </c>
      <c r="J451" s="21" t="s">
        <v>245</v>
      </c>
      <c r="K451" s="30" t="s">
        <v>90</v>
      </c>
      <c r="L451" s="35">
        <v>37</v>
      </c>
      <c r="M451" s="22">
        <v>75.819999999999993</v>
      </c>
      <c r="N451" s="44">
        <v>44392</v>
      </c>
      <c r="O451" s="30" t="s">
        <v>115</v>
      </c>
    </row>
    <row r="452" spans="2:15" s="30" customFormat="1" ht="28.5" customHeight="1" x14ac:dyDescent="0.25">
      <c r="B452" s="30" t="s">
        <v>168</v>
      </c>
      <c r="C452" s="30" t="s">
        <v>6</v>
      </c>
      <c r="D452" s="30" t="s">
        <v>10</v>
      </c>
      <c r="E452" s="30" t="s">
        <v>18</v>
      </c>
      <c r="F452" s="11"/>
      <c r="G452" s="19">
        <v>3</v>
      </c>
      <c r="H452" s="263" t="s">
        <v>23</v>
      </c>
      <c r="I452" s="21" t="s">
        <v>58</v>
      </c>
      <c r="J452" s="21" t="s">
        <v>831</v>
      </c>
      <c r="K452" s="30" t="s">
        <v>107</v>
      </c>
      <c r="L452" s="35">
        <v>4</v>
      </c>
      <c r="M452" s="22">
        <v>55.8</v>
      </c>
      <c r="N452" s="44">
        <v>44392</v>
      </c>
      <c r="O452" s="30" t="s">
        <v>115</v>
      </c>
    </row>
    <row r="453" spans="2:15" s="30" customFormat="1" ht="15" customHeight="1" x14ac:dyDescent="0.25">
      <c r="B453" s="30" t="s">
        <v>168</v>
      </c>
      <c r="C453" s="30" t="s">
        <v>6</v>
      </c>
      <c r="D453" s="30" t="s">
        <v>10</v>
      </c>
      <c r="E453" s="30" t="s">
        <v>18</v>
      </c>
      <c r="F453" s="11"/>
      <c r="G453" s="19">
        <v>3</v>
      </c>
      <c r="H453" s="263" t="s">
        <v>23</v>
      </c>
      <c r="I453" s="21" t="s">
        <v>58</v>
      </c>
      <c r="J453" s="21" t="s">
        <v>346</v>
      </c>
      <c r="K453" s="30" t="s">
        <v>107</v>
      </c>
      <c r="L453" s="35">
        <v>5</v>
      </c>
      <c r="M453" s="22">
        <v>17.73</v>
      </c>
      <c r="N453" s="44">
        <v>44392</v>
      </c>
      <c r="O453" s="30" t="s">
        <v>115</v>
      </c>
    </row>
    <row r="454" spans="2:15" s="30" customFormat="1" ht="29.25" customHeight="1" x14ac:dyDescent="0.25">
      <c r="B454" s="30" t="s">
        <v>170</v>
      </c>
      <c r="C454" s="30" t="s">
        <v>6</v>
      </c>
      <c r="D454" s="30" t="s">
        <v>10</v>
      </c>
      <c r="E454" s="30" t="s">
        <v>18</v>
      </c>
      <c r="F454" s="11"/>
      <c r="G454" s="19">
        <v>3</v>
      </c>
      <c r="H454" s="263" t="s">
        <v>394</v>
      </c>
      <c r="I454" s="21" t="s">
        <v>68</v>
      </c>
      <c r="J454" s="21" t="s">
        <v>283</v>
      </c>
      <c r="K454" s="30" t="s">
        <v>94</v>
      </c>
      <c r="L454" s="35">
        <v>70</v>
      </c>
      <c r="M454" s="22">
        <v>245.93</v>
      </c>
      <c r="N454" s="44">
        <v>44392</v>
      </c>
      <c r="O454" s="30" t="s">
        <v>114</v>
      </c>
    </row>
    <row r="455" spans="2:15" s="30" customFormat="1" ht="30.75" customHeight="1" x14ac:dyDescent="0.25">
      <c r="B455" s="30" t="s">
        <v>169</v>
      </c>
      <c r="C455" s="30" t="s">
        <v>6</v>
      </c>
      <c r="D455" s="30" t="s">
        <v>10</v>
      </c>
      <c r="E455" s="30" t="s">
        <v>18</v>
      </c>
      <c r="F455" s="11"/>
      <c r="G455" s="19">
        <v>3</v>
      </c>
      <c r="H455" s="263" t="s">
        <v>399</v>
      </c>
      <c r="I455" s="21" t="s">
        <v>68</v>
      </c>
      <c r="J455" s="21" t="s">
        <v>403</v>
      </c>
      <c r="K455" s="30" t="s">
        <v>94</v>
      </c>
      <c r="L455" s="35">
        <v>2</v>
      </c>
      <c r="M455" s="22">
        <v>15.82</v>
      </c>
      <c r="N455" s="44">
        <v>44392</v>
      </c>
      <c r="O455" s="30" t="s">
        <v>114</v>
      </c>
    </row>
    <row r="456" spans="2:15" s="30" customFormat="1" ht="29.25" customHeight="1" x14ac:dyDescent="0.25">
      <c r="B456" s="30" t="s">
        <v>169</v>
      </c>
      <c r="C456" s="30" t="s">
        <v>6</v>
      </c>
      <c r="D456" s="30" t="s">
        <v>10</v>
      </c>
      <c r="E456" s="30" t="s">
        <v>18</v>
      </c>
      <c r="F456" s="11"/>
      <c r="G456" s="19">
        <v>3</v>
      </c>
      <c r="H456" s="263" t="s">
        <v>399</v>
      </c>
      <c r="I456" s="21" t="s">
        <v>68</v>
      </c>
      <c r="J456" s="21" t="s">
        <v>404</v>
      </c>
      <c r="K456" s="30" t="s">
        <v>94</v>
      </c>
      <c r="L456" s="35">
        <v>7</v>
      </c>
      <c r="M456" s="22">
        <v>20.440000000000001</v>
      </c>
      <c r="N456" s="44">
        <v>44392</v>
      </c>
      <c r="O456" s="30" t="s">
        <v>114</v>
      </c>
    </row>
    <row r="457" spans="2:15" s="30" customFormat="1" ht="31.5" customHeight="1" x14ac:dyDescent="0.25">
      <c r="B457" s="30" t="s">
        <v>169</v>
      </c>
      <c r="C457" s="30" t="s">
        <v>6</v>
      </c>
      <c r="D457" s="30" t="s">
        <v>10</v>
      </c>
      <c r="E457" s="30" t="s">
        <v>18</v>
      </c>
      <c r="F457" s="11"/>
      <c r="G457" s="19">
        <v>3</v>
      </c>
      <c r="H457" s="263" t="s">
        <v>399</v>
      </c>
      <c r="I457" s="21" t="s">
        <v>68</v>
      </c>
      <c r="J457" s="21" t="s">
        <v>768</v>
      </c>
      <c r="K457" s="30" t="s">
        <v>94</v>
      </c>
      <c r="L457" s="35">
        <v>1</v>
      </c>
      <c r="M457" s="22">
        <v>3.75</v>
      </c>
      <c r="N457" s="44">
        <v>44392</v>
      </c>
      <c r="O457" s="30" t="s">
        <v>115</v>
      </c>
    </row>
    <row r="458" spans="2:15" s="30" customFormat="1" ht="30" customHeight="1" x14ac:dyDescent="0.25">
      <c r="B458" s="30" t="s">
        <v>168</v>
      </c>
      <c r="C458" s="30" t="s">
        <v>6</v>
      </c>
      <c r="D458" s="30" t="s">
        <v>10</v>
      </c>
      <c r="E458" s="30" t="s">
        <v>18</v>
      </c>
      <c r="F458" s="11"/>
      <c r="G458" s="19">
        <v>3</v>
      </c>
      <c r="H458" s="263" t="s">
        <v>389</v>
      </c>
      <c r="I458" s="21" t="s">
        <v>68</v>
      </c>
      <c r="J458" s="21" t="s">
        <v>356</v>
      </c>
      <c r="K458" s="30" t="s">
        <v>94</v>
      </c>
      <c r="L458" s="35">
        <v>1</v>
      </c>
      <c r="M458" s="22">
        <v>1.37</v>
      </c>
      <c r="N458" s="44">
        <v>44392</v>
      </c>
      <c r="O458" s="30" t="s">
        <v>115</v>
      </c>
    </row>
    <row r="459" spans="2:15" s="30" customFormat="1" ht="30" customHeight="1" x14ac:dyDescent="0.25">
      <c r="B459" s="30" t="s">
        <v>168</v>
      </c>
      <c r="C459" s="30" t="s">
        <v>6</v>
      </c>
      <c r="D459" s="30" t="s">
        <v>10</v>
      </c>
      <c r="E459" s="30" t="s">
        <v>18</v>
      </c>
      <c r="F459" s="11"/>
      <c r="G459" s="19">
        <v>3</v>
      </c>
      <c r="H459" s="263" t="s">
        <v>390</v>
      </c>
      <c r="I459" s="21" t="s">
        <v>35</v>
      </c>
      <c r="J459" s="21" t="s">
        <v>353</v>
      </c>
      <c r="K459" s="30" t="s">
        <v>94</v>
      </c>
      <c r="L459" s="35">
        <v>0</v>
      </c>
      <c r="M459" s="22">
        <v>2.04</v>
      </c>
      <c r="N459" s="44">
        <v>44392</v>
      </c>
      <c r="O459" s="30" t="s">
        <v>115</v>
      </c>
    </row>
    <row r="460" spans="2:15" s="30" customFormat="1" ht="30" customHeight="1" x14ac:dyDescent="0.25">
      <c r="B460" s="30" t="s">
        <v>170</v>
      </c>
      <c r="C460" s="30" t="s">
        <v>6</v>
      </c>
      <c r="D460" s="30" t="s">
        <v>10</v>
      </c>
      <c r="E460" s="30" t="s">
        <v>18</v>
      </c>
      <c r="F460" s="11"/>
      <c r="G460" s="19">
        <v>3</v>
      </c>
      <c r="H460" s="263" t="s">
        <v>394</v>
      </c>
      <c r="I460" s="21" t="s">
        <v>68</v>
      </c>
      <c r="J460" s="21" t="s">
        <v>513</v>
      </c>
      <c r="K460" s="21" t="s">
        <v>107</v>
      </c>
      <c r="L460" s="35">
        <v>0</v>
      </c>
      <c r="M460" s="34">
        <v>17.82</v>
      </c>
      <c r="N460" s="44">
        <v>44393</v>
      </c>
      <c r="O460" s="30" t="s">
        <v>114</v>
      </c>
    </row>
    <row r="461" spans="2:15" s="30" customFormat="1" ht="30.75" customHeight="1" x14ac:dyDescent="0.25">
      <c r="B461" s="30" t="s">
        <v>170</v>
      </c>
      <c r="C461" s="30" t="s">
        <v>6</v>
      </c>
      <c r="D461" s="30" t="s">
        <v>10</v>
      </c>
      <c r="E461" s="30" t="s">
        <v>18</v>
      </c>
      <c r="F461" s="11"/>
      <c r="G461" s="19">
        <v>3</v>
      </c>
      <c r="H461" s="263" t="s">
        <v>394</v>
      </c>
      <c r="I461" s="21" t="s">
        <v>68</v>
      </c>
      <c r="J461" s="21" t="s">
        <v>514</v>
      </c>
      <c r="K461" s="21" t="s">
        <v>107</v>
      </c>
      <c r="L461" s="35">
        <v>0</v>
      </c>
      <c r="M461" s="34">
        <v>15.38</v>
      </c>
      <c r="N461" s="44">
        <v>44393</v>
      </c>
      <c r="O461" s="30" t="s">
        <v>114</v>
      </c>
    </row>
    <row r="462" spans="2:15" s="30" customFormat="1" ht="29.25" customHeight="1" x14ac:dyDescent="0.25">
      <c r="B462" s="30" t="s">
        <v>168</v>
      </c>
      <c r="C462" s="30" t="s">
        <v>6</v>
      </c>
      <c r="D462" s="30" t="s">
        <v>10</v>
      </c>
      <c r="E462" s="30" t="s">
        <v>18</v>
      </c>
      <c r="F462" s="11"/>
      <c r="G462" s="19">
        <v>3</v>
      </c>
      <c r="H462" s="263" t="s">
        <v>389</v>
      </c>
      <c r="I462" s="21" t="s">
        <v>68</v>
      </c>
      <c r="J462" s="21" t="s">
        <v>382</v>
      </c>
      <c r="K462" s="30" t="s">
        <v>94</v>
      </c>
      <c r="L462" s="35">
        <v>0</v>
      </c>
      <c r="M462" s="22">
        <v>1.74</v>
      </c>
      <c r="N462" s="44">
        <v>44392</v>
      </c>
      <c r="O462" s="30" t="s">
        <v>115</v>
      </c>
    </row>
    <row r="463" spans="2:15" s="30" customFormat="1" ht="31.5" customHeight="1" x14ac:dyDescent="0.25">
      <c r="B463" s="30" t="s">
        <v>168</v>
      </c>
      <c r="C463" s="30" t="s">
        <v>6</v>
      </c>
      <c r="D463" s="30" t="s">
        <v>10</v>
      </c>
      <c r="E463" s="30" t="s">
        <v>18</v>
      </c>
      <c r="F463" s="11"/>
      <c r="G463" s="19">
        <v>3</v>
      </c>
      <c r="H463" s="263" t="s">
        <v>390</v>
      </c>
      <c r="I463" s="21" t="s">
        <v>38</v>
      </c>
      <c r="J463" s="21" t="s">
        <v>347</v>
      </c>
      <c r="K463" s="30" t="s">
        <v>94</v>
      </c>
      <c r="L463" s="35">
        <v>0</v>
      </c>
      <c r="M463" s="22">
        <v>8.74</v>
      </c>
      <c r="N463" s="44">
        <v>44392</v>
      </c>
      <c r="O463" s="30" t="s">
        <v>115</v>
      </c>
    </row>
    <row r="464" spans="2:15" s="30" customFormat="1" ht="15" customHeight="1" x14ac:dyDescent="0.25">
      <c r="B464" s="30" t="s">
        <v>165</v>
      </c>
      <c r="C464" s="30" t="s">
        <v>6</v>
      </c>
      <c r="D464" s="30" t="s">
        <v>10</v>
      </c>
      <c r="E464" s="30" t="s">
        <v>18</v>
      </c>
      <c r="F464" s="11">
        <v>401</v>
      </c>
      <c r="G464" s="19">
        <v>4</v>
      </c>
      <c r="H464" s="263" t="s">
        <v>26</v>
      </c>
      <c r="I464" s="21" t="s">
        <v>32</v>
      </c>
      <c r="J464" s="21" t="s">
        <v>138</v>
      </c>
      <c r="K464" s="30" t="s">
        <v>90</v>
      </c>
      <c r="L464" s="35">
        <v>25</v>
      </c>
      <c r="M464" s="255">
        <v>64.599999999999994</v>
      </c>
      <c r="N464" s="44">
        <v>44393</v>
      </c>
      <c r="O464" s="30" t="s">
        <v>115</v>
      </c>
    </row>
    <row r="465" spans="2:15" s="30" customFormat="1" ht="15" customHeight="1" x14ac:dyDescent="0.25">
      <c r="B465" s="30" t="s">
        <v>165</v>
      </c>
      <c r="C465" s="30" t="s">
        <v>6</v>
      </c>
      <c r="D465" s="30" t="s">
        <v>10</v>
      </c>
      <c r="E465" s="30" t="s">
        <v>18</v>
      </c>
      <c r="F465" s="11">
        <v>402</v>
      </c>
      <c r="G465" s="19">
        <v>4</v>
      </c>
      <c r="H465" s="263" t="s">
        <v>26</v>
      </c>
      <c r="I465" s="21" t="s">
        <v>32</v>
      </c>
      <c r="J465" s="21" t="s">
        <v>138</v>
      </c>
      <c r="K465" s="30" t="s">
        <v>90</v>
      </c>
      <c r="L465" s="35">
        <v>44</v>
      </c>
      <c r="M465" s="22">
        <v>88.64</v>
      </c>
      <c r="N465" s="44">
        <v>44393</v>
      </c>
      <c r="O465" s="30" t="s">
        <v>115</v>
      </c>
    </row>
    <row r="466" spans="2:15" s="30" customFormat="1" ht="15" customHeight="1" x14ac:dyDescent="0.25">
      <c r="B466" s="30" t="s">
        <v>165</v>
      </c>
      <c r="C466" s="30" t="s">
        <v>6</v>
      </c>
      <c r="D466" s="30" t="s">
        <v>10</v>
      </c>
      <c r="E466" s="30" t="s">
        <v>18</v>
      </c>
      <c r="F466" s="11">
        <v>403</v>
      </c>
      <c r="G466" s="19">
        <v>4</v>
      </c>
      <c r="H466" s="263" t="s">
        <v>26</v>
      </c>
      <c r="I466" s="21" t="s">
        <v>32</v>
      </c>
      <c r="J466" s="21" t="s">
        <v>138</v>
      </c>
      <c r="K466" s="30" t="s">
        <v>90</v>
      </c>
      <c r="L466" s="35">
        <v>41</v>
      </c>
      <c r="M466" s="22">
        <v>83.35</v>
      </c>
      <c r="N466" s="44">
        <v>44393</v>
      </c>
      <c r="O466" s="30" t="s">
        <v>115</v>
      </c>
    </row>
    <row r="467" spans="2:15" s="30" customFormat="1" ht="15" customHeight="1" x14ac:dyDescent="0.25">
      <c r="B467" s="30" t="s">
        <v>165</v>
      </c>
      <c r="C467" s="30" t="s">
        <v>6</v>
      </c>
      <c r="D467" s="30" t="s">
        <v>10</v>
      </c>
      <c r="E467" s="30" t="s">
        <v>18</v>
      </c>
      <c r="F467" s="11">
        <v>404</v>
      </c>
      <c r="G467" s="19">
        <v>4</v>
      </c>
      <c r="H467" s="263" t="s">
        <v>396</v>
      </c>
      <c r="I467" s="21" t="s">
        <v>58</v>
      </c>
      <c r="J467" s="21" t="s">
        <v>284</v>
      </c>
      <c r="K467" s="30" t="s">
        <v>90</v>
      </c>
      <c r="L467" s="35">
        <v>41</v>
      </c>
      <c r="M467" s="22">
        <v>82.06</v>
      </c>
      <c r="N467" s="44">
        <v>44393</v>
      </c>
      <c r="O467" s="30" t="s">
        <v>115</v>
      </c>
    </row>
    <row r="468" spans="2:15" s="30" customFormat="1" ht="15" customHeight="1" x14ac:dyDescent="0.25">
      <c r="B468" s="30" t="s">
        <v>165</v>
      </c>
      <c r="C468" s="30" t="s">
        <v>6</v>
      </c>
      <c r="D468" s="30" t="s">
        <v>10</v>
      </c>
      <c r="E468" s="30" t="s">
        <v>18</v>
      </c>
      <c r="F468" s="11">
        <v>405</v>
      </c>
      <c r="G468" s="19">
        <v>4</v>
      </c>
      <c r="H468" s="263" t="s">
        <v>396</v>
      </c>
      <c r="I468" s="21" t="s">
        <v>58</v>
      </c>
      <c r="J468" s="21" t="s">
        <v>232</v>
      </c>
      <c r="K468" s="30" t="s">
        <v>90</v>
      </c>
      <c r="L468" s="35">
        <v>34</v>
      </c>
      <c r="M468" s="22">
        <v>68.599999999999994</v>
      </c>
      <c r="N468" s="44">
        <v>44393</v>
      </c>
      <c r="O468" s="30" t="s">
        <v>115</v>
      </c>
    </row>
    <row r="469" spans="2:15" s="30" customFormat="1" ht="15" customHeight="1" x14ac:dyDescent="0.25">
      <c r="B469" s="30" t="s">
        <v>165</v>
      </c>
      <c r="C469" s="30" t="s">
        <v>6</v>
      </c>
      <c r="D469" s="30" t="s">
        <v>10</v>
      </c>
      <c r="E469" s="30" t="s">
        <v>18</v>
      </c>
      <c r="F469" s="11">
        <v>406</v>
      </c>
      <c r="G469" s="19">
        <v>4</v>
      </c>
      <c r="H469" s="263" t="s">
        <v>26</v>
      </c>
      <c r="I469" s="21" t="s">
        <v>32</v>
      </c>
      <c r="J469" s="21" t="s">
        <v>149</v>
      </c>
      <c r="K469" s="30" t="s">
        <v>90</v>
      </c>
      <c r="L469" s="35">
        <v>45</v>
      </c>
      <c r="M469" s="22">
        <v>112.74</v>
      </c>
      <c r="N469" s="44">
        <v>44393</v>
      </c>
      <c r="O469" s="30" t="s">
        <v>115</v>
      </c>
    </row>
    <row r="470" spans="2:15" s="30" customFormat="1" ht="15" customHeight="1" x14ac:dyDescent="0.25">
      <c r="B470" s="30" t="s">
        <v>165</v>
      </c>
      <c r="C470" s="30" t="s">
        <v>6</v>
      </c>
      <c r="D470" s="30" t="s">
        <v>10</v>
      </c>
      <c r="E470" s="30" t="s">
        <v>18</v>
      </c>
      <c r="F470" s="11">
        <v>407</v>
      </c>
      <c r="G470" s="19">
        <v>4</v>
      </c>
      <c r="H470" s="263" t="s">
        <v>26</v>
      </c>
      <c r="I470" s="21" t="s">
        <v>32</v>
      </c>
      <c r="J470" s="21" t="s">
        <v>138</v>
      </c>
      <c r="K470" s="30" t="s">
        <v>90</v>
      </c>
      <c r="L470" s="35">
        <v>24</v>
      </c>
      <c r="M470" s="22">
        <v>48.03</v>
      </c>
      <c r="N470" s="44">
        <v>44393</v>
      </c>
      <c r="O470" s="30" t="s">
        <v>115</v>
      </c>
    </row>
    <row r="471" spans="2:15" s="30" customFormat="1" ht="15" customHeight="1" x14ac:dyDescent="0.25">
      <c r="B471" s="30" t="s">
        <v>165</v>
      </c>
      <c r="C471" s="30" t="s">
        <v>6</v>
      </c>
      <c r="D471" s="30" t="s">
        <v>10</v>
      </c>
      <c r="E471" s="30" t="s">
        <v>18</v>
      </c>
      <c r="F471" s="11">
        <v>408</v>
      </c>
      <c r="G471" s="19">
        <v>4</v>
      </c>
      <c r="H471" s="263" t="s">
        <v>26</v>
      </c>
      <c r="I471" s="21" t="s">
        <v>32</v>
      </c>
      <c r="J471" s="21" t="s">
        <v>138</v>
      </c>
      <c r="K471" s="30" t="s">
        <v>90</v>
      </c>
      <c r="L471" s="35">
        <v>22</v>
      </c>
      <c r="M471" s="22">
        <v>44.5</v>
      </c>
      <c r="N471" s="44">
        <v>44393</v>
      </c>
      <c r="O471" s="30" t="s">
        <v>115</v>
      </c>
    </row>
    <row r="472" spans="2:15" s="30" customFormat="1" ht="15" customHeight="1" x14ac:dyDescent="0.25">
      <c r="B472" s="30" t="s">
        <v>165</v>
      </c>
      <c r="C472" s="30" t="s">
        <v>6</v>
      </c>
      <c r="D472" s="30" t="s">
        <v>10</v>
      </c>
      <c r="E472" s="30" t="s">
        <v>18</v>
      </c>
      <c r="F472" s="11">
        <v>409</v>
      </c>
      <c r="G472" s="19">
        <v>4</v>
      </c>
      <c r="H472" s="263" t="s">
        <v>26</v>
      </c>
      <c r="I472" s="21" t="s">
        <v>32</v>
      </c>
      <c r="J472" s="21" t="s">
        <v>138</v>
      </c>
      <c r="K472" s="30" t="s">
        <v>90</v>
      </c>
      <c r="L472" s="35">
        <v>21</v>
      </c>
      <c r="M472" s="22">
        <v>43.7</v>
      </c>
      <c r="N472" s="44">
        <v>44393</v>
      </c>
      <c r="O472" s="30" t="s">
        <v>115</v>
      </c>
    </row>
    <row r="473" spans="2:15" s="30" customFormat="1" ht="15" customHeight="1" x14ac:dyDescent="0.25">
      <c r="B473" s="30" t="s">
        <v>165</v>
      </c>
      <c r="C473" s="30" t="s">
        <v>6</v>
      </c>
      <c r="D473" s="30" t="s">
        <v>10</v>
      </c>
      <c r="E473" s="30" t="s">
        <v>18</v>
      </c>
      <c r="F473" s="11">
        <v>410</v>
      </c>
      <c r="G473" s="19">
        <v>4</v>
      </c>
      <c r="H473" s="263" t="s">
        <v>26</v>
      </c>
      <c r="I473" s="21" t="s">
        <v>32</v>
      </c>
      <c r="J473" s="21" t="s">
        <v>138</v>
      </c>
      <c r="K473" s="30" t="s">
        <v>90</v>
      </c>
      <c r="L473" s="35">
        <v>21</v>
      </c>
      <c r="M473" s="22">
        <v>41.87</v>
      </c>
      <c r="N473" s="44">
        <v>44393</v>
      </c>
      <c r="O473" s="30" t="s">
        <v>115</v>
      </c>
    </row>
    <row r="474" spans="2:15" s="30" customFormat="1" ht="30.75" customHeight="1" x14ac:dyDescent="0.25">
      <c r="B474" s="30" t="s">
        <v>170</v>
      </c>
      <c r="C474" s="30" t="s">
        <v>6</v>
      </c>
      <c r="D474" s="30" t="s">
        <v>10</v>
      </c>
      <c r="E474" s="30" t="s">
        <v>18</v>
      </c>
      <c r="F474" s="11"/>
      <c r="G474" s="19">
        <v>4</v>
      </c>
      <c r="H474" s="263" t="s">
        <v>394</v>
      </c>
      <c r="I474" s="21" t="s">
        <v>35</v>
      </c>
      <c r="J474" s="21" t="s">
        <v>513</v>
      </c>
      <c r="K474" s="21" t="s">
        <v>107</v>
      </c>
      <c r="L474" s="35">
        <v>0</v>
      </c>
      <c r="M474" s="34">
        <v>17.82</v>
      </c>
      <c r="N474" s="44">
        <v>44393</v>
      </c>
      <c r="O474" s="30" t="s">
        <v>114</v>
      </c>
    </row>
    <row r="475" spans="2:15" s="30" customFormat="1" ht="28.5" customHeight="1" x14ac:dyDescent="0.25">
      <c r="B475" s="30" t="s">
        <v>170</v>
      </c>
      <c r="C475" s="30" t="s">
        <v>6</v>
      </c>
      <c r="D475" s="30" t="s">
        <v>10</v>
      </c>
      <c r="E475" s="30" t="s">
        <v>18</v>
      </c>
      <c r="F475" s="11"/>
      <c r="G475" s="19">
        <v>4</v>
      </c>
      <c r="H475" s="263" t="s">
        <v>394</v>
      </c>
      <c r="I475" s="21" t="s">
        <v>35</v>
      </c>
      <c r="J475" s="21" t="s">
        <v>514</v>
      </c>
      <c r="K475" s="21" t="s">
        <v>107</v>
      </c>
      <c r="L475" s="35">
        <v>0</v>
      </c>
      <c r="M475" s="34">
        <v>15.38</v>
      </c>
      <c r="N475" s="44">
        <v>44393</v>
      </c>
      <c r="O475" s="30" t="s">
        <v>114</v>
      </c>
    </row>
    <row r="476" spans="2:15" s="30" customFormat="1" ht="28.5" customHeight="1" x14ac:dyDescent="0.25">
      <c r="B476" s="30" t="s">
        <v>170</v>
      </c>
      <c r="C476" s="30" t="s">
        <v>6</v>
      </c>
      <c r="D476" s="30" t="s">
        <v>10</v>
      </c>
      <c r="E476" s="30" t="s">
        <v>18</v>
      </c>
      <c r="F476" s="11"/>
      <c r="G476" s="19">
        <v>4</v>
      </c>
      <c r="H476" s="263" t="s">
        <v>394</v>
      </c>
      <c r="I476" s="21" t="s">
        <v>68</v>
      </c>
      <c r="J476" s="21" t="s">
        <v>268</v>
      </c>
      <c r="K476" s="30" t="s">
        <v>94</v>
      </c>
      <c r="L476" s="35">
        <v>70</v>
      </c>
      <c r="M476" s="22">
        <v>245.93</v>
      </c>
      <c r="N476" s="44">
        <v>44393</v>
      </c>
      <c r="O476" s="30" t="s">
        <v>114</v>
      </c>
    </row>
    <row r="477" spans="2:15" s="30" customFormat="1" ht="30.75" customHeight="1" x14ac:dyDescent="0.25">
      <c r="B477" s="30" t="s">
        <v>169</v>
      </c>
      <c r="C477" s="30" t="s">
        <v>6</v>
      </c>
      <c r="D477" s="30" t="s">
        <v>10</v>
      </c>
      <c r="E477" s="30" t="s">
        <v>18</v>
      </c>
      <c r="F477" s="11"/>
      <c r="G477" s="19">
        <v>4</v>
      </c>
      <c r="H477" s="263" t="s">
        <v>399</v>
      </c>
      <c r="I477" s="21" t="s">
        <v>68</v>
      </c>
      <c r="J477" s="21" t="s">
        <v>285</v>
      </c>
      <c r="K477" s="30" t="s">
        <v>94</v>
      </c>
      <c r="L477" s="35">
        <v>2</v>
      </c>
      <c r="M477" s="22">
        <v>15.82</v>
      </c>
      <c r="N477" s="44">
        <v>44393</v>
      </c>
      <c r="O477" s="30" t="s">
        <v>114</v>
      </c>
    </row>
    <row r="478" spans="2:15" s="30" customFormat="1" ht="29.25" customHeight="1" x14ac:dyDescent="0.25">
      <c r="B478" s="30" t="s">
        <v>169</v>
      </c>
      <c r="C478" s="30" t="s">
        <v>6</v>
      </c>
      <c r="D478" s="30" t="s">
        <v>10</v>
      </c>
      <c r="E478" s="30" t="s">
        <v>18</v>
      </c>
      <c r="F478" s="11"/>
      <c r="G478" s="19">
        <v>4</v>
      </c>
      <c r="H478" s="263" t="s">
        <v>399</v>
      </c>
      <c r="I478" s="21" t="s">
        <v>68</v>
      </c>
      <c r="J478" s="21" t="s">
        <v>286</v>
      </c>
      <c r="K478" s="30" t="s">
        <v>94</v>
      </c>
      <c r="L478" s="35">
        <v>7</v>
      </c>
      <c r="M478" s="22">
        <v>20.440000000000001</v>
      </c>
      <c r="N478" s="44">
        <v>44393</v>
      </c>
      <c r="O478" s="30" t="s">
        <v>114</v>
      </c>
    </row>
    <row r="479" spans="2:15" s="30" customFormat="1" ht="30.75" customHeight="1" x14ac:dyDescent="0.25">
      <c r="B479" s="30" t="s">
        <v>169</v>
      </c>
      <c r="C479" s="30" t="s">
        <v>6</v>
      </c>
      <c r="D479" s="30" t="s">
        <v>10</v>
      </c>
      <c r="E479" s="30" t="s">
        <v>18</v>
      </c>
      <c r="F479" s="11"/>
      <c r="G479" s="19">
        <v>4</v>
      </c>
      <c r="H479" s="263" t="s">
        <v>399</v>
      </c>
      <c r="I479" s="21" t="s">
        <v>68</v>
      </c>
      <c r="J479" s="21" t="s">
        <v>287</v>
      </c>
      <c r="K479" s="30" t="s">
        <v>94</v>
      </c>
      <c r="L479" s="35">
        <v>1</v>
      </c>
      <c r="M479" s="22">
        <v>3.75</v>
      </c>
      <c r="N479" s="44">
        <v>44393</v>
      </c>
      <c r="O479" s="30" t="s">
        <v>115</v>
      </c>
    </row>
    <row r="480" spans="2:15" s="30" customFormat="1" ht="30" customHeight="1" x14ac:dyDescent="0.25">
      <c r="B480" s="30" t="s">
        <v>168</v>
      </c>
      <c r="C480" s="30" t="s">
        <v>6</v>
      </c>
      <c r="D480" s="30" t="s">
        <v>10</v>
      </c>
      <c r="E480" s="30" t="s">
        <v>18</v>
      </c>
      <c r="F480" s="11"/>
      <c r="G480" s="19">
        <v>4</v>
      </c>
      <c r="H480" s="263" t="s">
        <v>389</v>
      </c>
      <c r="I480" s="21" t="s">
        <v>68</v>
      </c>
      <c r="J480" s="21" t="s">
        <v>304</v>
      </c>
      <c r="K480" s="30" t="s">
        <v>94</v>
      </c>
      <c r="L480" s="35">
        <v>1</v>
      </c>
      <c r="M480" s="22">
        <v>1.37</v>
      </c>
      <c r="N480" s="44">
        <v>44393</v>
      </c>
      <c r="O480" s="30" t="s">
        <v>115</v>
      </c>
    </row>
    <row r="481" spans="2:15" s="30" customFormat="1" ht="30" customHeight="1" x14ac:dyDescent="0.25">
      <c r="B481" s="30" t="s">
        <v>168</v>
      </c>
      <c r="C481" s="30" t="s">
        <v>6</v>
      </c>
      <c r="D481" s="30" t="s">
        <v>10</v>
      </c>
      <c r="E481" s="30" t="s">
        <v>18</v>
      </c>
      <c r="F481" s="11"/>
      <c r="G481" s="19">
        <v>4</v>
      </c>
      <c r="H481" s="263" t="s">
        <v>390</v>
      </c>
      <c r="I481" s="21" t="s">
        <v>35</v>
      </c>
      <c r="J481" s="21" t="s">
        <v>353</v>
      </c>
      <c r="K481" s="30" t="s">
        <v>94</v>
      </c>
      <c r="L481" s="35">
        <v>0</v>
      </c>
      <c r="M481" s="22">
        <v>2.04</v>
      </c>
      <c r="N481" s="44">
        <v>44393</v>
      </c>
      <c r="O481" s="30" t="s">
        <v>115</v>
      </c>
    </row>
    <row r="482" spans="2:15" s="30" customFormat="1" ht="30" customHeight="1" x14ac:dyDescent="0.25">
      <c r="B482" s="30" t="s">
        <v>168</v>
      </c>
      <c r="C482" s="30" t="s">
        <v>6</v>
      </c>
      <c r="D482" s="30" t="s">
        <v>10</v>
      </c>
      <c r="E482" s="30" t="s">
        <v>18</v>
      </c>
      <c r="F482" s="11"/>
      <c r="G482" s="19">
        <v>4</v>
      </c>
      <c r="H482" s="263" t="s">
        <v>389</v>
      </c>
      <c r="I482" s="21" t="s">
        <v>68</v>
      </c>
      <c r="J482" s="21" t="s">
        <v>382</v>
      </c>
      <c r="K482" s="30" t="s">
        <v>94</v>
      </c>
      <c r="L482" s="35">
        <v>0</v>
      </c>
      <c r="M482" s="22">
        <v>1.74</v>
      </c>
      <c r="N482" s="44">
        <v>44393</v>
      </c>
      <c r="O482" s="30" t="s">
        <v>115</v>
      </c>
    </row>
    <row r="483" spans="2:15" s="30" customFormat="1" ht="29.25" customHeight="1" x14ac:dyDescent="0.25">
      <c r="B483" s="30" t="s">
        <v>168</v>
      </c>
      <c r="C483" s="30" t="s">
        <v>6</v>
      </c>
      <c r="D483" s="30" t="s">
        <v>10</v>
      </c>
      <c r="E483" s="30" t="s">
        <v>18</v>
      </c>
      <c r="F483" s="11"/>
      <c r="G483" s="19">
        <v>4</v>
      </c>
      <c r="H483" s="263" t="s">
        <v>390</v>
      </c>
      <c r="I483" s="21" t="s">
        <v>38</v>
      </c>
      <c r="J483" s="21" t="s">
        <v>288</v>
      </c>
      <c r="K483" s="30" t="s">
        <v>94</v>
      </c>
      <c r="L483" s="35">
        <v>0</v>
      </c>
      <c r="M483" s="22">
        <v>8.74</v>
      </c>
      <c r="N483" s="44">
        <v>44393</v>
      </c>
      <c r="O483" s="30" t="s">
        <v>115</v>
      </c>
    </row>
    <row r="484" spans="2:15" s="30" customFormat="1" ht="15" customHeight="1" x14ac:dyDescent="0.25">
      <c r="B484" s="30" t="s">
        <v>165</v>
      </c>
      <c r="C484" s="30" t="s">
        <v>6</v>
      </c>
      <c r="D484" s="30" t="s">
        <v>10</v>
      </c>
      <c r="E484" s="30" t="s">
        <v>18</v>
      </c>
      <c r="F484" s="11">
        <v>501</v>
      </c>
      <c r="G484" s="19">
        <v>5</v>
      </c>
      <c r="H484" s="263" t="s">
        <v>26</v>
      </c>
      <c r="I484" s="21" t="s">
        <v>32</v>
      </c>
      <c r="J484" s="21" t="s">
        <v>138</v>
      </c>
      <c r="K484" s="30" t="s">
        <v>90</v>
      </c>
      <c r="L484" s="35">
        <v>25</v>
      </c>
      <c r="M484" s="22">
        <v>47.9</v>
      </c>
      <c r="N484" s="44">
        <v>44393</v>
      </c>
      <c r="O484" s="30" t="s">
        <v>115</v>
      </c>
    </row>
    <row r="485" spans="2:15" s="30" customFormat="1" ht="15" customHeight="1" x14ac:dyDescent="0.25">
      <c r="B485" s="30" t="s">
        <v>165</v>
      </c>
      <c r="C485" s="30" t="s">
        <v>6</v>
      </c>
      <c r="D485" s="30" t="s">
        <v>10</v>
      </c>
      <c r="E485" s="30" t="s">
        <v>18</v>
      </c>
      <c r="F485" s="11">
        <v>502</v>
      </c>
      <c r="G485" s="19">
        <v>5</v>
      </c>
      <c r="H485" s="263" t="s">
        <v>26</v>
      </c>
      <c r="I485" s="21" t="s">
        <v>32</v>
      </c>
      <c r="J485" s="21" t="s">
        <v>138</v>
      </c>
      <c r="K485" s="30" t="s">
        <v>90</v>
      </c>
      <c r="L485" s="35">
        <v>25</v>
      </c>
      <c r="M485" s="22">
        <v>42</v>
      </c>
      <c r="N485" s="44">
        <v>44393</v>
      </c>
      <c r="O485" s="30" t="s">
        <v>115</v>
      </c>
    </row>
    <row r="486" spans="2:15" s="30" customFormat="1" ht="15" customHeight="1" x14ac:dyDescent="0.25">
      <c r="B486" s="30" t="s">
        <v>165</v>
      </c>
      <c r="C486" s="30" t="s">
        <v>6</v>
      </c>
      <c r="D486" s="30" t="s">
        <v>10</v>
      </c>
      <c r="E486" s="30" t="s">
        <v>18</v>
      </c>
      <c r="F486" s="11">
        <v>503</v>
      </c>
      <c r="G486" s="19">
        <v>5</v>
      </c>
      <c r="H486" s="263" t="s">
        <v>26</v>
      </c>
      <c r="I486" s="21" t="s">
        <v>32</v>
      </c>
      <c r="J486" s="21" t="s">
        <v>138</v>
      </c>
      <c r="K486" s="30" t="s">
        <v>90</v>
      </c>
      <c r="L486" s="35">
        <v>25</v>
      </c>
      <c r="M486" s="22">
        <v>48.73</v>
      </c>
      <c r="N486" s="44">
        <v>44393</v>
      </c>
      <c r="O486" s="30" t="s">
        <v>115</v>
      </c>
    </row>
    <row r="487" spans="2:15" s="30" customFormat="1" ht="15.75" customHeight="1" x14ac:dyDescent="0.25">
      <c r="B487" s="30" t="s">
        <v>165</v>
      </c>
      <c r="C487" s="30" t="s">
        <v>6</v>
      </c>
      <c r="D487" s="30" t="s">
        <v>10</v>
      </c>
      <c r="E487" s="30" t="s">
        <v>18</v>
      </c>
      <c r="F487" s="11">
        <v>504</v>
      </c>
      <c r="G487" s="19">
        <v>5</v>
      </c>
      <c r="H487" s="263" t="s">
        <v>26</v>
      </c>
      <c r="I487" s="21" t="s">
        <v>32</v>
      </c>
      <c r="J487" s="21" t="s">
        <v>138</v>
      </c>
      <c r="K487" s="30" t="s">
        <v>90</v>
      </c>
      <c r="L487" s="35">
        <v>25</v>
      </c>
      <c r="M487" s="22">
        <v>48.81</v>
      </c>
      <c r="N487" s="44">
        <v>44393</v>
      </c>
      <c r="O487" s="30" t="s">
        <v>115</v>
      </c>
    </row>
    <row r="488" spans="2:15" s="30" customFormat="1" ht="15" customHeight="1" x14ac:dyDescent="0.25">
      <c r="B488" s="30" t="s">
        <v>165</v>
      </c>
      <c r="C488" s="30" t="s">
        <v>6</v>
      </c>
      <c r="D488" s="30" t="s">
        <v>10</v>
      </c>
      <c r="E488" s="30" t="s">
        <v>18</v>
      </c>
      <c r="F488" s="11">
        <v>505</v>
      </c>
      <c r="G488" s="19">
        <v>5</v>
      </c>
      <c r="H488" s="263" t="s">
        <v>26</v>
      </c>
      <c r="I488" s="21" t="s">
        <v>32</v>
      </c>
      <c r="J488" s="21" t="s">
        <v>138</v>
      </c>
      <c r="K488" s="30" t="s">
        <v>90</v>
      </c>
      <c r="L488" s="35">
        <v>25</v>
      </c>
      <c r="M488" s="22">
        <v>48.73</v>
      </c>
      <c r="N488" s="44">
        <v>44393</v>
      </c>
      <c r="O488" s="30" t="s">
        <v>115</v>
      </c>
    </row>
    <row r="489" spans="2:15" s="30" customFormat="1" ht="15" customHeight="1" x14ac:dyDescent="0.25">
      <c r="B489" s="30" t="s">
        <v>165</v>
      </c>
      <c r="C489" s="30" t="s">
        <v>6</v>
      </c>
      <c r="D489" s="30" t="s">
        <v>10</v>
      </c>
      <c r="E489" s="30" t="s">
        <v>18</v>
      </c>
      <c r="F489" s="11">
        <v>506</v>
      </c>
      <c r="G489" s="19">
        <v>5</v>
      </c>
      <c r="H489" s="263" t="s">
        <v>26</v>
      </c>
      <c r="I489" s="21" t="s">
        <v>32</v>
      </c>
      <c r="J489" s="21" t="s">
        <v>138</v>
      </c>
      <c r="K489" s="30" t="s">
        <v>90</v>
      </c>
      <c r="L489" s="35">
        <v>25</v>
      </c>
      <c r="M489" s="22">
        <v>48.64</v>
      </c>
      <c r="N489" s="44">
        <v>44393</v>
      </c>
      <c r="O489" s="30" t="s">
        <v>115</v>
      </c>
    </row>
    <row r="490" spans="2:15" s="30" customFormat="1" ht="15" customHeight="1" x14ac:dyDescent="0.25">
      <c r="B490" s="30" t="s">
        <v>165</v>
      </c>
      <c r="C490" s="30" t="s">
        <v>6</v>
      </c>
      <c r="D490" s="30" t="s">
        <v>10</v>
      </c>
      <c r="E490" s="30" t="s">
        <v>18</v>
      </c>
      <c r="F490" s="11">
        <v>507</v>
      </c>
      <c r="G490" s="19">
        <v>5</v>
      </c>
      <c r="H490" s="263" t="s">
        <v>26</v>
      </c>
      <c r="I490" s="21" t="s">
        <v>32</v>
      </c>
      <c r="J490" s="21" t="s">
        <v>138</v>
      </c>
      <c r="K490" s="30" t="s">
        <v>90</v>
      </c>
      <c r="L490" s="35">
        <v>25</v>
      </c>
      <c r="M490" s="22">
        <v>47.38</v>
      </c>
      <c r="N490" s="44">
        <v>44393</v>
      </c>
      <c r="O490" s="30" t="s">
        <v>115</v>
      </c>
    </row>
    <row r="491" spans="2:15" s="30" customFormat="1" ht="15" customHeight="1" x14ac:dyDescent="0.25">
      <c r="B491" s="30" t="s">
        <v>165</v>
      </c>
      <c r="C491" s="30" t="s">
        <v>6</v>
      </c>
      <c r="D491" s="30" t="s">
        <v>10</v>
      </c>
      <c r="E491" s="30" t="s">
        <v>18</v>
      </c>
      <c r="F491" s="11">
        <v>508</v>
      </c>
      <c r="G491" s="19">
        <v>5</v>
      </c>
      <c r="H491" s="263" t="s">
        <v>26</v>
      </c>
      <c r="I491" s="21" t="s">
        <v>32</v>
      </c>
      <c r="J491" s="21" t="s">
        <v>138</v>
      </c>
      <c r="K491" s="30" t="s">
        <v>90</v>
      </c>
      <c r="L491" s="35">
        <v>26</v>
      </c>
      <c r="M491" s="22">
        <v>51.77</v>
      </c>
      <c r="N491" s="44">
        <v>44393</v>
      </c>
      <c r="O491" s="30" t="s">
        <v>115</v>
      </c>
    </row>
    <row r="492" spans="2:15" s="30" customFormat="1" ht="15" customHeight="1" x14ac:dyDescent="0.25">
      <c r="B492" s="30" t="s">
        <v>165</v>
      </c>
      <c r="C492" s="30" t="s">
        <v>6</v>
      </c>
      <c r="D492" s="30" t="s">
        <v>10</v>
      </c>
      <c r="E492" s="30" t="s">
        <v>18</v>
      </c>
      <c r="F492" s="11">
        <v>509</v>
      </c>
      <c r="G492" s="19">
        <v>5</v>
      </c>
      <c r="H492" s="263" t="s">
        <v>26</v>
      </c>
      <c r="I492" s="21" t="s">
        <v>32</v>
      </c>
      <c r="J492" s="21" t="s">
        <v>138</v>
      </c>
      <c r="K492" s="30" t="s">
        <v>90</v>
      </c>
      <c r="L492" s="35">
        <v>26</v>
      </c>
      <c r="M492" s="22">
        <v>51.27</v>
      </c>
      <c r="N492" s="44">
        <v>44393</v>
      </c>
      <c r="O492" s="30" t="s">
        <v>115</v>
      </c>
    </row>
    <row r="493" spans="2:15" s="30" customFormat="1" ht="15" customHeight="1" x14ac:dyDescent="0.25">
      <c r="B493" s="30" t="s">
        <v>165</v>
      </c>
      <c r="C493" s="30" t="s">
        <v>6</v>
      </c>
      <c r="D493" s="30" t="s">
        <v>10</v>
      </c>
      <c r="E493" s="30" t="s">
        <v>18</v>
      </c>
      <c r="F493" s="11">
        <v>510</v>
      </c>
      <c r="G493" s="19">
        <v>5</v>
      </c>
      <c r="H493" s="263" t="s">
        <v>26</v>
      </c>
      <c r="I493" s="21" t="s">
        <v>32</v>
      </c>
      <c r="J493" s="21" t="s">
        <v>138</v>
      </c>
      <c r="K493" s="30" t="s">
        <v>90</v>
      </c>
      <c r="L493" s="35">
        <v>25</v>
      </c>
      <c r="M493" s="22">
        <v>47.05</v>
      </c>
      <c r="N493" s="44">
        <v>44393</v>
      </c>
      <c r="O493" s="30" t="s">
        <v>115</v>
      </c>
    </row>
    <row r="494" spans="2:15" s="30" customFormat="1" ht="15" customHeight="1" x14ac:dyDescent="0.25">
      <c r="B494" s="30" t="s">
        <v>165</v>
      </c>
      <c r="C494" s="30" t="s">
        <v>6</v>
      </c>
      <c r="D494" s="30" t="s">
        <v>10</v>
      </c>
      <c r="E494" s="30" t="s">
        <v>18</v>
      </c>
      <c r="F494" s="11">
        <v>511</v>
      </c>
      <c r="G494" s="19">
        <v>5</v>
      </c>
      <c r="H494" s="263" t="s">
        <v>26</v>
      </c>
      <c r="I494" s="21" t="s">
        <v>32</v>
      </c>
      <c r="J494" s="21" t="s">
        <v>138</v>
      </c>
      <c r="K494" s="30" t="s">
        <v>90</v>
      </c>
      <c r="L494" s="35">
        <v>25</v>
      </c>
      <c r="M494" s="22">
        <v>43.98</v>
      </c>
      <c r="N494" s="44">
        <v>44393</v>
      </c>
      <c r="O494" s="30" t="s">
        <v>115</v>
      </c>
    </row>
    <row r="495" spans="2:15" s="30" customFormat="1" ht="15" customHeight="1" x14ac:dyDescent="0.25">
      <c r="B495" s="30" t="s">
        <v>165</v>
      </c>
      <c r="C495" s="30" t="s">
        <v>6</v>
      </c>
      <c r="D495" s="30" t="s">
        <v>10</v>
      </c>
      <c r="E495" s="30" t="s">
        <v>18</v>
      </c>
      <c r="F495" s="11">
        <v>512</v>
      </c>
      <c r="G495" s="19">
        <v>5</v>
      </c>
      <c r="H495" s="263" t="s">
        <v>26</v>
      </c>
      <c r="I495" s="21" t="s">
        <v>32</v>
      </c>
      <c r="J495" s="21" t="s">
        <v>138</v>
      </c>
      <c r="K495" s="30" t="s">
        <v>90</v>
      </c>
      <c r="L495" s="35">
        <v>25</v>
      </c>
      <c r="M495" s="22">
        <v>44.63</v>
      </c>
      <c r="N495" s="44">
        <v>44393</v>
      </c>
      <c r="O495" s="30" t="s">
        <v>115</v>
      </c>
    </row>
    <row r="496" spans="2:15" s="30" customFormat="1" ht="15" customHeight="1" x14ac:dyDescent="0.25">
      <c r="B496" s="30" t="s">
        <v>165</v>
      </c>
      <c r="C496" s="30" t="s">
        <v>6</v>
      </c>
      <c r="D496" s="30" t="s">
        <v>10</v>
      </c>
      <c r="E496" s="30" t="s">
        <v>18</v>
      </c>
      <c r="F496" s="11">
        <v>513</v>
      </c>
      <c r="G496" s="19">
        <v>5</v>
      </c>
      <c r="H496" s="263" t="s">
        <v>26</v>
      </c>
      <c r="I496" s="21" t="s">
        <v>32</v>
      </c>
      <c r="J496" s="21" t="s">
        <v>138</v>
      </c>
      <c r="K496" s="30" t="s">
        <v>90</v>
      </c>
      <c r="L496" s="35">
        <v>20</v>
      </c>
      <c r="M496" s="22">
        <v>40.340000000000003</v>
      </c>
      <c r="N496" s="44">
        <v>44393</v>
      </c>
      <c r="O496" s="30" t="s">
        <v>115</v>
      </c>
    </row>
    <row r="497" spans="2:15" s="30" customFormat="1" ht="15" customHeight="1" x14ac:dyDescent="0.25">
      <c r="B497" s="30" t="s">
        <v>165</v>
      </c>
      <c r="C497" s="30" t="s">
        <v>6</v>
      </c>
      <c r="D497" s="30" t="s">
        <v>10</v>
      </c>
      <c r="E497" s="30" t="s">
        <v>18</v>
      </c>
      <c r="F497" s="11">
        <v>514</v>
      </c>
      <c r="G497" s="19">
        <v>5</v>
      </c>
      <c r="H497" s="263" t="s">
        <v>26</v>
      </c>
      <c r="I497" s="21" t="s">
        <v>32</v>
      </c>
      <c r="J497" s="21" t="s">
        <v>138</v>
      </c>
      <c r="K497" s="30" t="s">
        <v>90</v>
      </c>
      <c r="L497" s="35">
        <v>19</v>
      </c>
      <c r="M497" s="22">
        <v>38.450000000000003</v>
      </c>
      <c r="N497" s="44">
        <v>44393</v>
      </c>
      <c r="O497" s="30" t="s">
        <v>115</v>
      </c>
    </row>
    <row r="498" spans="2:15" s="30" customFormat="1" ht="15" customHeight="1" x14ac:dyDescent="0.25">
      <c r="B498" s="30" t="s">
        <v>165</v>
      </c>
      <c r="C498" s="30" t="s">
        <v>6</v>
      </c>
      <c r="D498" s="30" t="s">
        <v>10</v>
      </c>
      <c r="E498" s="30" t="s">
        <v>18</v>
      </c>
      <c r="F498" s="11">
        <v>515</v>
      </c>
      <c r="G498" s="19">
        <v>5</v>
      </c>
      <c r="H498" s="263" t="s">
        <v>26</v>
      </c>
      <c r="I498" s="21" t="s">
        <v>32</v>
      </c>
      <c r="J498" s="21" t="s">
        <v>138</v>
      </c>
      <c r="K498" s="30" t="s">
        <v>90</v>
      </c>
      <c r="L498" s="35">
        <v>19</v>
      </c>
      <c r="M498" s="22">
        <v>37.46</v>
      </c>
      <c r="N498" s="44">
        <v>44393</v>
      </c>
      <c r="O498" s="30" t="s">
        <v>115</v>
      </c>
    </row>
    <row r="499" spans="2:15" s="30" customFormat="1" ht="15" customHeight="1" x14ac:dyDescent="0.25">
      <c r="B499" s="30" t="s">
        <v>165</v>
      </c>
      <c r="C499" s="30" t="s">
        <v>6</v>
      </c>
      <c r="D499" s="30" t="s">
        <v>10</v>
      </c>
      <c r="E499" s="30" t="s">
        <v>18</v>
      </c>
      <c r="F499" s="11">
        <v>516</v>
      </c>
      <c r="G499" s="19">
        <v>5</v>
      </c>
      <c r="H499" s="263" t="s">
        <v>26</v>
      </c>
      <c r="I499" s="21" t="s">
        <v>32</v>
      </c>
      <c r="J499" s="21" t="s">
        <v>138</v>
      </c>
      <c r="K499" s="30" t="s">
        <v>90</v>
      </c>
      <c r="L499" s="35">
        <v>25</v>
      </c>
      <c r="M499" s="22">
        <v>44.43</v>
      </c>
      <c r="N499" s="44">
        <v>44393</v>
      </c>
      <c r="O499" s="30" t="s">
        <v>115</v>
      </c>
    </row>
    <row r="500" spans="2:15" s="30" customFormat="1" ht="15" customHeight="1" x14ac:dyDescent="0.25">
      <c r="B500" s="30" t="s">
        <v>170</v>
      </c>
      <c r="C500" s="30" t="s">
        <v>6</v>
      </c>
      <c r="D500" s="30" t="s">
        <v>10</v>
      </c>
      <c r="E500" s="30" t="s">
        <v>18</v>
      </c>
      <c r="F500" s="11"/>
      <c r="G500" s="19">
        <v>5</v>
      </c>
      <c r="H500" s="263" t="s">
        <v>394</v>
      </c>
      <c r="I500" s="21" t="s">
        <v>68</v>
      </c>
      <c r="J500" s="21" t="s">
        <v>267</v>
      </c>
      <c r="K500" s="30" t="s">
        <v>94</v>
      </c>
      <c r="L500" s="35">
        <v>178</v>
      </c>
      <c r="M500" s="22">
        <v>356.77</v>
      </c>
      <c r="N500" s="44">
        <v>44393</v>
      </c>
      <c r="O500" s="30" t="s">
        <v>114</v>
      </c>
    </row>
    <row r="501" spans="2:15" s="30" customFormat="1" ht="15" customHeight="1" x14ac:dyDescent="0.25">
      <c r="B501" s="30" t="s">
        <v>169</v>
      </c>
      <c r="C501" s="30" t="s">
        <v>6</v>
      </c>
      <c r="D501" s="30" t="s">
        <v>10</v>
      </c>
      <c r="E501" s="30" t="s">
        <v>18</v>
      </c>
      <c r="F501" s="11"/>
      <c r="G501" s="19">
        <v>5</v>
      </c>
      <c r="H501" s="263" t="s">
        <v>399</v>
      </c>
      <c r="I501" s="21" t="s">
        <v>68</v>
      </c>
      <c r="J501" s="21" t="s">
        <v>289</v>
      </c>
      <c r="K501" s="30" t="s">
        <v>94</v>
      </c>
      <c r="L501" s="35">
        <v>2</v>
      </c>
      <c r="M501" s="22">
        <v>15.82</v>
      </c>
      <c r="N501" s="44">
        <v>44393</v>
      </c>
      <c r="O501" s="30" t="s">
        <v>114</v>
      </c>
    </row>
    <row r="502" spans="2:15" s="30" customFormat="1" ht="15" customHeight="1" x14ac:dyDescent="0.25">
      <c r="B502" s="30" t="s">
        <v>169</v>
      </c>
      <c r="C502" s="30" t="s">
        <v>6</v>
      </c>
      <c r="D502" s="30" t="s">
        <v>10</v>
      </c>
      <c r="E502" s="30" t="s">
        <v>18</v>
      </c>
      <c r="F502" s="11"/>
      <c r="G502" s="19">
        <v>5</v>
      </c>
      <c r="H502" s="263" t="s">
        <v>399</v>
      </c>
      <c r="I502" s="21" t="s">
        <v>68</v>
      </c>
      <c r="J502" s="21" t="s">
        <v>290</v>
      </c>
      <c r="K502" s="30" t="s">
        <v>94</v>
      </c>
      <c r="L502" s="35">
        <v>7</v>
      </c>
      <c r="M502" s="22">
        <v>20.440000000000001</v>
      </c>
      <c r="N502" s="44">
        <v>44393</v>
      </c>
      <c r="O502" s="30" t="s">
        <v>114</v>
      </c>
    </row>
    <row r="503" spans="2:15" s="30" customFormat="1" ht="29.25" customHeight="1" x14ac:dyDescent="0.25">
      <c r="B503" s="30" t="s">
        <v>169</v>
      </c>
      <c r="C503" s="30" t="s">
        <v>6</v>
      </c>
      <c r="D503" s="30" t="s">
        <v>10</v>
      </c>
      <c r="E503" s="30" t="s">
        <v>18</v>
      </c>
      <c r="F503" s="11"/>
      <c r="G503" s="19">
        <v>5</v>
      </c>
      <c r="H503" s="263" t="s">
        <v>399</v>
      </c>
      <c r="I503" s="21" t="s">
        <v>68</v>
      </c>
      <c r="J503" s="21" t="s">
        <v>291</v>
      </c>
      <c r="K503" s="30" t="s">
        <v>94</v>
      </c>
      <c r="L503" s="35">
        <v>1</v>
      </c>
      <c r="M503" s="22">
        <v>3.75</v>
      </c>
      <c r="N503" s="44">
        <v>44393</v>
      </c>
      <c r="O503" s="30" t="s">
        <v>115</v>
      </c>
    </row>
    <row r="504" spans="2:15" s="30" customFormat="1" ht="30.75" customHeight="1" x14ac:dyDescent="0.25">
      <c r="B504" s="30" t="s">
        <v>168</v>
      </c>
      <c r="C504" s="30" t="s">
        <v>6</v>
      </c>
      <c r="D504" s="30" t="s">
        <v>10</v>
      </c>
      <c r="E504" s="30" t="s">
        <v>18</v>
      </c>
      <c r="F504" s="11"/>
      <c r="G504" s="19">
        <v>5</v>
      </c>
      <c r="H504" s="263" t="s">
        <v>389</v>
      </c>
      <c r="I504" s="21" t="s">
        <v>68</v>
      </c>
      <c r="J504" s="21" t="s">
        <v>359</v>
      </c>
      <c r="K504" s="30" t="s">
        <v>94</v>
      </c>
      <c r="L504" s="35">
        <v>0</v>
      </c>
      <c r="M504" s="22">
        <v>1.37</v>
      </c>
      <c r="N504" s="44">
        <v>44393</v>
      </c>
      <c r="O504" s="30" t="s">
        <v>115</v>
      </c>
    </row>
    <row r="505" spans="2:15" s="30" customFormat="1" ht="30.75" customHeight="1" x14ac:dyDescent="0.25">
      <c r="B505" s="30" t="s">
        <v>168</v>
      </c>
      <c r="C505" s="30" t="s">
        <v>6</v>
      </c>
      <c r="D505" s="30" t="s">
        <v>10</v>
      </c>
      <c r="E505" s="30" t="s">
        <v>18</v>
      </c>
      <c r="F505" s="11"/>
      <c r="G505" s="19">
        <v>5</v>
      </c>
      <c r="H505" s="263" t="s">
        <v>389</v>
      </c>
      <c r="I505" s="21" t="s">
        <v>68</v>
      </c>
      <c r="J505" s="21" t="s">
        <v>358</v>
      </c>
      <c r="K505" s="30" t="s">
        <v>94</v>
      </c>
      <c r="L505" s="35">
        <v>0</v>
      </c>
      <c r="M505" s="22">
        <v>1.74</v>
      </c>
      <c r="N505" s="44">
        <v>44393</v>
      </c>
      <c r="O505" s="30" t="s">
        <v>115</v>
      </c>
    </row>
    <row r="506" spans="2:15" s="30" customFormat="1" ht="28.5" customHeight="1" x14ac:dyDescent="0.25">
      <c r="B506" s="30" t="s">
        <v>168</v>
      </c>
      <c r="C506" s="30" t="s">
        <v>6</v>
      </c>
      <c r="D506" s="30" t="s">
        <v>10</v>
      </c>
      <c r="E506" s="30" t="s">
        <v>18</v>
      </c>
      <c r="F506" s="11"/>
      <c r="G506" s="19">
        <v>5</v>
      </c>
      <c r="H506" s="263" t="s">
        <v>390</v>
      </c>
      <c r="I506" s="21" t="s">
        <v>35</v>
      </c>
      <c r="J506" s="21" t="s">
        <v>353</v>
      </c>
      <c r="K506" s="30" t="s">
        <v>94</v>
      </c>
      <c r="L506" s="35">
        <v>0</v>
      </c>
      <c r="M506" s="22">
        <v>2.04</v>
      </c>
      <c r="N506" s="44">
        <v>44393</v>
      </c>
      <c r="O506" s="30" t="s">
        <v>115</v>
      </c>
    </row>
    <row r="507" spans="2:15" s="30" customFormat="1" ht="30" customHeight="1" x14ac:dyDescent="0.25">
      <c r="B507" s="30" t="s">
        <v>170</v>
      </c>
      <c r="C507" s="30" t="s">
        <v>6</v>
      </c>
      <c r="D507" s="30" t="s">
        <v>10</v>
      </c>
      <c r="E507" s="30" t="s">
        <v>18</v>
      </c>
      <c r="F507" s="11"/>
      <c r="G507" s="30">
        <v>5</v>
      </c>
      <c r="H507" s="263" t="s">
        <v>394</v>
      </c>
      <c r="I507" s="21" t="s">
        <v>35</v>
      </c>
      <c r="J507" s="21" t="s">
        <v>513</v>
      </c>
      <c r="K507" s="21" t="s">
        <v>107</v>
      </c>
      <c r="L507" s="35">
        <v>0</v>
      </c>
      <c r="M507" s="34">
        <v>17.82</v>
      </c>
      <c r="N507" s="44">
        <v>44393</v>
      </c>
      <c r="O507" s="30" t="s">
        <v>114</v>
      </c>
    </row>
    <row r="508" spans="2:15" s="30" customFormat="1" ht="30" customHeight="1" x14ac:dyDescent="0.25">
      <c r="B508" s="30" t="s">
        <v>170</v>
      </c>
      <c r="C508" s="30" t="s">
        <v>6</v>
      </c>
      <c r="D508" s="30" t="s">
        <v>10</v>
      </c>
      <c r="E508" s="30" t="s">
        <v>18</v>
      </c>
      <c r="F508" s="11"/>
      <c r="G508" s="19">
        <v>5</v>
      </c>
      <c r="H508" s="263" t="s">
        <v>394</v>
      </c>
      <c r="I508" s="21" t="s">
        <v>35</v>
      </c>
      <c r="J508" s="21" t="s">
        <v>514</v>
      </c>
      <c r="K508" s="21" t="s">
        <v>107</v>
      </c>
      <c r="L508" s="35">
        <v>0</v>
      </c>
      <c r="M508" s="34">
        <v>15.38</v>
      </c>
      <c r="N508" s="44">
        <v>44393</v>
      </c>
      <c r="O508" s="30" t="s">
        <v>114</v>
      </c>
    </row>
    <row r="509" spans="2:15" s="30" customFormat="1" ht="30" customHeight="1" x14ac:dyDescent="0.25">
      <c r="B509" s="30" t="s">
        <v>168</v>
      </c>
      <c r="C509" s="30" t="s">
        <v>6</v>
      </c>
      <c r="D509" s="30" t="s">
        <v>10</v>
      </c>
      <c r="E509" s="30" t="s">
        <v>18</v>
      </c>
      <c r="F509" s="11"/>
      <c r="G509" s="19">
        <v>5</v>
      </c>
      <c r="H509" s="263" t="s">
        <v>390</v>
      </c>
      <c r="I509" s="21" t="s">
        <v>38</v>
      </c>
      <c r="J509" s="21" t="s">
        <v>292</v>
      </c>
      <c r="K509" s="30" t="s">
        <v>94</v>
      </c>
      <c r="L509" s="35">
        <v>0</v>
      </c>
      <c r="M509" s="22">
        <v>8.74</v>
      </c>
      <c r="N509" s="44">
        <v>44393</v>
      </c>
      <c r="O509" s="30" t="s">
        <v>115</v>
      </c>
    </row>
    <row r="510" spans="2:15" s="30" customFormat="1" ht="30" x14ac:dyDescent="0.25">
      <c r="B510" s="30" t="s">
        <v>165</v>
      </c>
      <c r="C510" s="30" t="s">
        <v>6</v>
      </c>
      <c r="D510" s="30" t="s">
        <v>10</v>
      </c>
      <c r="E510" s="30" t="s">
        <v>18</v>
      </c>
      <c r="F510" s="11">
        <v>601</v>
      </c>
      <c r="G510" s="19">
        <v>6</v>
      </c>
      <c r="H510" s="263" t="s">
        <v>26</v>
      </c>
      <c r="I510" s="21" t="s">
        <v>32</v>
      </c>
      <c r="J510" s="21" t="s">
        <v>138</v>
      </c>
      <c r="K510" s="30" t="s">
        <v>90</v>
      </c>
      <c r="L510" s="35">
        <v>25</v>
      </c>
      <c r="M510" s="22">
        <v>47.9</v>
      </c>
      <c r="N510" s="44">
        <v>44393</v>
      </c>
      <c r="O510" s="30" t="s">
        <v>115</v>
      </c>
    </row>
    <row r="511" spans="2:15" s="30" customFormat="1" ht="28.5" customHeight="1" x14ac:dyDescent="0.25">
      <c r="B511" s="30" t="s">
        <v>165</v>
      </c>
      <c r="C511" s="30" t="s">
        <v>6</v>
      </c>
      <c r="D511" s="30" t="s">
        <v>10</v>
      </c>
      <c r="E511" s="30" t="s">
        <v>18</v>
      </c>
      <c r="F511" s="11">
        <v>602</v>
      </c>
      <c r="G511" s="19">
        <v>6</v>
      </c>
      <c r="H511" s="263" t="s">
        <v>26</v>
      </c>
      <c r="I511" s="21" t="s">
        <v>32</v>
      </c>
      <c r="J511" s="21" t="s">
        <v>138</v>
      </c>
      <c r="K511" s="30" t="s">
        <v>90</v>
      </c>
      <c r="L511" s="35">
        <v>25</v>
      </c>
      <c r="M511" s="22">
        <v>42</v>
      </c>
      <c r="N511" s="44">
        <v>44393</v>
      </c>
      <c r="O511" s="30" t="s">
        <v>115</v>
      </c>
    </row>
    <row r="512" spans="2:15" s="30" customFormat="1" ht="28.5" customHeight="1" x14ac:dyDescent="0.25">
      <c r="B512" s="30" t="s">
        <v>165</v>
      </c>
      <c r="C512" s="30" t="s">
        <v>6</v>
      </c>
      <c r="D512" s="30" t="s">
        <v>10</v>
      </c>
      <c r="E512" s="30" t="s">
        <v>18</v>
      </c>
      <c r="F512" s="11">
        <v>603</v>
      </c>
      <c r="G512" s="19">
        <v>6</v>
      </c>
      <c r="H512" s="263" t="s">
        <v>26</v>
      </c>
      <c r="I512" s="21" t="s">
        <v>32</v>
      </c>
      <c r="J512" s="21" t="s">
        <v>138</v>
      </c>
      <c r="K512" s="30" t="s">
        <v>90</v>
      </c>
      <c r="L512" s="35">
        <v>25</v>
      </c>
      <c r="M512" s="22">
        <v>48.73</v>
      </c>
      <c r="N512" s="44">
        <v>44393</v>
      </c>
      <c r="O512" s="30" t="s">
        <v>115</v>
      </c>
    </row>
    <row r="513" spans="2:15" s="30" customFormat="1" ht="15" customHeight="1" x14ac:dyDescent="0.25">
      <c r="B513" s="30" t="s">
        <v>165</v>
      </c>
      <c r="C513" s="30" t="s">
        <v>6</v>
      </c>
      <c r="D513" s="30" t="s">
        <v>10</v>
      </c>
      <c r="E513" s="30" t="s">
        <v>18</v>
      </c>
      <c r="F513" s="11">
        <v>604</v>
      </c>
      <c r="G513" s="19">
        <v>6</v>
      </c>
      <c r="H513" s="263" t="s">
        <v>26</v>
      </c>
      <c r="I513" s="21" t="s">
        <v>32</v>
      </c>
      <c r="J513" s="21" t="s">
        <v>138</v>
      </c>
      <c r="K513" s="30" t="s">
        <v>90</v>
      </c>
      <c r="L513" s="35">
        <v>25</v>
      </c>
      <c r="M513" s="22">
        <v>48.81</v>
      </c>
      <c r="N513" s="44">
        <v>44393</v>
      </c>
      <c r="O513" s="30" t="s">
        <v>115</v>
      </c>
    </row>
    <row r="514" spans="2:15" s="30" customFormat="1" ht="15" customHeight="1" x14ac:dyDescent="0.25">
      <c r="B514" s="30" t="s">
        <v>165</v>
      </c>
      <c r="C514" s="30" t="s">
        <v>6</v>
      </c>
      <c r="D514" s="30" t="s">
        <v>10</v>
      </c>
      <c r="E514" s="30" t="s">
        <v>18</v>
      </c>
      <c r="F514" s="11">
        <v>605</v>
      </c>
      <c r="G514" s="19">
        <v>6</v>
      </c>
      <c r="H514" s="263" t="s">
        <v>26</v>
      </c>
      <c r="I514" s="21" t="s">
        <v>32</v>
      </c>
      <c r="J514" s="21" t="s">
        <v>138</v>
      </c>
      <c r="K514" s="30" t="s">
        <v>90</v>
      </c>
      <c r="L514" s="35">
        <v>25</v>
      </c>
      <c r="M514" s="22">
        <v>48.73</v>
      </c>
      <c r="N514" s="44">
        <v>44393</v>
      </c>
      <c r="O514" s="30" t="s">
        <v>115</v>
      </c>
    </row>
    <row r="515" spans="2:15" s="30" customFormat="1" ht="26.25" customHeight="1" x14ac:dyDescent="0.25">
      <c r="B515" s="30" t="s">
        <v>165</v>
      </c>
      <c r="C515" s="30" t="s">
        <v>6</v>
      </c>
      <c r="D515" s="30" t="s">
        <v>10</v>
      </c>
      <c r="E515" s="30" t="s">
        <v>18</v>
      </c>
      <c r="F515" s="11">
        <v>606</v>
      </c>
      <c r="G515" s="19">
        <v>6</v>
      </c>
      <c r="H515" s="263" t="s">
        <v>26</v>
      </c>
      <c r="I515" s="21" t="s">
        <v>32</v>
      </c>
      <c r="J515" s="21" t="s">
        <v>138</v>
      </c>
      <c r="K515" s="30" t="s">
        <v>90</v>
      </c>
      <c r="L515" s="35">
        <v>25</v>
      </c>
      <c r="M515" s="22">
        <v>48.64</v>
      </c>
      <c r="N515" s="44">
        <v>44393</v>
      </c>
      <c r="O515" s="30" t="s">
        <v>115</v>
      </c>
    </row>
    <row r="516" spans="2:15" s="30" customFormat="1" ht="15" customHeight="1" x14ac:dyDescent="0.25">
      <c r="B516" s="30" t="s">
        <v>165</v>
      </c>
      <c r="C516" s="30" t="s">
        <v>6</v>
      </c>
      <c r="D516" s="30" t="s">
        <v>10</v>
      </c>
      <c r="E516" s="30" t="s">
        <v>18</v>
      </c>
      <c r="F516" s="11">
        <v>607</v>
      </c>
      <c r="G516" s="19">
        <v>6</v>
      </c>
      <c r="H516" s="263" t="s">
        <v>26</v>
      </c>
      <c r="I516" s="21" t="s">
        <v>32</v>
      </c>
      <c r="J516" s="21" t="s">
        <v>138</v>
      </c>
      <c r="K516" s="30" t="s">
        <v>90</v>
      </c>
      <c r="L516" s="35">
        <v>25</v>
      </c>
      <c r="M516" s="22">
        <v>47.38</v>
      </c>
      <c r="N516" s="44">
        <v>44393</v>
      </c>
      <c r="O516" s="30" t="s">
        <v>115</v>
      </c>
    </row>
    <row r="517" spans="2:15" s="30" customFormat="1" ht="26.25" customHeight="1" x14ac:dyDescent="0.25">
      <c r="B517" s="30" t="s">
        <v>165</v>
      </c>
      <c r="C517" s="30" t="s">
        <v>6</v>
      </c>
      <c r="D517" s="30" t="s">
        <v>10</v>
      </c>
      <c r="E517" s="30" t="s">
        <v>18</v>
      </c>
      <c r="F517" s="11">
        <v>608</v>
      </c>
      <c r="G517" s="19">
        <v>6</v>
      </c>
      <c r="H517" s="263" t="s">
        <v>26</v>
      </c>
      <c r="I517" s="21" t="s">
        <v>32</v>
      </c>
      <c r="J517" s="21" t="s">
        <v>138</v>
      </c>
      <c r="K517" s="30" t="s">
        <v>90</v>
      </c>
      <c r="L517" s="35">
        <v>26</v>
      </c>
      <c r="M517" s="22">
        <v>51.77</v>
      </c>
      <c r="N517" s="44">
        <v>44393</v>
      </c>
      <c r="O517" s="30" t="s">
        <v>115</v>
      </c>
    </row>
    <row r="518" spans="2:15" s="30" customFormat="1" ht="15" customHeight="1" x14ac:dyDescent="0.25">
      <c r="B518" s="30" t="s">
        <v>165</v>
      </c>
      <c r="C518" s="30" t="s">
        <v>6</v>
      </c>
      <c r="D518" s="30" t="s">
        <v>10</v>
      </c>
      <c r="E518" s="30" t="s">
        <v>18</v>
      </c>
      <c r="F518" s="11">
        <v>609</v>
      </c>
      <c r="G518" s="19">
        <v>6</v>
      </c>
      <c r="H518" s="263" t="s">
        <v>26</v>
      </c>
      <c r="I518" s="21" t="s">
        <v>32</v>
      </c>
      <c r="J518" s="21" t="s">
        <v>138</v>
      </c>
      <c r="K518" s="30" t="s">
        <v>90</v>
      </c>
      <c r="L518" s="35">
        <v>26</v>
      </c>
      <c r="M518" s="22">
        <v>51.27</v>
      </c>
      <c r="N518" s="44">
        <v>44393</v>
      </c>
      <c r="O518" s="30" t="s">
        <v>115</v>
      </c>
    </row>
    <row r="519" spans="2:15" s="30" customFormat="1" ht="15" customHeight="1" x14ac:dyDescent="0.25">
      <c r="B519" s="30" t="s">
        <v>165</v>
      </c>
      <c r="C519" s="30" t="s">
        <v>6</v>
      </c>
      <c r="D519" s="30" t="s">
        <v>10</v>
      </c>
      <c r="E519" s="30" t="s">
        <v>18</v>
      </c>
      <c r="F519" s="11">
        <v>610</v>
      </c>
      <c r="G519" s="19">
        <v>6</v>
      </c>
      <c r="H519" s="263" t="s">
        <v>26</v>
      </c>
      <c r="I519" s="21" t="s">
        <v>32</v>
      </c>
      <c r="J519" s="21" t="s">
        <v>138</v>
      </c>
      <c r="K519" s="30" t="s">
        <v>90</v>
      </c>
      <c r="L519" s="35">
        <v>25</v>
      </c>
      <c r="M519" s="22">
        <v>47.05</v>
      </c>
      <c r="N519" s="44">
        <v>44393</v>
      </c>
      <c r="O519" s="30" t="s">
        <v>115</v>
      </c>
    </row>
    <row r="520" spans="2:15" s="30" customFormat="1" ht="26.25" customHeight="1" x14ac:dyDescent="0.25">
      <c r="B520" s="30" t="s">
        <v>165</v>
      </c>
      <c r="C520" s="30" t="s">
        <v>6</v>
      </c>
      <c r="D520" s="30" t="s">
        <v>10</v>
      </c>
      <c r="E520" s="30" t="s">
        <v>18</v>
      </c>
      <c r="F520" s="11">
        <v>611</v>
      </c>
      <c r="G520" s="19">
        <v>6</v>
      </c>
      <c r="H520" s="263" t="s">
        <v>26</v>
      </c>
      <c r="I520" s="21" t="s">
        <v>32</v>
      </c>
      <c r="J520" s="21" t="s">
        <v>138</v>
      </c>
      <c r="K520" s="30" t="s">
        <v>90</v>
      </c>
      <c r="L520" s="35">
        <v>25</v>
      </c>
      <c r="M520" s="22">
        <v>43.98</v>
      </c>
      <c r="N520" s="44">
        <v>44393</v>
      </c>
      <c r="O520" s="30" t="s">
        <v>115</v>
      </c>
    </row>
    <row r="521" spans="2:15" s="30" customFormat="1" ht="15" customHeight="1" x14ac:dyDescent="0.25">
      <c r="B521" s="30" t="s">
        <v>165</v>
      </c>
      <c r="C521" s="30" t="s">
        <v>6</v>
      </c>
      <c r="D521" s="30" t="s">
        <v>10</v>
      </c>
      <c r="E521" s="30" t="s">
        <v>18</v>
      </c>
      <c r="F521" s="11">
        <v>612</v>
      </c>
      <c r="G521" s="19">
        <v>6</v>
      </c>
      <c r="H521" s="263" t="s">
        <v>26</v>
      </c>
      <c r="I521" s="21" t="s">
        <v>32</v>
      </c>
      <c r="J521" s="21" t="s">
        <v>138</v>
      </c>
      <c r="K521" s="30" t="s">
        <v>90</v>
      </c>
      <c r="L521" s="35">
        <v>25</v>
      </c>
      <c r="M521" s="22">
        <v>44.63</v>
      </c>
      <c r="N521" s="44">
        <v>44393</v>
      </c>
      <c r="O521" s="30" t="s">
        <v>115</v>
      </c>
    </row>
    <row r="522" spans="2:15" s="30" customFormat="1" ht="15" customHeight="1" x14ac:dyDescent="0.25">
      <c r="B522" s="30" t="s">
        <v>165</v>
      </c>
      <c r="C522" s="30" t="s">
        <v>6</v>
      </c>
      <c r="D522" s="30" t="s">
        <v>10</v>
      </c>
      <c r="E522" s="30" t="s">
        <v>18</v>
      </c>
      <c r="F522" s="11">
        <v>613</v>
      </c>
      <c r="G522" s="19">
        <v>6</v>
      </c>
      <c r="H522" s="263" t="s">
        <v>26</v>
      </c>
      <c r="I522" s="21" t="s">
        <v>32</v>
      </c>
      <c r="J522" s="21" t="s">
        <v>138</v>
      </c>
      <c r="K522" s="30" t="s">
        <v>90</v>
      </c>
      <c r="L522" s="35">
        <v>20</v>
      </c>
      <c r="M522" s="22">
        <v>40.340000000000003</v>
      </c>
      <c r="N522" s="44">
        <v>44393</v>
      </c>
      <c r="O522" s="30" t="s">
        <v>115</v>
      </c>
    </row>
    <row r="523" spans="2:15" s="30" customFormat="1" ht="15" customHeight="1" x14ac:dyDescent="0.25">
      <c r="B523" s="30" t="s">
        <v>165</v>
      </c>
      <c r="C523" s="30" t="s">
        <v>6</v>
      </c>
      <c r="D523" s="30" t="s">
        <v>10</v>
      </c>
      <c r="E523" s="30" t="s">
        <v>18</v>
      </c>
      <c r="F523" s="11">
        <v>614</v>
      </c>
      <c r="G523" s="19">
        <v>6</v>
      </c>
      <c r="H523" s="263" t="s">
        <v>26</v>
      </c>
      <c r="I523" s="21" t="s">
        <v>32</v>
      </c>
      <c r="J523" s="21" t="s">
        <v>138</v>
      </c>
      <c r="K523" s="30" t="s">
        <v>90</v>
      </c>
      <c r="L523" s="35">
        <v>19</v>
      </c>
      <c r="M523" s="22">
        <v>38.450000000000003</v>
      </c>
      <c r="N523" s="44">
        <v>44393</v>
      </c>
      <c r="O523" s="30" t="s">
        <v>115</v>
      </c>
    </row>
    <row r="524" spans="2:15" s="30" customFormat="1" ht="15" customHeight="1" x14ac:dyDescent="0.25">
      <c r="B524" s="30" t="s">
        <v>165</v>
      </c>
      <c r="C524" s="30" t="s">
        <v>6</v>
      </c>
      <c r="D524" s="30" t="s">
        <v>10</v>
      </c>
      <c r="E524" s="30" t="s">
        <v>18</v>
      </c>
      <c r="F524" s="11">
        <v>615</v>
      </c>
      <c r="G524" s="19">
        <v>6</v>
      </c>
      <c r="H524" s="263" t="s">
        <v>26</v>
      </c>
      <c r="I524" s="21" t="s">
        <v>32</v>
      </c>
      <c r="J524" s="21" t="s">
        <v>138</v>
      </c>
      <c r="K524" s="30" t="s">
        <v>90</v>
      </c>
      <c r="L524" s="35">
        <v>19</v>
      </c>
      <c r="M524" s="22">
        <v>37.46</v>
      </c>
      <c r="N524" s="44">
        <v>44393</v>
      </c>
      <c r="O524" s="30" t="s">
        <v>115</v>
      </c>
    </row>
    <row r="525" spans="2:15" s="30" customFormat="1" ht="15" customHeight="1" x14ac:dyDescent="0.25">
      <c r="B525" s="30" t="s">
        <v>165</v>
      </c>
      <c r="C525" s="30" t="s">
        <v>6</v>
      </c>
      <c r="D525" s="30" t="s">
        <v>10</v>
      </c>
      <c r="E525" s="30" t="s">
        <v>18</v>
      </c>
      <c r="F525" s="11">
        <v>616</v>
      </c>
      <c r="G525" s="19">
        <v>6</v>
      </c>
      <c r="H525" s="263" t="s">
        <v>26</v>
      </c>
      <c r="I525" s="21" t="s">
        <v>32</v>
      </c>
      <c r="J525" s="21" t="s">
        <v>138</v>
      </c>
      <c r="K525" s="30" t="s">
        <v>90</v>
      </c>
      <c r="L525" s="35">
        <v>25</v>
      </c>
      <c r="M525" s="22">
        <v>44.43</v>
      </c>
      <c r="N525" s="44">
        <v>44393</v>
      </c>
      <c r="O525" s="30" t="s">
        <v>115</v>
      </c>
    </row>
    <row r="526" spans="2:15" s="30" customFormat="1" ht="29.25" customHeight="1" x14ac:dyDescent="0.25">
      <c r="B526" s="30" t="s">
        <v>170</v>
      </c>
      <c r="C526" s="30" t="s">
        <v>6</v>
      </c>
      <c r="D526" s="30" t="s">
        <v>10</v>
      </c>
      <c r="E526" s="30" t="s">
        <v>18</v>
      </c>
      <c r="F526" s="11"/>
      <c r="G526" s="19">
        <v>6</v>
      </c>
      <c r="H526" s="263" t="s">
        <v>394</v>
      </c>
      <c r="I526" s="21" t="s">
        <v>68</v>
      </c>
      <c r="J526" s="21" t="s">
        <v>272</v>
      </c>
      <c r="K526" s="30" t="s">
        <v>94</v>
      </c>
      <c r="L526" s="35">
        <v>178</v>
      </c>
      <c r="M526" s="22">
        <v>356.77</v>
      </c>
      <c r="N526" s="44">
        <v>44393</v>
      </c>
      <c r="O526" s="30" t="s">
        <v>114</v>
      </c>
    </row>
    <row r="527" spans="2:15" s="30" customFormat="1" ht="30.75" customHeight="1" x14ac:dyDescent="0.25">
      <c r="B527" s="30" t="s">
        <v>169</v>
      </c>
      <c r="C527" s="30" t="s">
        <v>6</v>
      </c>
      <c r="D527" s="30" t="s">
        <v>10</v>
      </c>
      <c r="E527" s="30" t="s">
        <v>18</v>
      </c>
      <c r="F527" s="11"/>
      <c r="G527" s="19">
        <v>6</v>
      </c>
      <c r="H527" s="263" t="s">
        <v>399</v>
      </c>
      <c r="I527" s="21" t="s">
        <v>68</v>
      </c>
      <c r="J527" s="21" t="s">
        <v>293</v>
      </c>
      <c r="K527" s="30" t="s">
        <v>94</v>
      </c>
      <c r="L527" s="35">
        <v>2</v>
      </c>
      <c r="M527" s="22">
        <v>15.82</v>
      </c>
      <c r="N527" s="44">
        <v>44393</v>
      </c>
      <c r="O527" s="30" t="s">
        <v>114</v>
      </c>
    </row>
    <row r="528" spans="2:15" s="30" customFormat="1" ht="30.75" customHeight="1" x14ac:dyDescent="0.25">
      <c r="B528" s="30" t="s">
        <v>169</v>
      </c>
      <c r="C528" s="30" t="s">
        <v>6</v>
      </c>
      <c r="D528" s="30" t="s">
        <v>10</v>
      </c>
      <c r="E528" s="30" t="s">
        <v>18</v>
      </c>
      <c r="F528" s="11"/>
      <c r="G528" s="19">
        <v>6</v>
      </c>
      <c r="H528" s="263" t="s">
        <v>399</v>
      </c>
      <c r="I528" s="21" t="s">
        <v>68</v>
      </c>
      <c r="J528" s="21" t="s">
        <v>294</v>
      </c>
      <c r="K528" s="30" t="s">
        <v>94</v>
      </c>
      <c r="L528" s="35">
        <v>7</v>
      </c>
      <c r="M528" s="22">
        <v>20.440000000000001</v>
      </c>
      <c r="N528" s="44">
        <v>44393</v>
      </c>
      <c r="O528" s="30" t="s">
        <v>114</v>
      </c>
    </row>
    <row r="529" spans="2:15" s="30" customFormat="1" ht="29.25" customHeight="1" x14ac:dyDescent="0.25">
      <c r="B529" s="30" t="s">
        <v>169</v>
      </c>
      <c r="C529" s="30" t="s">
        <v>6</v>
      </c>
      <c r="D529" s="30" t="s">
        <v>10</v>
      </c>
      <c r="E529" s="30" t="s">
        <v>18</v>
      </c>
      <c r="F529" s="11"/>
      <c r="G529" s="19">
        <v>6</v>
      </c>
      <c r="H529" s="263" t="s">
        <v>399</v>
      </c>
      <c r="I529" s="21" t="s">
        <v>68</v>
      </c>
      <c r="J529" s="21" t="s">
        <v>295</v>
      </c>
      <c r="K529" s="30" t="s">
        <v>94</v>
      </c>
      <c r="L529" s="35">
        <v>1</v>
      </c>
      <c r="M529" s="22">
        <v>3.75</v>
      </c>
      <c r="N529" s="44">
        <v>44393</v>
      </c>
      <c r="O529" s="30" t="s">
        <v>115</v>
      </c>
    </row>
    <row r="530" spans="2:15" s="30" customFormat="1" ht="28.15" customHeight="1" x14ac:dyDescent="0.25">
      <c r="B530" s="30" t="s">
        <v>168</v>
      </c>
      <c r="C530" s="30" t="s">
        <v>6</v>
      </c>
      <c r="D530" s="30" t="s">
        <v>10</v>
      </c>
      <c r="E530" s="30" t="s">
        <v>18</v>
      </c>
      <c r="F530" s="11"/>
      <c r="G530" s="19">
        <v>6</v>
      </c>
      <c r="H530" s="263" t="s">
        <v>389</v>
      </c>
      <c r="I530" s="21" t="s">
        <v>68</v>
      </c>
      <c r="J530" s="21" t="s">
        <v>360</v>
      </c>
      <c r="K530" s="30" t="s">
        <v>94</v>
      </c>
      <c r="L530" s="35">
        <v>0</v>
      </c>
      <c r="M530" s="22">
        <v>1.37</v>
      </c>
      <c r="N530" s="44">
        <v>44393</v>
      </c>
      <c r="O530" s="30" t="s">
        <v>115</v>
      </c>
    </row>
    <row r="531" spans="2:15" s="30" customFormat="1" ht="30" customHeight="1" x14ac:dyDescent="0.25">
      <c r="B531" s="30" t="s">
        <v>168</v>
      </c>
      <c r="C531" s="30" t="s">
        <v>6</v>
      </c>
      <c r="D531" s="30" t="s">
        <v>10</v>
      </c>
      <c r="E531" s="30" t="s">
        <v>18</v>
      </c>
      <c r="F531" s="11"/>
      <c r="G531" s="19">
        <v>6</v>
      </c>
      <c r="H531" s="263" t="s">
        <v>389</v>
      </c>
      <c r="I531" s="21" t="s">
        <v>68</v>
      </c>
      <c r="J531" s="21" t="s">
        <v>382</v>
      </c>
      <c r="K531" s="30" t="s">
        <v>94</v>
      </c>
      <c r="L531" s="35">
        <v>0</v>
      </c>
      <c r="M531" s="22">
        <v>1.74</v>
      </c>
      <c r="N531" s="44">
        <v>44393</v>
      </c>
      <c r="O531" s="30" t="s">
        <v>115</v>
      </c>
    </row>
    <row r="532" spans="2:15" s="30" customFormat="1" ht="27" customHeight="1" x14ac:dyDescent="0.25">
      <c r="B532" s="30" t="s">
        <v>168</v>
      </c>
      <c r="C532" s="30" t="s">
        <v>6</v>
      </c>
      <c r="D532" s="30" t="s">
        <v>10</v>
      </c>
      <c r="E532" s="30" t="s">
        <v>18</v>
      </c>
      <c r="F532" s="11"/>
      <c r="G532" s="19">
        <v>6</v>
      </c>
      <c r="H532" s="263" t="s">
        <v>390</v>
      </c>
      <c r="I532" s="21" t="s">
        <v>38</v>
      </c>
      <c r="J532" s="21" t="s">
        <v>353</v>
      </c>
      <c r="K532" s="30" t="s">
        <v>94</v>
      </c>
      <c r="L532" s="35">
        <v>0</v>
      </c>
      <c r="M532" s="22">
        <v>2.04</v>
      </c>
      <c r="N532" s="44">
        <v>44393</v>
      </c>
      <c r="O532" s="30" t="s">
        <v>115</v>
      </c>
    </row>
    <row r="533" spans="2:15" s="30" customFormat="1" ht="29.25" customHeight="1" x14ac:dyDescent="0.25">
      <c r="B533" s="30" t="s">
        <v>168</v>
      </c>
      <c r="C533" s="30" t="s">
        <v>6</v>
      </c>
      <c r="D533" s="30" t="s">
        <v>10</v>
      </c>
      <c r="E533" s="30" t="s">
        <v>18</v>
      </c>
      <c r="F533" s="11"/>
      <c r="G533" s="19">
        <v>6</v>
      </c>
      <c r="H533" s="263" t="s">
        <v>390</v>
      </c>
      <c r="I533" s="21" t="s">
        <v>38</v>
      </c>
      <c r="J533" s="21" t="s">
        <v>296</v>
      </c>
      <c r="K533" s="30" t="s">
        <v>94</v>
      </c>
      <c r="L533" s="35">
        <v>0</v>
      </c>
      <c r="M533" s="22">
        <v>8.74</v>
      </c>
      <c r="N533" s="44">
        <v>44393</v>
      </c>
      <c r="O533" s="30" t="s">
        <v>115</v>
      </c>
    </row>
    <row r="534" spans="2:15" s="30" customFormat="1" ht="15" customHeight="1" x14ac:dyDescent="0.25">
      <c r="B534" s="30" t="s">
        <v>165</v>
      </c>
      <c r="C534" s="30" t="s">
        <v>6</v>
      </c>
      <c r="D534" s="30" t="s">
        <v>11</v>
      </c>
      <c r="E534" s="30" t="s">
        <v>16</v>
      </c>
      <c r="F534" s="11"/>
      <c r="G534" s="30">
        <v>1</v>
      </c>
      <c r="H534" s="263" t="s">
        <v>24</v>
      </c>
      <c r="I534" s="21" t="s">
        <v>32</v>
      </c>
      <c r="J534" s="21" t="s">
        <v>247</v>
      </c>
      <c r="K534" s="30" t="s">
        <v>90</v>
      </c>
      <c r="L534" s="32">
        <v>15</v>
      </c>
      <c r="M534" s="255">
        <v>124.89</v>
      </c>
      <c r="N534" s="44"/>
      <c r="O534" s="30" t="s">
        <v>114</v>
      </c>
    </row>
    <row r="535" spans="2:15" s="30" customFormat="1" ht="15" customHeight="1" x14ac:dyDescent="0.25">
      <c r="B535" s="30" t="s">
        <v>165</v>
      </c>
      <c r="C535" s="30" t="s">
        <v>6</v>
      </c>
      <c r="D535" s="30" t="s">
        <v>11</v>
      </c>
      <c r="E535" s="30" t="s">
        <v>16</v>
      </c>
      <c r="F535" s="11"/>
      <c r="G535" s="30">
        <v>1</v>
      </c>
      <c r="H535" s="263" t="s">
        <v>24</v>
      </c>
      <c r="I535" s="21" t="s">
        <v>32</v>
      </c>
      <c r="J535" s="21" t="s">
        <v>248</v>
      </c>
      <c r="K535" s="30" t="s">
        <v>90</v>
      </c>
      <c r="L535" s="32">
        <v>10</v>
      </c>
      <c r="M535" s="255">
        <v>33.07</v>
      </c>
      <c r="N535" s="44"/>
      <c r="O535" s="30" t="s">
        <v>114</v>
      </c>
    </row>
    <row r="536" spans="2:15" s="30" customFormat="1" ht="15" customHeight="1" x14ac:dyDescent="0.25">
      <c r="B536" s="30" t="s">
        <v>170</v>
      </c>
      <c r="C536" s="30" t="s">
        <v>6</v>
      </c>
      <c r="D536" s="30" t="s">
        <v>11</v>
      </c>
      <c r="E536" s="30" t="s">
        <v>16</v>
      </c>
      <c r="F536" s="11"/>
      <c r="G536" s="30">
        <v>1</v>
      </c>
      <c r="H536" s="263" t="s">
        <v>190</v>
      </c>
      <c r="I536" s="21" t="s">
        <v>32</v>
      </c>
      <c r="J536" s="21" t="s">
        <v>249</v>
      </c>
      <c r="K536" s="30" t="s">
        <v>107</v>
      </c>
      <c r="L536" s="32">
        <v>0</v>
      </c>
      <c r="M536" s="255">
        <v>4.68</v>
      </c>
      <c r="N536" s="44"/>
      <c r="O536" s="30" t="s">
        <v>115</v>
      </c>
    </row>
    <row r="537" spans="2:15" s="30" customFormat="1" ht="15" customHeight="1" x14ac:dyDescent="0.25">
      <c r="B537" s="30" t="s">
        <v>165</v>
      </c>
      <c r="C537" s="30" t="s">
        <v>6</v>
      </c>
      <c r="D537" s="30" t="s">
        <v>11</v>
      </c>
      <c r="E537" s="30" t="s">
        <v>16</v>
      </c>
      <c r="F537" s="11"/>
      <c r="G537" s="30">
        <v>1</v>
      </c>
      <c r="H537" s="263" t="s">
        <v>24</v>
      </c>
      <c r="I537" s="21" t="s">
        <v>32</v>
      </c>
      <c r="J537" s="21" t="s">
        <v>425</v>
      </c>
      <c r="K537" s="30" t="s">
        <v>90</v>
      </c>
      <c r="L537" s="32">
        <v>30</v>
      </c>
      <c r="M537" s="255">
        <v>91.48</v>
      </c>
      <c r="N537" s="44"/>
      <c r="O537" s="30" t="s">
        <v>114</v>
      </c>
    </row>
    <row r="538" spans="2:15" s="30" customFormat="1" ht="15" customHeight="1" x14ac:dyDescent="0.25">
      <c r="B538" s="30" t="s">
        <v>165</v>
      </c>
      <c r="C538" s="30" t="s">
        <v>6</v>
      </c>
      <c r="D538" s="30" t="s">
        <v>11</v>
      </c>
      <c r="E538" s="30" t="s">
        <v>16</v>
      </c>
      <c r="F538" s="11"/>
      <c r="G538" s="30">
        <v>1</v>
      </c>
      <c r="H538" s="263" t="s">
        <v>24</v>
      </c>
      <c r="I538" s="21" t="s">
        <v>32</v>
      </c>
      <c r="J538" s="21" t="s">
        <v>419</v>
      </c>
      <c r="K538" s="30" t="s">
        <v>90</v>
      </c>
      <c r="L538" s="32">
        <v>5</v>
      </c>
      <c r="M538" s="255">
        <v>24.79</v>
      </c>
      <c r="N538" s="44"/>
      <c r="O538" s="30" t="s">
        <v>114</v>
      </c>
    </row>
    <row r="539" spans="2:15" s="30" customFormat="1" ht="15" customHeight="1" x14ac:dyDescent="0.25">
      <c r="B539" s="30" t="s">
        <v>169</v>
      </c>
      <c r="C539" s="30" t="s">
        <v>6</v>
      </c>
      <c r="D539" s="30" t="s">
        <v>11</v>
      </c>
      <c r="E539" s="30" t="s">
        <v>16</v>
      </c>
      <c r="F539" s="11"/>
      <c r="G539" s="30">
        <v>1</v>
      </c>
      <c r="H539" s="263" t="s">
        <v>391</v>
      </c>
      <c r="I539" s="21" t="s">
        <v>32</v>
      </c>
      <c r="J539" s="21" t="s">
        <v>250</v>
      </c>
      <c r="K539" s="30" t="s">
        <v>90</v>
      </c>
      <c r="L539" s="32">
        <v>10</v>
      </c>
      <c r="M539" s="255">
        <v>24.79</v>
      </c>
      <c r="N539" s="44"/>
      <c r="O539" s="30" t="s">
        <v>114</v>
      </c>
    </row>
    <row r="540" spans="2:15" s="30" customFormat="1" ht="15" customHeight="1" x14ac:dyDescent="0.25">
      <c r="B540" s="30" t="s">
        <v>167</v>
      </c>
      <c r="C540" s="30" t="s">
        <v>6</v>
      </c>
      <c r="D540" s="30" t="s">
        <v>11</v>
      </c>
      <c r="E540" s="30" t="s">
        <v>17</v>
      </c>
      <c r="F540" s="11"/>
      <c r="G540" s="30">
        <v>1</v>
      </c>
      <c r="H540" s="263" t="s">
        <v>22</v>
      </c>
      <c r="I540" s="21" t="s">
        <v>129</v>
      </c>
      <c r="J540" s="21" t="s">
        <v>251</v>
      </c>
      <c r="K540" s="30" t="s">
        <v>107</v>
      </c>
      <c r="L540" s="32">
        <v>1500</v>
      </c>
      <c r="M540" s="255">
        <v>982</v>
      </c>
      <c r="N540" s="44"/>
      <c r="O540" s="30" t="s">
        <v>115</v>
      </c>
    </row>
    <row r="541" spans="2:15" s="30" customFormat="1" ht="15" customHeight="1" x14ac:dyDescent="0.25">
      <c r="B541" s="30" t="s">
        <v>165</v>
      </c>
      <c r="C541" s="30" t="s">
        <v>6</v>
      </c>
      <c r="D541" s="30" t="s">
        <v>11</v>
      </c>
      <c r="E541" s="30" t="s">
        <v>16</v>
      </c>
      <c r="F541" s="11"/>
      <c r="G541" s="30">
        <v>1</v>
      </c>
      <c r="H541" s="263" t="s">
        <v>258</v>
      </c>
      <c r="I541" s="21" t="s">
        <v>69</v>
      </c>
      <c r="J541" s="21" t="s">
        <v>801</v>
      </c>
      <c r="K541" s="30" t="s">
        <v>90</v>
      </c>
      <c r="L541" s="32">
        <v>30</v>
      </c>
      <c r="M541" s="255">
        <v>24.1</v>
      </c>
      <c r="N541" s="44"/>
      <c r="O541" s="30" t="s">
        <v>114</v>
      </c>
    </row>
    <row r="542" spans="2:15" s="30" customFormat="1" ht="15" customHeight="1" x14ac:dyDescent="0.25">
      <c r="B542" s="30" t="s">
        <v>169</v>
      </c>
      <c r="C542" s="30" t="s">
        <v>6</v>
      </c>
      <c r="D542" s="30" t="s">
        <v>10</v>
      </c>
      <c r="E542" s="30" t="s">
        <v>14</v>
      </c>
      <c r="F542" s="11"/>
      <c r="G542" s="30">
        <v>1</v>
      </c>
      <c r="H542" s="263" t="s">
        <v>24</v>
      </c>
      <c r="I542" s="21" t="s">
        <v>32</v>
      </c>
      <c r="J542" s="21" t="s">
        <v>252</v>
      </c>
      <c r="K542" s="30" t="s">
        <v>90</v>
      </c>
      <c r="L542" s="32">
        <v>30</v>
      </c>
      <c r="M542" s="255">
        <v>725.25</v>
      </c>
      <c r="N542" s="44"/>
      <c r="O542" s="30" t="s">
        <v>114</v>
      </c>
    </row>
    <row r="543" spans="2:15" s="30" customFormat="1" ht="15" customHeight="1" x14ac:dyDescent="0.25">
      <c r="B543" s="30" t="s">
        <v>169</v>
      </c>
      <c r="C543" s="30" t="s">
        <v>6</v>
      </c>
      <c r="D543" s="30" t="s">
        <v>11</v>
      </c>
      <c r="E543" s="30" t="s">
        <v>14</v>
      </c>
      <c r="F543" s="11"/>
      <c r="G543" s="30">
        <v>1</v>
      </c>
      <c r="H543" s="263" t="s">
        <v>24</v>
      </c>
      <c r="I543" s="21" t="s">
        <v>32</v>
      </c>
      <c r="J543" s="21" t="s">
        <v>253</v>
      </c>
      <c r="K543" s="30" t="s">
        <v>90</v>
      </c>
      <c r="L543" s="32">
        <v>30</v>
      </c>
      <c r="M543" s="22">
        <v>938.76</v>
      </c>
      <c r="N543" s="44"/>
      <c r="O543" s="30" t="s">
        <v>114</v>
      </c>
    </row>
    <row r="544" spans="2:15" s="30" customFormat="1" ht="15" customHeight="1" x14ac:dyDescent="0.25">
      <c r="B544" s="30" t="s">
        <v>169</v>
      </c>
      <c r="C544" s="30" t="s">
        <v>6</v>
      </c>
      <c r="D544" s="30" t="s">
        <v>11</v>
      </c>
      <c r="E544" s="30" t="s">
        <v>14</v>
      </c>
      <c r="F544" s="11"/>
      <c r="G544" s="30">
        <v>1</v>
      </c>
      <c r="H544" s="263" t="s">
        <v>24</v>
      </c>
      <c r="I544" s="21" t="s">
        <v>32</v>
      </c>
      <c r="J544" s="21" t="s">
        <v>254</v>
      </c>
      <c r="K544" s="30" t="s">
        <v>90</v>
      </c>
      <c r="L544" s="32">
        <v>30</v>
      </c>
      <c r="M544" s="22">
        <v>781.46</v>
      </c>
      <c r="N544" s="44"/>
      <c r="O544" s="30" t="s">
        <v>114</v>
      </c>
    </row>
    <row r="545" spans="2:15" s="30" customFormat="1" ht="15" customHeight="1" x14ac:dyDescent="0.25">
      <c r="B545" s="30" t="s">
        <v>169</v>
      </c>
      <c r="C545" s="30" t="s">
        <v>6</v>
      </c>
      <c r="D545" s="30" t="s">
        <v>11</v>
      </c>
      <c r="E545" s="30" t="s">
        <v>14</v>
      </c>
      <c r="F545" s="11"/>
      <c r="G545" s="30">
        <v>1</v>
      </c>
      <c r="H545" s="263" t="s">
        <v>24</v>
      </c>
      <c r="I545" s="21" t="s">
        <v>32</v>
      </c>
      <c r="J545" s="21" t="s">
        <v>466</v>
      </c>
      <c r="K545" s="30" t="s">
        <v>90</v>
      </c>
      <c r="L545" s="32">
        <v>2</v>
      </c>
      <c r="M545" s="22">
        <v>377.47</v>
      </c>
      <c r="N545" s="44"/>
      <c r="O545" s="30" t="s">
        <v>114</v>
      </c>
    </row>
    <row r="546" spans="2:15" s="30" customFormat="1" ht="15" customHeight="1" x14ac:dyDescent="0.25">
      <c r="B546" s="30" t="s">
        <v>170</v>
      </c>
      <c r="C546" s="30" t="s">
        <v>6</v>
      </c>
      <c r="D546" s="30" t="s">
        <v>11</v>
      </c>
      <c r="E546" s="30" t="s">
        <v>14</v>
      </c>
      <c r="F546" s="11"/>
      <c r="G546" s="30">
        <v>1</v>
      </c>
      <c r="H546" s="263" t="s">
        <v>190</v>
      </c>
      <c r="I546" s="21" t="s">
        <v>32</v>
      </c>
      <c r="J546" s="21" t="s">
        <v>420</v>
      </c>
      <c r="K546" s="30" t="s">
        <v>107</v>
      </c>
      <c r="L546" s="32">
        <v>0</v>
      </c>
      <c r="M546" s="22">
        <v>7.2</v>
      </c>
      <c r="N546" s="44"/>
      <c r="O546" s="30" t="s">
        <v>115</v>
      </c>
    </row>
    <row r="547" spans="2:15" s="30" customFormat="1" ht="15" customHeight="1" x14ac:dyDescent="0.25">
      <c r="B547" s="30" t="s">
        <v>170</v>
      </c>
      <c r="C547" s="30" t="s">
        <v>6</v>
      </c>
      <c r="D547" s="30" t="s">
        <v>11</v>
      </c>
      <c r="E547" s="30" t="s">
        <v>14</v>
      </c>
      <c r="F547" s="11"/>
      <c r="G547" s="30">
        <v>1</v>
      </c>
      <c r="H547" s="263" t="s">
        <v>400</v>
      </c>
      <c r="I547" s="21" t="s">
        <v>68</v>
      </c>
      <c r="J547" s="21" t="s">
        <v>467</v>
      </c>
      <c r="K547" s="30" t="s">
        <v>107</v>
      </c>
      <c r="L547" s="32">
        <v>0</v>
      </c>
      <c r="M547" s="22">
        <v>168.59</v>
      </c>
      <c r="N547" s="44"/>
      <c r="O547" s="30" t="s">
        <v>114</v>
      </c>
    </row>
    <row r="548" spans="2:15" s="30" customFormat="1" ht="15" customHeight="1" x14ac:dyDescent="0.25">
      <c r="B548" s="30" t="s">
        <v>168</v>
      </c>
      <c r="C548" s="30" t="s">
        <v>6</v>
      </c>
      <c r="D548" s="30" t="s">
        <v>11</v>
      </c>
      <c r="E548" s="30" t="s">
        <v>14</v>
      </c>
      <c r="F548" s="11"/>
      <c r="G548" s="30">
        <v>1</v>
      </c>
      <c r="H548" s="263" t="s">
        <v>185</v>
      </c>
      <c r="I548" s="21" t="s">
        <v>68</v>
      </c>
      <c r="J548" s="21" t="s">
        <v>105</v>
      </c>
      <c r="K548" s="30" t="s">
        <v>94</v>
      </c>
      <c r="L548" s="32">
        <v>0</v>
      </c>
      <c r="M548" s="22">
        <v>13.49</v>
      </c>
      <c r="N548" s="44"/>
      <c r="O548" s="30" t="s">
        <v>114</v>
      </c>
    </row>
    <row r="549" spans="2:15" s="30" customFormat="1" ht="27" customHeight="1" x14ac:dyDescent="0.25">
      <c r="B549" s="30" t="s">
        <v>168</v>
      </c>
      <c r="C549" s="30" t="s">
        <v>6</v>
      </c>
      <c r="D549" s="30" t="s">
        <v>11</v>
      </c>
      <c r="E549" s="30" t="s">
        <v>16</v>
      </c>
      <c r="F549" s="11"/>
      <c r="G549" s="30">
        <v>1</v>
      </c>
      <c r="H549" s="263" t="s">
        <v>258</v>
      </c>
      <c r="I549" s="21" t="s">
        <v>68</v>
      </c>
      <c r="J549" s="21" t="s">
        <v>941</v>
      </c>
      <c r="K549" s="30" t="s">
        <v>94</v>
      </c>
      <c r="L549" s="32">
        <v>0</v>
      </c>
      <c r="M549" s="22">
        <v>18.489999999999998</v>
      </c>
      <c r="N549" s="44"/>
      <c r="O549" s="30" t="s">
        <v>115</v>
      </c>
    </row>
    <row r="550" spans="2:15" x14ac:dyDescent="0.25">
      <c r="B550" s="30"/>
      <c r="C550" s="30"/>
      <c r="D550" s="30"/>
      <c r="E550" s="30"/>
      <c r="F550" s="11"/>
      <c r="G550" s="30"/>
      <c r="H550" s="30"/>
      <c r="I550" s="21"/>
      <c r="J550" s="21"/>
      <c r="K550" s="30"/>
      <c r="L550" s="251">
        <f>SUBTOTAL(109,Tabla22[CAPACIDAD FÍSICA])</f>
        <v>8813</v>
      </c>
      <c r="M550" s="252">
        <f>SUBTOTAL(109,Tabla22[ÁREA (Metros2)])</f>
        <v>26954.621000000006</v>
      </c>
      <c r="N550" s="253"/>
      <c r="O550" s="30"/>
    </row>
    <row r="551" spans="2:15" x14ac:dyDescent="0.25">
      <c r="I551" s="13"/>
      <c r="K551" s="30"/>
      <c r="L551" s="35"/>
      <c r="M551" s="39"/>
      <c r="N551" s="40"/>
    </row>
    <row r="552" spans="2:15" x14ac:dyDescent="0.25">
      <c r="I552" s="13"/>
      <c r="K552" s="30"/>
      <c r="L552" s="35"/>
      <c r="M552" s="39"/>
      <c r="N552" s="40"/>
    </row>
    <row r="553" spans="2:15" x14ac:dyDescent="0.25">
      <c r="I553" s="13"/>
      <c r="K553" s="30"/>
      <c r="L553" s="35"/>
      <c r="M553" s="39"/>
      <c r="N553" s="40"/>
    </row>
    <row r="554" spans="2:15" x14ac:dyDescent="0.25">
      <c r="I554" s="13"/>
      <c r="K554" s="30"/>
      <c r="L554" s="35"/>
      <c r="M554" s="39"/>
      <c r="N554" s="40"/>
    </row>
    <row r="555" spans="2:15" x14ac:dyDescent="0.25">
      <c r="I555" s="13"/>
      <c r="K555" s="30"/>
      <c r="L555" s="35"/>
      <c r="M555" s="39"/>
      <c r="N555" s="40"/>
    </row>
    <row r="556" spans="2:15" x14ac:dyDescent="0.25">
      <c r="I556" s="13"/>
      <c r="K556" s="30"/>
      <c r="L556" s="22"/>
      <c r="M556" s="39"/>
      <c r="N556" s="40"/>
    </row>
    <row r="557" spans="2:15" x14ac:dyDescent="0.25">
      <c r="I557" s="13"/>
      <c r="K557" s="30"/>
      <c r="L557" s="35"/>
      <c r="M557" s="39"/>
      <c r="N557" s="40"/>
    </row>
    <row r="558" spans="2:15" x14ac:dyDescent="0.25">
      <c r="I558" s="13"/>
      <c r="K558" s="30"/>
      <c r="L558" s="35"/>
      <c r="M558" s="39"/>
      <c r="N558" s="40"/>
    </row>
    <row r="559" spans="2:15" x14ac:dyDescent="0.25">
      <c r="I559" s="13"/>
      <c r="K559" s="30"/>
      <c r="L559" s="35"/>
      <c r="M559" s="39"/>
      <c r="N559" s="40"/>
    </row>
    <row r="560" spans="2:15" x14ac:dyDescent="0.25">
      <c r="I560" s="13"/>
      <c r="K560" s="30"/>
      <c r="L560" s="35"/>
      <c r="M560" s="39"/>
      <c r="N560" s="40"/>
    </row>
    <row r="561" spans="9:14" x14ac:dyDescent="0.25">
      <c r="I561" s="13"/>
      <c r="K561" s="30"/>
      <c r="L561" s="35"/>
      <c r="M561" s="39"/>
      <c r="N561" s="40"/>
    </row>
    <row r="562" spans="9:14" x14ac:dyDescent="0.25">
      <c r="I562" s="13"/>
      <c r="K562" s="30"/>
      <c r="L562" s="35"/>
      <c r="M562" s="39"/>
      <c r="N562" s="40"/>
    </row>
    <row r="563" spans="9:14" x14ac:dyDescent="0.25">
      <c r="I563" s="13"/>
      <c r="K563" s="30"/>
      <c r="L563" s="35"/>
      <c r="M563" s="39"/>
      <c r="N563" s="40"/>
    </row>
    <row r="564" spans="9:14" x14ac:dyDescent="0.25">
      <c r="I564" s="13"/>
      <c r="K564" s="30"/>
      <c r="L564" s="35"/>
      <c r="M564" s="39"/>
      <c r="N564" s="40"/>
    </row>
    <row r="565" spans="9:14" x14ac:dyDescent="0.25">
      <c r="I565" s="13"/>
      <c r="K565" s="30"/>
      <c r="L565" s="35"/>
      <c r="M565" s="39"/>
      <c r="N565" s="40"/>
    </row>
    <row r="566" spans="9:14" x14ac:dyDescent="0.25">
      <c r="I566" s="13"/>
      <c r="K566" s="30"/>
      <c r="L566" s="41"/>
      <c r="M566" s="39"/>
      <c r="N566" s="40"/>
    </row>
    <row r="567" spans="9:14" x14ac:dyDescent="0.25">
      <c r="I567" s="13"/>
      <c r="K567" s="30"/>
      <c r="L567" s="41"/>
      <c r="M567" s="39"/>
      <c r="N567" s="40"/>
    </row>
    <row r="568" spans="9:14" x14ac:dyDescent="0.25">
      <c r="I568" s="13"/>
      <c r="K568" s="30"/>
      <c r="L568" s="41"/>
      <c r="M568" s="39"/>
      <c r="N568" s="40"/>
    </row>
    <row r="569" spans="9:14" x14ac:dyDescent="0.25">
      <c r="I569" s="13"/>
      <c r="K569" s="30"/>
      <c r="L569" s="41"/>
      <c r="M569" s="39"/>
      <c r="N569" s="40"/>
    </row>
    <row r="570" spans="9:14" x14ac:dyDescent="0.25">
      <c r="I570" s="13"/>
      <c r="K570" s="30"/>
      <c r="L570" s="41"/>
      <c r="M570" s="39"/>
      <c r="N570" s="40"/>
    </row>
    <row r="571" spans="9:14" x14ac:dyDescent="0.25">
      <c r="I571" s="13"/>
      <c r="K571" s="30"/>
      <c r="L571" s="41"/>
      <c r="M571" s="39"/>
      <c r="N571" s="40"/>
    </row>
    <row r="572" spans="9:14" x14ac:dyDescent="0.25">
      <c r="I572" s="13"/>
      <c r="K572" s="30"/>
      <c r="L572" s="41"/>
      <c r="M572" s="39"/>
      <c r="N572" s="40"/>
    </row>
    <row r="573" spans="9:14" x14ac:dyDescent="0.25">
      <c r="I573" s="13"/>
      <c r="K573" s="30"/>
      <c r="L573" s="41"/>
      <c r="M573" s="39"/>
      <c r="N573" s="40"/>
    </row>
    <row r="574" spans="9:14" x14ac:dyDescent="0.25">
      <c r="I574" s="13"/>
      <c r="K574" s="30"/>
      <c r="L574" s="41"/>
      <c r="M574" s="39"/>
      <c r="N574" s="40"/>
    </row>
    <row r="575" spans="9:14" x14ac:dyDescent="0.25">
      <c r="I575" s="13"/>
      <c r="K575" s="30"/>
      <c r="L575" s="41"/>
      <c r="M575" s="39"/>
      <c r="N575" s="40"/>
    </row>
    <row r="576" spans="9:14" x14ac:dyDescent="0.25">
      <c r="I576" s="13"/>
      <c r="K576" s="30"/>
      <c r="L576" s="41"/>
      <c r="M576" s="39"/>
      <c r="N576" s="40"/>
    </row>
    <row r="577" spans="9:14" x14ac:dyDescent="0.25">
      <c r="I577" s="13"/>
      <c r="K577" s="30"/>
      <c r="L577" s="41"/>
      <c r="M577" s="39"/>
      <c r="N577" s="40"/>
    </row>
    <row r="578" spans="9:14" x14ac:dyDescent="0.25">
      <c r="I578" s="13"/>
      <c r="K578" s="30"/>
      <c r="L578" s="41"/>
      <c r="M578" s="39"/>
      <c r="N578" s="40"/>
    </row>
    <row r="579" spans="9:14" x14ac:dyDescent="0.25">
      <c r="I579" s="13"/>
      <c r="K579" s="30"/>
      <c r="L579" s="41"/>
      <c r="M579" s="39"/>
      <c r="N579" s="40"/>
    </row>
    <row r="580" spans="9:14" x14ac:dyDescent="0.25">
      <c r="I580" s="13"/>
      <c r="K580" s="30"/>
      <c r="L580" s="41"/>
      <c r="M580" s="39"/>
      <c r="N580" s="40"/>
    </row>
    <row r="581" spans="9:14" x14ac:dyDescent="0.25">
      <c r="I581" s="13"/>
      <c r="K581" s="30"/>
      <c r="L581" s="41"/>
      <c r="M581" s="39"/>
      <c r="N581" s="40"/>
    </row>
    <row r="582" spans="9:14" x14ac:dyDescent="0.25">
      <c r="I582" s="13"/>
      <c r="K582" s="30"/>
      <c r="L582" s="41"/>
      <c r="M582" s="39"/>
      <c r="N582" s="40"/>
    </row>
    <row r="583" spans="9:14" x14ac:dyDescent="0.25">
      <c r="I583" s="13"/>
      <c r="K583" s="30"/>
      <c r="L583" s="41"/>
      <c r="M583" s="39"/>
      <c r="N583" s="40"/>
    </row>
    <row r="584" spans="9:14" x14ac:dyDescent="0.25">
      <c r="I584" s="13"/>
      <c r="K584" s="30"/>
      <c r="L584" s="41"/>
      <c r="M584" s="39"/>
      <c r="N584" s="40"/>
    </row>
    <row r="585" spans="9:14" x14ac:dyDescent="0.25">
      <c r="I585" s="13"/>
      <c r="K585" s="30"/>
      <c r="L585" s="41"/>
      <c r="M585" s="39"/>
      <c r="N585" s="40"/>
    </row>
    <row r="586" spans="9:14" x14ac:dyDescent="0.25">
      <c r="I586" s="13"/>
      <c r="K586" s="30"/>
      <c r="L586" s="41"/>
      <c r="M586" s="39"/>
      <c r="N586" s="40"/>
    </row>
    <row r="587" spans="9:14" x14ac:dyDescent="0.25">
      <c r="I587" s="13"/>
      <c r="K587" s="30"/>
      <c r="L587" s="41"/>
      <c r="M587" s="39"/>
      <c r="N587" s="40"/>
    </row>
    <row r="588" spans="9:14" x14ac:dyDescent="0.25">
      <c r="I588" s="13"/>
      <c r="K588" s="30"/>
      <c r="L588" s="41"/>
      <c r="M588" s="39"/>
      <c r="N588" s="40"/>
    </row>
    <row r="589" spans="9:14" x14ac:dyDescent="0.25">
      <c r="I589" s="13"/>
      <c r="K589" s="30"/>
      <c r="L589" s="41"/>
      <c r="M589" s="39"/>
      <c r="N589" s="40"/>
    </row>
    <row r="590" spans="9:14" x14ac:dyDescent="0.25">
      <c r="I590" s="13"/>
      <c r="K590" s="30"/>
      <c r="L590" s="41"/>
      <c r="M590" s="39"/>
      <c r="N590" s="40"/>
    </row>
    <row r="591" spans="9:14" x14ac:dyDescent="0.25">
      <c r="I591" s="13"/>
      <c r="K591" s="30"/>
      <c r="L591" s="41"/>
      <c r="M591" s="39"/>
      <c r="N591" s="40"/>
    </row>
    <row r="592" spans="9:14" x14ac:dyDescent="0.25">
      <c r="I592" s="13"/>
      <c r="K592" s="30"/>
      <c r="L592" s="41"/>
      <c r="M592" s="39"/>
      <c r="N592" s="40"/>
    </row>
    <row r="593" spans="9:14" x14ac:dyDescent="0.25">
      <c r="I593" s="13"/>
      <c r="K593" s="30"/>
      <c r="L593" s="41"/>
      <c r="M593" s="39"/>
      <c r="N593" s="40"/>
    </row>
    <row r="594" spans="9:14" x14ac:dyDescent="0.25">
      <c r="I594" s="13"/>
      <c r="K594" s="30"/>
      <c r="L594" s="41"/>
      <c r="M594" s="39"/>
      <c r="N594" s="40"/>
    </row>
    <row r="595" spans="9:14" x14ac:dyDescent="0.25">
      <c r="I595" s="13"/>
      <c r="K595" s="30"/>
      <c r="L595" s="41"/>
      <c r="M595" s="39"/>
      <c r="N595" s="40"/>
    </row>
    <row r="596" spans="9:14" x14ac:dyDescent="0.25">
      <c r="I596" s="13"/>
      <c r="K596" s="30"/>
      <c r="L596" s="41"/>
      <c r="M596" s="39"/>
      <c r="N596" s="40"/>
    </row>
    <row r="597" spans="9:14" x14ac:dyDescent="0.25">
      <c r="I597" s="13"/>
      <c r="K597" s="30"/>
      <c r="L597" s="41"/>
      <c r="M597" s="39"/>
      <c r="N597" s="40"/>
    </row>
    <row r="598" spans="9:14" x14ac:dyDescent="0.25">
      <c r="I598" s="13"/>
      <c r="K598" s="30"/>
      <c r="L598" s="41"/>
      <c r="M598" s="39"/>
      <c r="N598" s="40"/>
    </row>
    <row r="599" spans="9:14" x14ac:dyDescent="0.25">
      <c r="I599" s="13"/>
      <c r="K599" s="30"/>
      <c r="L599" s="41"/>
      <c r="M599" s="39"/>
      <c r="N599" s="40"/>
    </row>
    <row r="600" spans="9:14" x14ac:dyDescent="0.25">
      <c r="I600" s="13"/>
      <c r="K600" s="30"/>
      <c r="L600" s="41"/>
      <c r="M600" s="39"/>
      <c r="N600" s="40"/>
    </row>
    <row r="601" spans="9:14" x14ac:dyDescent="0.25">
      <c r="I601" s="13"/>
      <c r="K601" s="30"/>
      <c r="L601" s="41"/>
      <c r="M601" s="39"/>
      <c r="N601" s="40"/>
    </row>
    <row r="602" spans="9:14" x14ac:dyDescent="0.25">
      <c r="I602" s="13"/>
      <c r="K602" s="30"/>
      <c r="L602" s="41"/>
      <c r="M602" s="39"/>
      <c r="N602" s="40"/>
    </row>
    <row r="603" spans="9:14" x14ac:dyDescent="0.25">
      <c r="I603" s="13"/>
      <c r="K603" s="30"/>
      <c r="L603" s="41"/>
      <c r="M603" s="39"/>
      <c r="N603" s="40"/>
    </row>
    <row r="604" spans="9:14" x14ac:dyDescent="0.25">
      <c r="I604" s="13"/>
      <c r="K604" s="30"/>
      <c r="L604" s="41"/>
      <c r="M604" s="39"/>
      <c r="N604" s="40"/>
    </row>
    <row r="605" spans="9:14" x14ac:dyDescent="0.25">
      <c r="I605" s="13"/>
      <c r="K605" s="30"/>
      <c r="L605" s="41"/>
      <c r="M605" s="39"/>
      <c r="N605" s="40"/>
    </row>
    <row r="606" spans="9:14" x14ac:dyDescent="0.25">
      <c r="I606" s="13"/>
      <c r="K606" s="30"/>
      <c r="L606" s="41"/>
      <c r="M606" s="39"/>
      <c r="N606" s="40"/>
    </row>
    <row r="607" spans="9:14" x14ac:dyDescent="0.25">
      <c r="I607" s="13"/>
      <c r="K607" s="30"/>
      <c r="L607" s="41"/>
      <c r="M607" s="39"/>
      <c r="N607" s="40"/>
    </row>
    <row r="608" spans="9:14" x14ac:dyDescent="0.25">
      <c r="I608" s="13"/>
      <c r="K608" s="30"/>
      <c r="L608" s="41"/>
      <c r="M608" s="39"/>
      <c r="N608" s="40"/>
    </row>
    <row r="609" spans="9:14" x14ac:dyDescent="0.25">
      <c r="I609" s="13"/>
      <c r="K609" s="30"/>
      <c r="L609" s="41"/>
      <c r="M609" s="39"/>
      <c r="N609" s="40"/>
    </row>
    <row r="610" spans="9:14" x14ac:dyDescent="0.25">
      <c r="I610" s="13"/>
      <c r="K610" s="30"/>
      <c r="L610" s="41"/>
      <c r="M610" s="39"/>
      <c r="N610" s="40"/>
    </row>
    <row r="611" spans="9:14" x14ac:dyDescent="0.25">
      <c r="I611" s="13"/>
      <c r="K611" s="30"/>
      <c r="L611" s="41"/>
      <c r="M611" s="39"/>
      <c r="N611" s="40"/>
    </row>
    <row r="612" spans="9:14" x14ac:dyDescent="0.25">
      <c r="I612" s="13"/>
      <c r="K612" s="30"/>
      <c r="L612" s="41"/>
      <c r="M612" s="39"/>
      <c r="N612" s="40"/>
    </row>
    <row r="613" spans="9:14" x14ac:dyDescent="0.25">
      <c r="I613" s="13"/>
      <c r="K613" s="30"/>
      <c r="L613" s="41"/>
      <c r="M613" s="39"/>
      <c r="N613" s="40"/>
    </row>
    <row r="614" spans="9:14" x14ac:dyDescent="0.25">
      <c r="I614" s="13"/>
      <c r="K614" s="30"/>
      <c r="L614" s="41"/>
      <c r="M614" s="39"/>
      <c r="N614" s="40"/>
    </row>
    <row r="615" spans="9:14" x14ac:dyDescent="0.25">
      <c r="I615" s="13"/>
      <c r="K615" s="30"/>
      <c r="L615" s="41"/>
      <c r="M615" s="39"/>
      <c r="N615" s="40"/>
    </row>
    <row r="616" spans="9:14" x14ac:dyDescent="0.25">
      <c r="I616" s="13"/>
      <c r="K616" s="30"/>
      <c r="L616" s="41"/>
      <c r="M616" s="39"/>
      <c r="N616" s="40"/>
    </row>
    <row r="617" spans="9:14" x14ac:dyDescent="0.25">
      <c r="I617" s="13"/>
      <c r="K617" s="30"/>
      <c r="L617" s="41"/>
      <c r="M617" s="39"/>
      <c r="N617" s="40"/>
    </row>
    <row r="618" spans="9:14" x14ac:dyDescent="0.25">
      <c r="I618" s="13"/>
      <c r="K618" s="30"/>
      <c r="L618" s="41"/>
      <c r="M618" s="39"/>
      <c r="N618" s="40"/>
    </row>
    <row r="619" spans="9:14" x14ac:dyDescent="0.25">
      <c r="I619" s="13"/>
      <c r="K619" s="30"/>
      <c r="L619" s="41"/>
      <c r="M619" s="39"/>
      <c r="N619" s="40"/>
    </row>
    <row r="620" spans="9:14" x14ac:dyDescent="0.25">
      <c r="I620" s="13"/>
      <c r="K620" s="30"/>
      <c r="L620" s="41"/>
      <c r="M620" s="39"/>
      <c r="N620" s="40"/>
    </row>
    <row r="621" spans="9:14" x14ac:dyDescent="0.25">
      <c r="I621" s="13"/>
      <c r="K621" s="30"/>
      <c r="L621" s="41"/>
      <c r="M621" s="39"/>
      <c r="N621" s="40"/>
    </row>
    <row r="622" spans="9:14" x14ac:dyDescent="0.25">
      <c r="I622" s="13"/>
      <c r="K622" s="30"/>
      <c r="L622" s="41"/>
      <c r="M622" s="39"/>
      <c r="N622" s="40"/>
    </row>
    <row r="623" spans="9:14" x14ac:dyDescent="0.25">
      <c r="I623" s="13"/>
      <c r="K623" s="30"/>
      <c r="L623" s="41"/>
      <c r="M623" s="39"/>
      <c r="N623" s="40"/>
    </row>
    <row r="624" spans="9:14" x14ac:dyDescent="0.25">
      <c r="I624" s="13"/>
      <c r="K624" s="30"/>
      <c r="L624" s="41"/>
      <c r="M624" s="39"/>
      <c r="N624" s="40"/>
    </row>
    <row r="625" spans="9:14" x14ac:dyDescent="0.25">
      <c r="I625" s="13"/>
      <c r="K625" s="30"/>
      <c r="L625" s="41"/>
      <c r="M625" s="39"/>
      <c r="N625" s="40"/>
    </row>
    <row r="626" spans="9:14" x14ac:dyDescent="0.25">
      <c r="I626" s="13"/>
      <c r="K626" s="30"/>
      <c r="L626" s="41"/>
      <c r="M626" s="39"/>
      <c r="N626" s="40"/>
    </row>
    <row r="627" spans="9:14" x14ac:dyDescent="0.25">
      <c r="I627" s="13"/>
      <c r="K627" s="30"/>
      <c r="L627" s="41"/>
      <c r="M627" s="39"/>
      <c r="N627" s="40"/>
    </row>
    <row r="628" spans="9:14" x14ac:dyDescent="0.25">
      <c r="I628" s="13"/>
      <c r="K628" s="30"/>
      <c r="L628" s="41"/>
      <c r="M628" s="39"/>
      <c r="N628" s="40"/>
    </row>
    <row r="629" spans="9:14" x14ac:dyDescent="0.25">
      <c r="I629" s="13"/>
      <c r="K629" s="30"/>
      <c r="L629" s="41"/>
      <c r="M629" s="39"/>
      <c r="N629" s="40"/>
    </row>
    <row r="630" spans="9:14" x14ac:dyDescent="0.25">
      <c r="I630" s="13"/>
      <c r="K630" s="30"/>
      <c r="L630" s="41"/>
      <c r="M630" s="39"/>
      <c r="N630" s="40"/>
    </row>
    <row r="631" spans="9:14" x14ac:dyDescent="0.25">
      <c r="I631" s="13"/>
      <c r="K631" s="30"/>
      <c r="L631" s="41"/>
      <c r="M631" s="39"/>
      <c r="N631" s="40"/>
    </row>
    <row r="632" spans="9:14" x14ac:dyDescent="0.25">
      <c r="I632" s="13"/>
      <c r="L632" s="41"/>
      <c r="M632" s="39"/>
      <c r="N632" s="40"/>
    </row>
    <row r="633" spans="9:14" x14ac:dyDescent="0.25">
      <c r="I633" s="13"/>
      <c r="L633" s="41"/>
      <c r="M633" s="39"/>
      <c r="N633" s="40"/>
    </row>
    <row r="634" spans="9:14" x14ac:dyDescent="0.25">
      <c r="I634" s="13"/>
      <c r="L634" s="41"/>
      <c r="M634" s="39"/>
      <c r="N634" s="40"/>
    </row>
    <row r="635" spans="9:14" x14ac:dyDescent="0.25">
      <c r="I635" s="13"/>
      <c r="L635" s="41"/>
      <c r="M635" s="39"/>
      <c r="N635" s="40"/>
    </row>
    <row r="636" spans="9:14" x14ac:dyDescent="0.25">
      <c r="I636" s="13"/>
      <c r="L636" s="41"/>
      <c r="M636" s="39"/>
      <c r="N636" s="40"/>
    </row>
    <row r="637" spans="9:14" x14ac:dyDescent="0.25">
      <c r="I637" s="13"/>
      <c r="L637" s="41"/>
      <c r="M637" s="39"/>
      <c r="N637" s="40"/>
    </row>
    <row r="638" spans="9:14" x14ac:dyDescent="0.25">
      <c r="I638" s="13"/>
      <c r="L638" s="41"/>
      <c r="M638" s="39"/>
      <c r="N638" s="40"/>
    </row>
    <row r="639" spans="9:14" x14ac:dyDescent="0.25">
      <c r="I639" s="13"/>
      <c r="L639" s="41"/>
      <c r="M639" s="39"/>
      <c r="N639" s="40"/>
    </row>
    <row r="640" spans="9:14" x14ac:dyDescent="0.25">
      <c r="I640" s="13"/>
      <c r="L640" s="41"/>
      <c r="M640" s="39"/>
      <c r="N640" s="40"/>
    </row>
    <row r="641" spans="9:14" x14ac:dyDescent="0.25">
      <c r="I641" s="13"/>
      <c r="L641" s="41"/>
      <c r="M641" s="39"/>
      <c r="N641" s="40"/>
    </row>
    <row r="642" spans="9:14" x14ac:dyDescent="0.25">
      <c r="I642" s="13"/>
      <c r="L642" s="41"/>
      <c r="M642" s="39"/>
      <c r="N642" s="40"/>
    </row>
    <row r="643" spans="9:14" x14ac:dyDescent="0.25">
      <c r="I643" s="13"/>
      <c r="L643" s="41"/>
      <c r="M643" s="39"/>
      <c r="N643" s="40"/>
    </row>
    <row r="644" spans="9:14" x14ac:dyDescent="0.25">
      <c r="I644" s="13"/>
      <c r="L644" s="41"/>
      <c r="M644" s="39"/>
      <c r="N644" s="40"/>
    </row>
    <row r="645" spans="9:14" x14ac:dyDescent="0.25">
      <c r="I645" s="13"/>
      <c r="L645" s="41"/>
      <c r="M645" s="39"/>
      <c r="N645" s="40"/>
    </row>
    <row r="646" spans="9:14" x14ac:dyDescent="0.25">
      <c r="I646" s="13"/>
      <c r="L646" s="41"/>
      <c r="M646" s="39"/>
      <c r="N646" s="40"/>
    </row>
    <row r="647" spans="9:14" x14ac:dyDescent="0.25">
      <c r="I647" s="13"/>
      <c r="L647" s="41"/>
      <c r="M647" s="39"/>
      <c r="N647" s="40"/>
    </row>
    <row r="648" spans="9:14" x14ac:dyDescent="0.25">
      <c r="I648" s="13"/>
      <c r="L648" s="41"/>
      <c r="M648" s="39"/>
      <c r="N648" s="40"/>
    </row>
    <row r="649" spans="9:14" x14ac:dyDescent="0.25">
      <c r="I649" s="13"/>
      <c r="L649" s="41"/>
      <c r="M649" s="39"/>
      <c r="N649" s="40"/>
    </row>
    <row r="650" spans="9:14" x14ac:dyDescent="0.25">
      <c r="I650" s="13"/>
      <c r="L650" s="41"/>
      <c r="M650" s="39"/>
      <c r="N650" s="40"/>
    </row>
    <row r="651" spans="9:14" x14ac:dyDescent="0.25">
      <c r="I651" s="13"/>
      <c r="L651" s="41"/>
      <c r="M651" s="39"/>
      <c r="N651" s="40"/>
    </row>
    <row r="652" spans="9:14" x14ac:dyDescent="0.25">
      <c r="I652" s="13"/>
      <c r="L652" s="41"/>
      <c r="M652" s="39"/>
      <c r="N652" s="40"/>
    </row>
    <row r="653" spans="9:14" x14ac:dyDescent="0.25">
      <c r="I653" s="13"/>
      <c r="L653" s="41"/>
      <c r="M653" s="39"/>
      <c r="N653" s="40"/>
    </row>
    <row r="654" spans="9:14" x14ac:dyDescent="0.25">
      <c r="I654" s="13"/>
      <c r="L654" s="41"/>
      <c r="M654" s="39"/>
      <c r="N654" s="40"/>
    </row>
    <row r="655" spans="9:14" x14ac:dyDescent="0.25">
      <c r="I655" s="13"/>
      <c r="L655" s="41"/>
      <c r="M655" s="39"/>
      <c r="N655" s="40"/>
    </row>
    <row r="656" spans="9:14" x14ac:dyDescent="0.25">
      <c r="I656" s="13"/>
      <c r="L656" s="41"/>
      <c r="M656" s="39"/>
      <c r="N656" s="40"/>
    </row>
    <row r="657" spans="9:14" x14ac:dyDescent="0.25">
      <c r="I657" s="13"/>
      <c r="L657" s="41"/>
      <c r="M657" s="39"/>
      <c r="N657" s="40"/>
    </row>
    <row r="658" spans="9:14" x14ac:dyDescent="0.25">
      <c r="I658" s="13"/>
      <c r="L658" s="41"/>
      <c r="M658" s="39"/>
      <c r="N658" s="40"/>
    </row>
    <row r="659" spans="9:14" x14ac:dyDescent="0.25">
      <c r="I659" s="13"/>
      <c r="L659" s="41"/>
      <c r="M659" s="39"/>
      <c r="N659" s="40"/>
    </row>
    <row r="660" spans="9:14" x14ac:dyDescent="0.25">
      <c r="I660" s="13"/>
      <c r="L660" s="41"/>
      <c r="M660" s="39"/>
      <c r="N660" s="40"/>
    </row>
    <row r="661" spans="9:14" x14ac:dyDescent="0.25">
      <c r="I661" s="13"/>
      <c r="L661" s="41"/>
      <c r="M661" s="39"/>
      <c r="N661" s="40"/>
    </row>
    <row r="662" spans="9:14" x14ac:dyDescent="0.25">
      <c r="I662" s="13"/>
      <c r="L662" s="41"/>
      <c r="M662" s="39"/>
      <c r="N662" s="40"/>
    </row>
    <row r="663" spans="9:14" x14ac:dyDescent="0.25">
      <c r="I663" s="13"/>
      <c r="L663" s="41"/>
      <c r="M663" s="39"/>
      <c r="N663" s="40"/>
    </row>
    <row r="664" spans="9:14" x14ac:dyDescent="0.25">
      <c r="I664" s="13"/>
      <c r="L664" s="41"/>
      <c r="M664" s="39"/>
      <c r="N664" s="40"/>
    </row>
    <row r="665" spans="9:14" x14ac:dyDescent="0.25">
      <c r="I665" s="13"/>
      <c r="L665" s="41"/>
      <c r="M665" s="39"/>
      <c r="N665" s="40"/>
    </row>
    <row r="666" spans="9:14" x14ac:dyDescent="0.25">
      <c r="I666" s="13"/>
      <c r="L666" s="41"/>
      <c r="M666" s="39"/>
      <c r="N666" s="40"/>
    </row>
    <row r="667" spans="9:14" x14ac:dyDescent="0.25">
      <c r="I667" s="13"/>
      <c r="L667" s="41"/>
      <c r="M667" s="39"/>
      <c r="N667" s="40"/>
    </row>
    <row r="668" spans="9:14" x14ac:dyDescent="0.25">
      <c r="I668" s="13"/>
      <c r="L668" s="41"/>
      <c r="M668" s="39"/>
      <c r="N668" s="40"/>
    </row>
    <row r="669" spans="9:14" x14ac:dyDescent="0.25">
      <c r="I669" s="13"/>
      <c r="L669" s="41"/>
      <c r="M669" s="39"/>
      <c r="N669" s="40"/>
    </row>
    <row r="670" spans="9:14" x14ac:dyDescent="0.25">
      <c r="I670" s="13"/>
      <c r="L670" s="41"/>
      <c r="M670" s="39"/>
      <c r="N670" s="40"/>
    </row>
    <row r="671" spans="9:14" x14ac:dyDescent="0.25">
      <c r="I671" s="13"/>
      <c r="L671" s="41"/>
      <c r="M671" s="39"/>
      <c r="N671" s="40"/>
    </row>
    <row r="672" spans="9:14" x14ac:dyDescent="0.25">
      <c r="I672" s="13"/>
      <c r="L672" s="41"/>
      <c r="M672" s="39"/>
      <c r="N672" s="40"/>
    </row>
    <row r="673" spans="9:14" x14ac:dyDescent="0.25">
      <c r="I673" s="13"/>
      <c r="L673" s="41"/>
      <c r="M673" s="39"/>
      <c r="N673" s="40"/>
    </row>
    <row r="674" spans="9:14" x14ac:dyDescent="0.25">
      <c r="I674" s="13"/>
      <c r="L674" s="41"/>
      <c r="M674" s="39"/>
      <c r="N674" s="40"/>
    </row>
    <row r="675" spans="9:14" x14ac:dyDescent="0.25">
      <c r="I675" s="13"/>
      <c r="L675" s="41"/>
      <c r="M675" s="39"/>
      <c r="N675" s="40"/>
    </row>
    <row r="676" spans="9:14" x14ac:dyDescent="0.25">
      <c r="I676" s="13"/>
      <c r="L676" s="41"/>
      <c r="M676" s="39"/>
      <c r="N676" s="40"/>
    </row>
    <row r="677" spans="9:14" x14ac:dyDescent="0.25">
      <c r="I677" s="13"/>
      <c r="L677" s="41"/>
      <c r="M677" s="39"/>
      <c r="N677" s="40"/>
    </row>
    <row r="678" spans="9:14" x14ac:dyDescent="0.25">
      <c r="I678" s="13"/>
      <c r="L678" s="41"/>
      <c r="M678" s="39"/>
      <c r="N678" s="40"/>
    </row>
    <row r="679" spans="9:14" x14ac:dyDescent="0.25">
      <c r="I679" s="13"/>
      <c r="L679" s="41"/>
      <c r="M679" s="39"/>
      <c r="N679" s="40"/>
    </row>
    <row r="680" spans="9:14" x14ac:dyDescent="0.25">
      <c r="I680" s="13"/>
      <c r="L680" s="41"/>
      <c r="M680" s="39"/>
      <c r="N680" s="40"/>
    </row>
    <row r="681" spans="9:14" x14ac:dyDescent="0.25">
      <c r="I681" s="13"/>
      <c r="L681" s="41"/>
      <c r="M681" s="39"/>
      <c r="N681" s="40"/>
    </row>
    <row r="682" spans="9:14" x14ac:dyDescent="0.25">
      <c r="I682" s="13"/>
      <c r="L682" s="41"/>
      <c r="M682" s="39"/>
      <c r="N682" s="40"/>
    </row>
    <row r="683" spans="9:14" x14ac:dyDescent="0.25">
      <c r="I683" s="13"/>
      <c r="L683" s="41"/>
      <c r="M683" s="39"/>
      <c r="N683" s="40"/>
    </row>
    <row r="684" spans="9:14" x14ac:dyDescent="0.25">
      <c r="I684" s="13"/>
      <c r="L684" s="41"/>
      <c r="M684" s="39"/>
      <c r="N684" s="40"/>
    </row>
    <row r="685" spans="9:14" x14ac:dyDescent="0.25">
      <c r="L685" s="41"/>
      <c r="M685" s="39"/>
      <c r="N685" s="40"/>
    </row>
    <row r="686" spans="9:14" x14ac:dyDescent="0.25">
      <c r="L686" s="41"/>
      <c r="M686" s="39"/>
      <c r="N686" s="40"/>
    </row>
    <row r="687" spans="9:14" x14ac:dyDescent="0.25">
      <c r="L687" s="41"/>
      <c r="M687" s="39"/>
      <c r="N687" s="40"/>
    </row>
    <row r="688" spans="9:14" x14ac:dyDescent="0.25">
      <c r="L688" s="41"/>
      <c r="M688" s="39"/>
      <c r="N688" s="40"/>
    </row>
    <row r="689" spans="12:14" x14ac:dyDescent="0.25">
      <c r="L689" s="41"/>
      <c r="M689" s="39"/>
      <c r="N689" s="40"/>
    </row>
    <row r="690" spans="12:14" x14ac:dyDescent="0.25">
      <c r="L690" s="41"/>
      <c r="M690" s="39"/>
      <c r="N690" s="40"/>
    </row>
    <row r="691" spans="12:14" x14ac:dyDescent="0.25">
      <c r="L691" s="41"/>
      <c r="M691" s="39"/>
      <c r="N691" s="40"/>
    </row>
    <row r="692" spans="12:14" x14ac:dyDescent="0.25">
      <c r="L692" s="41"/>
      <c r="M692" s="39"/>
      <c r="N692" s="40"/>
    </row>
    <row r="693" spans="12:14" x14ac:dyDescent="0.25">
      <c r="L693" s="41"/>
      <c r="M693" s="39"/>
      <c r="N693" s="40"/>
    </row>
    <row r="694" spans="12:14" x14ac:dyDescent="0.25">
      <c r="L694" s="41"/>
      <c r="M694" s="39"/>
      <c r="N694" s="40"/>
    </row>
    <row r="695" spans="12:14" x14ac:dyDescent="0.25">
      <c r="L695" s="41"/>
      <c r="M695" s="39"/>
      <c r="N695" s="40"/>
    </row>
    <row r="696" spans="12:14" x14ac:dyDescent="0.25">
      <c r="L696" s="41"/>
      <c r="M696" s="39"/>
      <c r="N696" s="40"/>
    </row>
  </sheetData>
  <mergeCells count="2">
    <mergeCell ref="B1:L20"/>
    <mergeCell ref="N12:O12"/>
  </mergeCells>
  <dataValidations count="6">
    <dataValidation type="list" allowBlank="1" showInputMessage="1" showErrorMessage="1" sqref="D551:D696 G551:G696 D22:D549" xr:uid="{00000000-0002-0000-0400-000002000000}">
      <formula1>TENENCIA</formula1>
    </dataValidation>
    <dataValidation type="list" allowBlank="1" showInputMessage="1" showErrorMessage="1" sqref="B551:C696 H551:H696 C22:C549" xr:uid="{00000000-0002-0000-0400-000003000000}">
      <formula1>TIPO_DE_ÁREA</formula1>
    </dataValidation>
    <dataValidation type="list" allowBlank="1" showInputMessage="1" showErrorMessage="1" sqref="E551:F696 F229 F336 E22:E549" xr:uid="{00000000-0002-0000-0400-000004000000}">
      <formula1>UBICACIÓN</formula1>
    </dataValidation>
    <dataValidation type="list" allowBlank="1" showInputMessage="1" showErrorMessage="1" sqref="I551:I696 I350:I549 I22:I348" xr:uid="{00000000-0002-0000-0400-000005000000}">
      <formula1>ASIGNACIÓN</formula1>
    </dataValidation>
    <dataValidation type="list" allowBlank="1" showInputMessage="1" showErrorMessage="1" sqref="K22:K549" xr:uid="{00000000-0002-0000-0400-000000000000}">
      <formula1>FUNCIÓN_ESPECÍFICA</formula1>
    </dataValidation>
    <dataValidation type="list" allowBlank="1" showInputMessage="1" showErrorMessage="1" sqref="O22:O549" xr:uid="{00000000-0002-0000-0400-000001000000}">
      <formula1>Acceso</formula1>
    </dataValidation>
  </dataValidations>
  <pageMargins left="0.31496062992125984" right="0.31496062992125984" top="0.35433070866141736" bottom="0.35433070866141736" header="0.31496062992125984" footer="0.31496062992125984"/>
  <pageSetup scale="80" orientation="landscape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6000000}">
          <x14:formula1>
            <xm:f>Listas!$R$3:$R$9</xm:f>
          </x14:formula1>
          <xm:sqref>B22:B549</xm:sqref>
        </x14:dataValidation>
        <x14:dataValidation type="list" allowBlank="1" showInputMessage="1" showErrorMessage="1" xr:uid="{00000000-0002-0000-0400-000007000000}">
          <x14:formula1>
            <xm:f>Listas!$J$4:$J$13</xm:f>
          </x14:formula1>
          <xm:sqref>G22:G549</xm:sqref>
        </x14:dataValidation>
        <x14:dataValidation type="list" allowBlank="1" showInputMessage="1" showErrorMessage="1" xr:uid="{00000000-0002-0000-0400-000008000000}">
          <x14:formula1>
            <xm:f>Listas!$H$4:$H$34</xm:f>
          </x14:formula1>
          <xm:sqref>H22:H549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FB152"/>
  <sheetViews>
    <sheetView showGridLines="0" topLeftCell="A7" zoomScale="90" zoomScaleNormal="90" workbookViewId="0">
      <pane xSplit="1" topLeftCell="B1" activePane="topRight" state="frozen"/>
      <selection activeCell="A5" sqref="A5"/>
      <selection pane="topRight" activeCell="A33" sqref="A33"/>
    </sheetView>
  </sheetViews>
  <sheetFormatPr baseColWidth="10" defaultColWidth="0" defaultRowHeight="15" x14ac:dyDescent="0.25"/>
  <cols>
    <col min="1" max="1" width="3.42578125" style="23" customWidth="1"/>
    <col min="2" max="2" width="30.5703125" style="23" customWidth="1"/>
    <col min="3" max="3" width="16.7109375" style="23" customWidth="1"/>
    <col min="4" max="4" width="13.28515625" style="23" customWidth="1"/>
    <col min="5" max="5" width="17" style="23" customWidth="1"/>
    <col min="6" max="6" width="19.28515625" style="12" customWidth="1"/>
    <col min="7" max="7" width="17.28515625" style="23" customWidth="1"/>
    <col min="8" max="8" width="24.140625" style="23" customWidth="1"/>
    <col min="9" max="9" width="26" style="23" customWidth="1"/>
    <col min="10" max="10" width="36" style="23" customWidth="1"/>
    <col min="11" max="11" width="13.85546875" style="23" customWidth="1"/>
    <col min="12" max="12" width="6" style="23" customWidth="1"/>
    <col min="13" max="13" width="13.85546875" style="23" customWidth="1"/>
    <col min="14" max="14" width="25.42578125" style="12" customWidth="1"/>
    <col min="15" max="15" width="17.5703125" style="23" customWidth="1"/>
    <col min="16" max="18" width="0" style="23" hidden="1" customWidth="1"/>
    <col min="19" max="16382" width="11.42578125" style="23" hidden="1"/>
    <col min="16383" max="16383" width="2.28515625" style="23" customWidth="1"/>
    <col min="16384" max="16384" width="2.5703125" style="23" customWidth="1"/>
  </cols>
  <sheetData>
    <row r="1" spans="2:15" ht="28.5" customHeight="1" x14ac:dyDescent="0.25">
      <c r="B1" s="267" t="s">
        <v>916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N1" s="23"/>
    </row>
    <row r="2" spans="2:15" ht="21" customHeight="1" x14ac:dyDescent="0.25"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N2" s="23"/>
    </row>
    <row r="3" spans="2:15" ht="28.5" customHeight="1" x14ac:dyDescent="0.25"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N3" s="23"/>
    </row>
    <row r="4" spans="2:15" x14ac:dyDescent="0.25"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N4" s="23"/>
    </row>
    <row r="5" spans="2:15" x14ac:dyDescent="0.25"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N5" s="23"/>
    </row>
    <row r="6" spans="2:15" x14ac:dyDescent="0.25"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N6" s="23"/>
    </row>
    <row r="7" spans="2:15" x14ac:dyDescent="0.25"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N7" s="23"/>
    </row>
    <row r="8" spans="2:15" x14ac:dyDescent="0.25"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N8" s="23"/>
    </row>
    <row r="9" spans="2:15" x14ac:dyDescent="0.25"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N9" s="23"/>
    </row>
    <row r="10" spans="2:15" x14ac:dyDescent="0.25"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N10" s="23"/>
    </row>
    <row r="11" spans="2:15" ht="13.5" customHeight="1" x14ac:dyDescent="0.25">
      <c r="B11" s="267"/>
      <c r="C11" s="267"/>
      <c r="D11" s="267"/>
      <c r="E11" s="267"/>
      <c r="F11" s="267"/>
      <c r="G11" s="267"/>
      <c r="H11" s="267"/>
      <c r="I11" s="267"/>
      <c r="J11" s="267"/>
      <c r="K11" s="267"/>
      <c r="L11" s="267"/>
      <c r="N11" s="23"/>
    </row>
    <row r="12" spans="2:15" ht="19.5" customHeight="1" x14ac:dyDescent="0.25"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N12" s="268" t="s">
        <v>118</v>
      </c>
      <c r="O12" s="268"/>
    </row>
    <row r="13" spans="2:15" x14ac:dyDescent="0.25">
      <c r="B13" s="267"/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N13" s="24" t="s">
        <v>111</v>
      </c>
      <c r="O13" s="25">
        <f>SUMIF(C22:C41,"CONSTRUIDA",M22:M41)</f>
        <v>955.03000000000009</v>
      </c>
    </row>
    <row r="14" spans="2:15" x14ac:dyDescent="0.25"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N14" s="24" t="s">
        <v>112</v>
      </c>
      <c r="O14" s="26">
        <f>SUM(Tabla26[CAPACIDAD FÍSICA])</f>
        <v>331</v>
      </c>
    </row>
    <row r="15" spans="2:15" x14ac:dyDescent="0.25">
      <c r="B15" s="267"/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N15" s="24" t="s">
        <v>119</v>
      </c>
      <c r="O15" s="26">
        <v>6165</v>
      </c>
    </row>
    <row r="16" spans="2:15" x14ac:dyDescent="0.25"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N16" s="24" t="s">
        <v>120</v>
      </c>
      <c r="O16" s="25">
        <f>O15/O13</f>
        <v>6.4552945980754526</v>
      </c>
    </row>
    <row r="17" spans="2:15" x14ac:dyDescent="0.25"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N17" s="24" t="s">
        <v>121</v>
      </c>
      <c r="O17" s="25">
        <f>SUMIF(O22:O41,"Si",M22:M41)</f>
        <v>0</v>
      </c>
    </row>
    <row r="18" spans="2:15" x14ac:dyDescent="0.25">
      <c r="B18" s="267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N18" s="24" t="s">
        <v>122</v>
      </c>
      <c r="O18" s="27">
        <f>+O17/O13</f>
        <v>0</v>
      </c>
    </row>
    <row r="19" spans="2:15" x14ac:dyDescent="0.25"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N19" s="14" t="s">
        <v>123</v>
      </c>
      <c r="O19" s="28"/>
    </row>
    <row r="20" spans="2:15" x14ac:dyDescent="0.25"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N20" s="23"/>
    </row>
    <row r="21" spans="2:15" s="29" customFormat="1" ht="17.25" x14ac:dyDescent="0.25">
      <c r="B21" s="15" t="s">
        <v>163</v>
      </c>
      <c r="C21" s="16" t="s">
        <v>0</v>
      </c>
      <c r="D21" s="16" t="s">
        <v>4</v>
      </c>
      <c r="E21" s="16" t="s">
        <v>1</v>
      </c>
      <c r="F21" s="16" t="s">
        <v>108</v>
      </c>
      <c r="G21" s="16" t="s">
        <v>302</v>
      </c>
      <c r="H21" s="16" t="s">
        <v>383</v>
      </c>
      <c r="I21" s="16" t="s">
        <v>2</v>
      </c>
      <c r="J21" s="16" t="s">
        <v>5</v>
      </c>
      <c r="K21" s="16" t="s">
        <v>384</v>
      </c>
      <c r="L21" s="16" t="s">
        <v>3</v>
      </c>
      <c r="M21" s="16" t="s">
        <v>161</v>
      </c>
      <c r="N21" s="16" t="s">
        <v>109</v>
      </c>
      <c r="O21" s="17" t="s">
        <v>113</v>
      </c>
    </row>
    <row r="22" spans="2:15" s="45" customFormat="1" ht="15" customHeight="1" x14ac:dyDescent="0.25">
      <c r="B22" s="43" t="s">
        <v>165</v>
      </c>
      <c r="C22" s="43" t="s">
        <v>6</v>
      </c>
      <c r="D22" s="43" t="s">
        <v>11</v>
      </c>
      <c r="E22" s="43" t="s">
        <v>20</v>
      </c>
      <c r="F22" s="49" t="s">
        <v>307</v>
      </c>
      <c r="G22" s="43">
        <v>2</v>
      </c>
      <c r="H22" s="43" t="s">
        <v>26</v>
      </c>
      <c r="I22" s="50" t="s">
        <v>79</v>
      </c>
      <c r="J22" s="50" t="s">
        <v>138</v>
      </c>
      <c r="K22" s="43" t="s">
        <v>90</v>
      </c>
      <c r="L22" s="51">
        <v>20</v>
      </c>
      <c r="M22" s="52">
        <v>23.53</v>
      </c>
      <c r="N22" s="235"/>
      <c r="O22" s="43" t="s">
        <v>115</v>
      </c>
    </row>
    <row r="23" spans="2:15" s="45" customFormat="1" ht="15" customHeight="1" x14ac:dyDescent="0.25">
      <c r="B23" s="30" t="s">
        <v>165</v>
      </c>
      <c r="C23" s="30" t="s">
        <v>6</v>
      </c>
      <c r="D23" s="30" t="s">
        <v>11</v>
      </c>
      <c r="E23" s="30" t="s">
        <v>20</v>
      </c>
      <c r="F23" s="11" t="s">
        <v>308</v>
      </c>
      <c r="G23" s="30">
        <v>2</v>
      </c>
      <c r="H23" s="30" t="s">
        <v>26</v>
      </c>
      <c r="I23" s="21" t="s">
        <v>79</v>
      </c>
      <c r="J23" s="21" t="s">
        <v>138</v>
      </c>
      <c r="K23" s="30" t="s">
        <v>90</v>
      </c>
      <c r="L23" s="32">
        <v>20</v>
      </c>
      <c r="M23" s="53">
        <v>22.63</v>
      </c>
      <c r="N23" s="44"/>
      <c r="O23" s="30" t="s">
        <v>115</v>
      </c>
    </row>
    <row r="24" spans="2:15" s="45" customFormat="1" ht="15" customHeight="1" x14ac:dyDescent="0.25">
      <c r="B24" s="30" t="s">
        <v>165</v>
      </c>
      <c r="C24" s="30" t="s">
        <v>6</v>
      </c>
      <c r="D24" s="30" t="s">
        <v>11</v>
      </c>
      <c r="E24" s="30" t="s">
        <v>20</v>
      </c>
      <c r="F24" s="11" t="s">
        <v>306</v>
      </c>
      <c r="G24" s="30">
        <v>2</v>
      </c>
      <c r="H24" s="30" t="s">
        <v>26</v>
      </c>
      <c r="I24" s="21" t="s">
        <v>79</v>
      </c>
      <c r="J24" s="21" t="s">
        <v>227</v>
      </c>
      <c r="K24" s="30" t="s">
        <v>90</v>
      </c>
      <c r="L24" s="32">
        <v>53</v>
      </c>
      <c r="M24" s="53">
        <v>73.5</v>
      </c>
      <c r="N24" s="44"/>
      <c r="O24" s="30" t="s">
        <v>115</v>
      </c>
    </row>
    <row r="25" spans="2:15" s="45" customFormat="1" ht="15" customHeight="1" x14ac:dyDescent="0.25">
      <c r="B25" s="30" t="s">
        <v>165</v>
      </c>
      <c r="C25" s="30" t="s">
        <v>6</v>
      </c>
      <c r="D25" s="30" t="s">
        <v>11</v>
      </c>
      <c r="E25" s="30" t="s">
        <v>20</v>
      </c>
      <c r="F25" s="11" t="s">
        <v>309</v>
      </c>
      <c r="G25" s="30">
        <v>2</v>
      </c>
      <c r="H25" s="30" t="s">
        <v>26</v>
      </c>
      <c r="I25" s="21" t="s">
        <v>79</v>
      </c>
      <c r="J25" s="21" t="s">
        <v>227</v>
      </c>
      <c r="K25" s="30" t="s">
        <v>90</v>
      </c>
      <c r="L25" s="32">
        <v>29</v>
      </c>
      <c r="M25" s="53">
        <v>41.88</v>
      </c>
      <c r="N25" s="44"/>
      <c r="O25" s="30" t="s">
        <v>115</v>
      </c>
    </row>
    <row r="26" spans="2:15" s="45" customFormat="1" ht="15" customHeight="1" x14ac:dyDescent="0.25">
      <c r="B26" s="30" t="s">
        <v>165</v>
      </c>
      <c r="C26" s="30" t="s">
        <v>6</v>
      </c>
      <c r="D26" s="30" t="s">
        <v>11</v>
      </c>
      <c r="E26" s="30" t="s">
        <v>20</v>
      </c>
      <c r="F26" s="11" t="s">
        <v>310</v>
      </c>
      <c r="G26" s="30">
        <v>2</v>
      </c>
      <c r="H26" s="30" t="s">
        <v>26</v>
      </c>
      <c r="I26" s="21" t="s">
        <v>79</v>
      </c>
      <c r="J26" s="21" t="s">
        <v>227</v>
      </c>
      <c r="K26" s="30" t="s">
        <v>90</v>
      </c>
      <c r="L26" s="32">
        <v>23</v>
      </c>
      <c r="M26" s="53">
        <v>39.119999999999997</v>
      </c>
      <c r="N26" s="44"/>
      <c r="O26" s="30" t="s">
        <v>115</v>
      </c>
    </row>
    <row r="27" spans="2:15" s="45" customFormat="1" ht="15" customHeight="1" x14ac:dyDescent="0.25">
      <c r="B27" s="30" t="s">
        <v>165</v>
      </c>
      <c r="C27" s="30" t="s">
        <v>6</v>
      </c>
      <c r="D27" s="30" t="s">
        <v>11</v>
      </c>
      <c r="E27" s="30" t="s">
        <v>20</v>
      </c>
      <c r="F27" s="11" t="s">
        <v>311</v>
      </c>
      <c r="G27" s="30">
        <v>2</v>
      </c>
      <c r="H27" s="30" t="s">
        <v>26</v>
      </c>
      <c r="I27" s="21" t="s">
        <v>79</v>
      </c>
      <c r="J27" s="21" t="s">
        <v>227</v>
      </c>
      <c r="K27" s="30" t="s">
        <v>90</v>
      </c>
      <c r="L27" s="32">
        <v>36</v>
      </c>
      <c r="M27" s="53">
        <v>47.04</v>
      </c>
      <c r="N27" s="44"/>
      <c r="O27" s="30" t="s">
        <v>115</v>
      </c>
    </row>
    <row r="28" spans="2:15" s="45" customFormat="1" ht="15" customHeight="1" x14ac:dyDescent="0.25">
      <c r="B28" s="30" t="s">
        <v>165</v>
      </c>
      <c r="C28" s="30" t="s">
        <v>6</v>
      </c>
      <c r="D28" s="30" t="s">
        <v>11</v>
      </c>
      <c r="E28" s="30" t="s">
        <v>20</v>
      </c>
      <c r="F28" s="11" t="s">
        <v>314</v>
      </c>
      <c r="G28" s="30">
        <v>2</v>
      </c>
      <c r="H28" s="30" t="s">
        <v>26</v>
      </c>
      <c r="I28" s="21" t="s">
        <v>79</v>
      </c>
      <c r="J28" s="21" t="s">
        <v>227</v>
      </c>
      <c r="K28" s="30" t="s">
        <v>90</v>
      </c>
      <c r="L28" s="32">
        <v>55</v>
      </c>
      <c r="M28" s="53">
        <v>82.25</v>
      </c>
      <c r="N28" s="44"/>
      <c r="O28" s="30" t="s">
        <v>115</v>
      </c>
    </row>
    <row r="29" spans="2:15" s="45" customFormat="1" ht="15" customHeight="1" x14ac:dyDescent="0.25">
      <c r="B29" s="30" t="s">
        <v>168</v>
      </c>
      <c r="C29" s="30" t="s">
        <v>6</v>
      </c>
      <c r="D29" s="30" t="s">
        <v>11</v>
      </c>
      <c r="E29" s="30" t="s">
        <v>20</v>
      </c>
      <c r="F29" s="11"/>
      <c r="G29" s="30">
        <v>2</v>
      </c>
      <c r="H29" s="30" t="s">
        <v>23</v>
      </c>
      <c r="I29" s="21" t="s">
        <v>79</v>
      </c>
      <c r="J29" s="21" t="s">
        <v>468</v>
      </c>
      <c r="K29" s="30" t="s">
        <v>90</v>
      </c>
      <c r="L29" s="32">
        <v>1</v>
      </c>
      <c r="M29" s="53">
        <v>15.78</v>
      </c>
      <c r="N29" s="44"/>
      <c r="O29" s="30" t="s">
        <v>115</v>
      </c>
    </row>
    <row r="30" spans="2:15" s="45" customFormat="1" ht="15" customHeight="1" x14ac:dyDescent="0.25">
      <c r="B30" s="30" t="s">
        <v>168</v>
      </c>
      <c r="C30" s="30" t="s">
        <v>6</v>
      </c>
      <c r="D30" s="30" t="s">
        <v>11</v>
      </c>
      <c r="E30" s="30" t="s">
        <v>20</v>
      </c>
      <c r="F30" s="11"/>
      <c r="G30" s="30">
        <v>2</v>
      </c>
      <c r="H30" s="30" t="s">
        <v>23</v>
      </c>
      <c r="I30" s="21" t="s">
        <v>79</v>
      </c>
      <c r="J30" s="21" t="s">
        <v>312</v>
      </c>
      <c r="K30" s="30" t="s">
        <v>90</v>
      </c>
      <c r="L30" s="32">
        <v>1</v>
      </c>
      <c r="M30" s="53">
        <v>15.78</v>
      </c>
      <c r="N30" s="44"/>
      <c r="O30" s="30" t="s">
        <v>115</v>
      </c>
    </row>
    <row r="31" spans="2:15" s="45" customFormat="1" ht="15" customHeight="1" x14ac:dyDescent="0.25">
      <c r="B31" s="30" t="s">
        <v>165</v>
      </c>
      <c r="C31" s="30" t="s">
        <v>6</v>
      </c>
      <c r="D31" s="30" t="s">
        <v>11</v>
      </c>
      <c r="E31" s="30" t="s">
        <v>20</v>
      </c>
      <c r="F31" s="11"/>
      <c r="G31" s="30">
        <v>2</v>
      </c>
      <c r="H31" s="30" t="s">
        <v>30</v>
      </c>
      <c r="I31" s="21" t="s">
        <v>79</v>
      </c>
      <c r="J31" s="21" t="s">
        <v>313</v>
      </c>
      <c r="K31" s="30" t="s">
        <v>116</v>
      </c>
      <c r="L31" s="32">
        <v>11</v>
      </c>
      <c r="M31" s="53">
        <v>23.53</v>
      </c>
      <c r="N31" s="44"/>
      <c r="O31" s="30" t="s">
        <v>115</v>
      </c>
    </row>
    <row r="32" spans="2:15" s="45" customFormat="1" ht="15" customHeight="1" x14ac:dyDescent="0.25">
      <c r="B32" s="30" t="s">
        <v>165</v>
      </c>
      <c r="C32" s="30" t="s">
        <v>6</v>
      </c>
      <c r="D32" s="30" t="s">
        <v>11</v>
      </c>
      <c r="E32" s="30" t="s">
        <v>20</v>
      </c>
      <c r="F32" s="11"/>
      <c r="G32" s="30">
        <v>2</v>
      </c>
      <c r="H32" s="30" t="s">
        <v>26</v>
      </c>
      <c r="I32" s="21" t="s">
        <v>79</v>
      </c>
      <c r="J32" s="21" t="s">
        <v>138</v>
      </c>
      <c r="K32" s="30" t="s">
        <v>90</v>
      </c>
      <c r="L32" s="32">
        <v>12</v>
      </c>
      <c r="M32" s="53">
        <v>24.97</v>
      </c>
      <c r="N32" s="44">
        <v>45306</v>
      </c>
      <c r="O32" s="30" t="s">
        <v>115</v>
      </c>
    </row>
    <row r="33" spans="2:15" s="45" customFormat="1" ht="15" customHeight="1" x14ac:dyDescent="0.25">
      <c r="B33" s="30" t="s">
        <v>165</v>
      </c>
      <c r="C33" s="30" t="s">
        <v>6</v>
      </c>
      <c r="D33" s="30" t="s">
        <v>11</v>
      </c>
      <c r="E33" s="30" t="s">
        <v>20</v>
      </c>
      <c r="F33" s="11" t="s">
        <v>317</v>
      </c>
      <c r="G33" s="69">
        <v>2</v>
      </c>
      <c r="H33" s="30" t="s">
        <v>393</v>
      </c>
      <c r="I33" s="21" t="s">
        <v>79</v>
      </c>
      <c r="J33" s="50" t="s">
        <v>963</v>
      </c>
      <c r="K33" s="30" t="s">
        <v>90</v>
      </c>
      <c r="L33" s="32">
        <v>14</v>
      </c>
      <c r="M33" s="53">
        <v>23.53</v>
      </c>
      <c r="N33" s="44"/>
      <c r="O33" s="30" t="s">
        <v>115</v>
      </c>
    </row>
    <row r="34" spans="2:15" s="45" customFormat="1" ht="15" customHeight="1" x14ac:dyDescent="0.25">
      <c r="B34" s="30" t="s">
        <v>169</v>
      </c>
      <c r="C34" s="30" t="s">
        <v>6</v>
      </c>
      <c r="D34" s="30" t="s">
        <v>11</v>
      </c>
      <c r="E34" s="30" t="s">
        <v>20</v>
      </c>
      <c r="F34" s="11"/>
      <c r="G34" s="30">
        <v>2</v>
      </c>
      <c r="H34" s="30" t="s">
        <v>399</v>
      </c>
      <c r="I34" s="21" t="s">
        <v>79</v>
      </c>
      <c r="J34" s="21" t="s">
        <v>305</v>
      </c>
      <c r="K34" s="30" t="s">
        <v>94</v>
      </c>
      <c r="L34" s="32">
        <v>2</v>
      </c>
      <c r="M34" s="53">
        <v>9.16</v>
      </c>
      <c r="N34" s="44"/>
      <c r="O34" s="30" t="s">
        <v>115</v>
      </c>
    </row>
    <row r="35" spans="2:15" s="45" customFormat="1" ht="15" customHeight="1" x14ac:dyDescent="0.25">
      <c r="B35" s="30" t="s">
        <v>169</v>
      </c>
      <c r="C35" s="30" t="s">
        <v>6</v>
      </c>
      <c r="D35" s="30" t="s">
        <v>11</v>
      </c>
      <c r="E35" s="30" t="s">
        <v>20</v>
      </c>
      <c r="F35" s="11"/>
      <c r="G35" s="30">
        <v>2</v>
      </c>
      <c r="H35" s="30" t="s">
        <v>399</v>
      </c>
      <c r="I35" s="21" t="s">
        <v>79</v>
      </c>
      <c r="J35" s="21" t="s">
        <v>303</v>
      </c>
      <c r="K35" s="30" t="s">
        <v>94</v>
      </c>
      <c r="L35" s="32">
        <v>2</v>
      </c>
      <c r="M35" s="53">
        <v>9.16</v>
      </c>
      <c r="N35" s="44"/>
      <c r="O35" s="30" t="s">
        <v>115</v>
      </c>
    </row>
    <row r="36" spans="2:15" s="45" customFormat="1" ht="15" customHeight="1" x14ac:dyDescent="0.25">
      <c r="B36" s="30" t="s">
        <v>169</v>
      </c>
      <c r="C36" s="30" t="s">
        <v>6</v>
      </c>
      <c r="D36" s="30" t="s">
        <v>11</v>
      </c>
      <c r="E36" s="30" t="s">
        <v>20</v>
      </c>
      <c r="F36" s="11"/>
      <c r="G36" s="30">
        <v>3</v>
      </c>
      <c r="H36" s="30" t="s">
        <v>386</v>
      </c>
      <c r="I36" s="21" t="s">
        <v>68</v>
      </c>
      <c r="J36" s="21" t="s">
        <v>469</v>
      </c>
      <c r="K36" s="30" t="s">
        <v>107</v>
      </c>
      <c r="L36" s="32">
        <v>42</v>
      </c>
      <c r="M36" s="53">
        <v>73.28</v>
      </c>
      <c r="N36" s="44"/>
      <c r="O36" s="30" t="s">
        <v>115</v>
      </c>
    </row>
    <row r="37" spans="2:15" s="45" customFormat="1" ht="15" customHeight="1" x14ac:dyDescent="0.25">
      <c r="B37" s="30" t="s">
        <v>169</v>
      </c>
      <c r="C37" s="30" t="s">
        <v>6</v>
      </c>
      <c r="D37" s="30" t="s">
        <v>11</v>
      </c>
      <c r="E37" s="30" t="s">
        <v>20</v>
      </c>
      <c r="F37" s="11"/>
      <c r="G37" s="30">
        <v>3</v>
      </c>
      <c r="H37" s="30" t="s">
        <v>391</v>
      </c>
      <c r="I37" s="21" t="s">
        <v>79</v>
      </c>
      <c r="J37" s="21" t="s">
        <v>318</v>
      </c>
      <c r="K37" s="30" t="s">
        <v>107</v>
      </c>
      <c r="L37" s="32">
        <v>0</v>
      </c>
      <c r="M37" s="53">
        <v>221.24</v>
      </c>
      <c r="N37" s="44"/>
      <c r="O37" s="30" t="s">
        <v>115</v>
      </c>
    </row>
    <row r="38" spans="2:15" s="45" customFormat="1" ht="15" customHeight="1" x14ac:dyDescent="0.25">
      <c r="B38" s="30" t="s">
        <v>165</v>
      </c>
      <c r="C38" s="30" t="s">
        <v>6</v>
      </c>
      <c r="D38" s="30" t="s">
        <v>11</v>
      </c>
      <c r="E38" s="30" t="s">
        <v>20</v>
      </c>
      <c r="F38" s="11"/>
      <c r="G38" s="30">
        <v>2</v>
      </c>
      <c r="H38" s="30" t="s">
        <v>21</v>
      </c>
      <c r="I38" s="21" t="s">
        <v>79</v>
      </c>
      <c r="J38" s="21" t="s">
        <v>319</v>
      </c>
      <c r="K38" s="30" t="s">
        <v>90</v>
      </c>
      <c r="L38" s="32">
        <v>8</v>
      </c>
      <c r="M38" s="53">
        <v>46.7</v>
      </c>
      <c r="N38" s="44"/>
      <c r="O38" s="30" t="s">
        <v>115</v>
      </c>
    </row>
    <row r="39" spans="2:15" s="45" customFormat="1" ht="15" customHeight="1" x14ac:dyDescent="0.25">
      <c r="B39" s="30" t="s">
        <v>168</v>
      </c>
      <c r="C39" s="30" t="s">
        <v>6</v>
      </c>
      <c r="D39" s="30" t="s">
        <v>11</v>
      </c>
      <c r="E39" s="30" t="s">
        <v>20</v>
      </c>
      <c r="F39" s="11"/>
      <c r="G39" s="30">
        <v>2</v>
      </c>
      <c r="H39" s="30" t="s">
        <v>390</v>
      </c>
      <c r="I39" s="21" t="s">
        <v>79</v>
      </c>
      <c r="J39" s="21" t="s">
        <v>409</v>
      </c>
      <c r="K39" s="30" t="s">
        <v>94</v>
      </c>
      <c r="L39" s="32">
        <v>1</v>
      </c>
      <c r="M39" s="53">
        <v>6.46</v>
      </c>
      <c r="N39" s="44"/>
      <c r="O39" s="30" t="s">
        <v>115</v>
      </c>
    </row>
    <row r="40" spans="2:15" s="45" customFormat="1" ht="28.5" customHeight="1" x14ac:dyDescent="0.25">
      <c r="B40" s="30" t="s">
        <v>168</v>
      </c>
      <c r="C40" s="30" t="s">
        <v>6</v>
      </c>
      <c r="D40" s="30" t="s">
        <v>11</v>
      </c>
      <c r="E40" s="30" t="s">
        <v>20</v>
      </c>
      <c r="F40" s="11"/>
      <c r="G40" s="30">
        <v>1</v>
      </c>
      <c r="H40" s="30" t="s">
        <v>177</v>
      </c>
      <c r="I40" s="21" t="s">
        <v>79</v>
      </c>
      <c r="J40" s="21" t="s">
        <v>490</v>
      </c>
      <c r="K40" s="30" t="s">
        <v>107</v>
      </c>
      <c r="L40" s="32">
        <v>1</v>
      </c>
      <c r="M40" s="53">
        <v>25.2</v>
      </c>
      <c r="N40" s="44"/>
      <c r="O40" s="30" t="s">
        <v>115</v>
      </c>
    </row>
    <row r="41" spans="2:15" s="45" customFormat="1" ht="15" customHeight="1" x14ac:dyDescent="0.25">
      <c r="B41" s="30" t="s">
        <v>169</v>
      </c>
      <c r="C41" s="30" t="s">
        <v>6</v>
      </c>
      <c r="D41" s="30" t="s">
        <v>11</v>
      </c>
      <c r="E41" s="30" t="s">
        <v>20</v>
      </c>
      <c r="F41" s="11"/>
      <c r="G41" s="30">
        <v>2</v>
      </c>
      <c r="H41" s="30" t="s">
        <v>391</v>
      </c>
      <c r="I41" s="21" t="s">
        <v>79</v>
      </c>
      <c r="J41" s="21" t="s">
        <v>25</v>
      </c>
      <c r="K41" s="30" t="s">
        <v>107</v>
      </c>
      <c r="L41" s="32">
        <v>0</v>
      </c>
      <c r="M41" s="53">
        <v>130.29</v>
      </c>
      <c r="N41" s="44"/>
      <c r="O41" s="30" t="s">
        <v>115</v>
      </c>
    </row>
    <row r="42" spans="2:15" s="45" customFormat="1" ht="15" customHeight="1" x14ac:dyDescent="0.25">
      <c r="B42" s="30"/>
      <c r="C42" s="30"/>
      <c r="D42" s="30"/>
      <c r="E42" s="30"/>
      <c r="F42" s="11"/>
      <c r="G42" s="11"/>
      <c r="H42" s="30"/>
      <c r="I42" s="21"/>
      <c r="J42" s="21"/>
      <c r="K42" s="21"/>
      <c r="L42" s="66"/>
      <c r="M42" s="238">
        <f>SUBTOTAL(109,M22:M41)</f>
        <v>955.03000000000009</v>
      </c>
      <c r="N42" s="68"/>
      <c r="O42" s="30"/>
    </row>
    <row r="43" spans="2:15" x14ac:dyDescent="0.25">
      <c r="I43" s="13"/>
      <c r="K43" s="30"/>
      <c r="L43" s="41"/>
      <c r="M43" s="39"/>
      <c r="N43" s="40"/>
    </row>
    <row r="44" spans="2:15" x14ac:dyDescent="0.25">
      <c r="I44" s="13"/>
      <c r="K44" s="30"/>
      <c r="L44" s="41"/>
      <c r="M44" s="39"/>
      <c r="N44" s="40"/>
    </row>
    <row r="45" spans="2:15" x14ac:dyDescent="0.25">
      <c r="I45" s="13"/>
      <c r="K45" s="30"/>
      <c r="L45" s="41"/>
      <c r="M45" s="39"/>
      <c r="N45" s="40"/>
    </row>
    <row r="46" spans="2:15" x14ac:dyDescent="0.25">
      <c r="I46" s="13"/>
      <c r="K46" s="30"/>
      <c r="L46" s="41"/>
      <c r="M46" s="39"/>
      <c r="N46" s="40"/>
    </row>
    <row r="47" spans="2:15" x14ac:dyDescent="0.25">
      <c r="I47" s="13"/>
      <c r="K47" s="30"/>
      <c r="L47" s="41"/>
      <c r="M47" s="39"/>
      <c r="N47" s="40"/>
    </row>
    <row r="48" spans="2:15" x14ac:dyDescent="0.25">
      <c r="I48" s="13"/>
      <c r="K48" s="30"/>
      <c r="L48" s="41"/>
      <c r="M48" s="39"/>
      <c r="N48" s="40"/>
    </row>
    <row r="49" spans="9:14" x14ac:dyDescent="0.25">
      <c r="I49" s="13"/>
      <c r="K49" s="30"/>
      <c r="L49" s="41"/>
      <c r="M49" s="39"/>
      <c r="N49" s="40"/>
    </row>
    <row r="50" spans="9:14" x14ac:dyDescent="0.25">
      <c r="I50" s="13"/>
      <c r="K50" s="30"/>
      <c r="L50" s="41"/>
      <c r="M50" s="39"/>
      <c r="N50" s="40"/>
    </row>
    <row r="51" spans="9:14" x14ac:dyDescent="0.25">
      <c r="I51" s="13"/>
      <c r="K51" s="30"/>
      <c r="L51" s="41"/>
      <c r="M51" s="39"/>
      <c r="N51" s="40"/>
    </row>
    <row r="52" spans="9:14" x14ac:dyDescent="0.25">
      <c r="I52" s="13"/>
      <c r="K52" s="30"/>
      <c r="L52" s="41"/>
      <c r="M52" s="39"/>
      <c r="N52" s="40"/>
    </row>
    <row r="53" spans="9:14" x14ac:dyDescent="0.25">
      <c r="I53" s="13"/>
      <c r="K53" s="30"/>
      <c r="L53" s="41"/>
      <c r="M53" s="39"/>
      <c r="N53" s="40"/>
    </row>
    <row r="54" spans="9:14" x14ac:dyDescent="0.25">
      <c r="I54" s="13"/>
      <c r="K54" s="30"/>
      <c r="L54" s="41"/>
      <c r="M54" s="39"/>
      <c r="N54" s="40"/>
    </row>
    <row r="55" spans="9:14" x14ac:dyDescent="0.25">
      <c r="I55" s="13"/>
      <c r="K55" s="30"/>
      <c r="L55" s="41"/>
      <c r="M55" s="39"/>
      <c r="N55" s="40"/>
    </row>
    <row r="56" spans="9:14" x14ac:dyDescent="0.25">
      <c r="I56" s="13"/>
      <c r="K56" s="30"/>
      <c r="L56" s="41"/>
      <c r="M56" s="39"/>
      <c r="N56" s="40"/>
    </row>
    <row r="57" spans="9:14" x14ac:dyDescent="0.25">
      <c r="I57" s="13"/>
      <c r="K57" s="30"/>
      <c r="L57" s="41"/>
      <c r="M57" s="39"/>
      <c r="N57" s="40"/>
    </row>
    <row r="58" spans="9:14" x14ac:dyDescent="0.25">
      <c r="I58" s="13"/>
      <c r="K58" s="30"/>
      <c r="L58" s="41"/>
      <c r="M58" s="39"/>
      <c r="N58" s="40"/>
    </row>
    <row r="59" spans="9:14" x14ac:dyDescent="0.25">
      <c r="I59" s="13"/>
      <c r="K59" s="30"/>
      <c r="L59" s="41"/>
      <c r="M59" s="39"/>
      <c r="N59" s="40"/>
    </row>
    <row r="60" spans="9:14" x14ac:dyDescent="0.25">
      <c r="I60" s="13"/>
      <c r="K60" s="30"/>
      <c r="L60" s="41"/>
      <c r="M60" s="39"/>
      <c r="N60" s="40"/>
    </row>
    <row r="61" spans="9:14" x14ac:dyDescent="0.25">
      <c r="I61" s="13"/>
      <c r="K61" s="30"/>
      <c r="L61" s="41"/>
      <c r="M61" s="39"/>
      <c r="N61" s="40"/>
    </row>
    <row r="62" spans="9:14" x14ac:dyDescent="0.25">
      <c r="I62" s="13"/>
      <c r="K62" s="30"/>
      <c r="L62" s="41"/>
      <c r="M62" s="39"/>
      <c r="N62" s="40"/>
    </row>
    <row r="63" spans="9:14" x14ac:dyDescent="0.25">
      <c r="I63" s="13"/>
      <c r="K63" s="30"/>
      <c r="L63" s="41"/>
      <c r="M63" s="39"/>
      <c r="N63" s="40"/>
    </row>
    <row r="64" spans="9:14" x14ac:dyDescent="0.25">
      <c r="I64" s="13"/>
      <c r="K64" s="30"/>
      <c r="L64" s="41"/>
      <c r="M64" s="39"/>
      <c r="N64" s="40"/>
    </row>
    <row r="65" spans="9:14" x14ac:dyDescent="0.25">
      <c r="I65" s="13"/>
      <c r="K65" s="30"/>
      <c r="L65" s="41"/>
      <c r="M65" s="39"/>
      <c r="N65" s="40"/>
    </row>
    <row r="66" spans="9:14" x14ac:dyDescent="0.25">
      <c r="I66" s="13"/>
      <c r="K66" s="30"/>
      <c r="L66" s="41"/>
      <c r="M66" s="39"/>
      <c r="N66" s="40"/>
    </row>
    <row r="67" spans="9:14" x14ac:dyDescent="0.25">
      <c r="I67" s="13"/>
      <c r="K67" s="30"/>
      <c r="L67" s="41"/>
      <c r="M67" s="39"/>
      <c r="N67" s="40"/>
    </row>
    <row r="68" spans="9:14" x14ac:dyDescent="0.25">
      <c r="I68" s="13"/>
      <c r="K68" s="30"/>
      <c r="L68" s="41"/>
      <c r="M68" s="39"/>
      <c r="N68" s="40"/>
    </row>
    <row r="69" spans="9:14" x14ac:dyDescent="0.25">
      <c r="I69" s="13"/>
      <c r="K69" s="30"/>
      <c r="L69" s="41"/>
      <c r="M69" s="39"/>
      <c r="N69" s="40"/>
    </row>
    <row r="70" spans="9:14" x14ac:dyDescent="0.25">
      <c r="I70" s="13"/>
      <c r="K70" s="30"/>
      <c r="L70" s="41"/>
      <c r="M70" s="39"/>
      <c r="N70" s="40"/>
    </row>
    <row r="71" spans="9:14" x14ac:dyDescent="0.25">
      <c r="I71" s="13"/>
      <c r="K71" s="30"/>
      <c r="L71" s="41"/>
      <c r="M71" s="39"/>
      <c r="N71" s="40"/>
    </row>
    <row r="72" spans="9:14" x14ac:dyDescent="0.25">
      <c r="I72" s="13"/>
      <c r="K72" s="30"/>
      <c r="L72" s="41"/>
      <c r="M72" s="39"/>
      <c r="N72" s="40"/>
    </row>
    <row r="73" spans="9:14" x14ac:dyDescent="0.25">
      <c r="I73" s="13"/>
      <c r="K73" s="30"/>
      <c r="L73" s="41"/>
      <c r="M73" s="39"/>
      <c r="N73" s="40"/>
    </row>
    <row r="74" spans="9:14" x14ac:dyDescent="0.25">
      <c r="I74" s="13"/>
      <c r="K74" s="30"/>
      <c r="L74" s="41"/>
      <c r="M74" s="39"/>
      <c r="N74" s="40"/>
    </row>
    <row r="75" spans="9:14" x14ac:dyDescent="0.25">
      <c r="I75" s="13"/>
      <c r="K75" s="30"/>
      <c r="L75" s="41"/>
      <c r="M75" s="39"/>
      <c r="N75" s="40"/>
    </row>
    <row r="76" spans="9:14" x14ac:dyDescent="0.25">
      <c r="I76" s="13"/>
      <c r="K76" s="30"/>
      <c r="L76" s="41"/>
      <c r="M76" s="39"/>
      <c r="N76" s="40"/>
    </row>
    <row r="77" spans="9:14" x14ac:dyDescent="0.25">
      <c r="I77" s="13"/>
      <c r="K77" s="30"/>
      <c r="L77" s="41"/>
      <c r="M77" s="39"/>
      <c r="N77" s="40"/>
    </row>
    <row r="78" spans="9:14" x14ac:dyDescent="0.25">
      <c r="I78" s="13"/>
      <c r="K78" s="30"/>
      <c r="L78" s="41"/>
      <c r="M78" s="39"/>
      <c r="N78" s="40"/>
    </row>
    <row r="79" spans="9:14" x14ac:dyDescent="0.25">
      <c r="I79" s="13"/>
      <c r="K79" s="30"/>
      <c r="L79" s="41"/>
      <c r="M79" s="39"/>
      <c r="N79" s="40"/>
    </row>
    <row r="80" spans="9:14" x14ac:dyDescent="0.25">
      <c r="I80" s="13"/>
      <c r="K80" s="30"/>
      <c r="L80" s="41"/>
      <c r="M80" s="39"/>
      <c r="N80" s="40"/>
    </row>
    <row r="81" spans="9:14" x14ac:dyDescent="0.25">
      <c r="I81" s="13"/>
      <c r="K81" s="30"/>
      <c r="L81" s="41"/>
      <c r="M81" s="39"/>
      <c r="N81" s="40"/>
    </row>
    <row r="82" spans="9:14" x14ac:dyDescent="0.25">
      <c r="I82" s="13"/>
      <c r="K82" s="30"/>
      <c r="L82" s="41"/>
      <c r="M82" s="39"/>
      <c r="N82" s="40"/>
    </row>
    <row r="83" spans="9:14" x14ac:dyDescent="0.25">
      <c r="I83" s="13"/>
      <c r="K83" s="30"/>
      <c r="L83" s="41"/>
      <c r="M83" s="39"/>
      <c r="N83" s="40"/>
    </row>
    <row r="84" spans="9:14" x14ac:dyDescent="0.25">
      <c r="I84" s="13"/>
      <c r="K84" s="30"/>
      <c r="L84" s="41"/>
      <c r="M84" s="39"/>
      <c r="N84" s="40"/>
    </row>
    <row r="85" spans="9:14" x14ac:dyDescent="0.25">
      <c r="I85" s="13"/>
      <c r="K85" s="30"/>
      <c r="L85" s="41"/>
      <c r="M85" s="39"/>
      <c r="N85" s="40"/>
    </row>
    <row r="86" spans="9:14" x14ac:dyDescent="0.25">
      <c r="I86" s="13"/>
      <c r="K86" s="30"/>
      <c r="L86" s="41"/>
      <c r="M86" s="39"/>
      <c r="N86" s="40"/>
    </row>
    <row r="87" spans="9:14" x14ac:dyDescent="0.25">
      <c r="I87" s="13"/>
      <c r="K87" s="30"/>
      <c r="L87" s="41"/>
      <c r="M87" s="39"/>
      <c r="N87" s="40"/>
    </row>
    <row r="88" spans="9:14" x14ac:dyDescent="0.25">
      <c r="I88" s="13"/>
      <c r="L88" s="41"/>
      <c r="M88" s="39"/>
      <c r="N88" s="40"/>
    </row>
    <row r="89" spans="9:14" x14ac:dyDescent="0.25">
      <c r="I89" s="13"/>
      <c r="L89" s="41"/>
      <c r="M89" s="39"/>
      <c r="N89" s="40"/>
    </row>
    <row r="90" spans="9:14" x14ac:dyDescent="0.25">
      <c r="I90" s="13"/>
      <c r="L90" s="41"/>
      <c r="M90" s="39"/>
      <c r="N90" s="40"/>
    </row>
    <row r="91" spans="9:14" x14ac:dyDescent="0.25">
      <c r="I91" s="13"/>
      <c r="L91" s="41"/>
      <c r="M91" s="39"/>
      <c r="N91" s="40"/>
    </row>
    <row r="92" spans="9:14" x14ac:dyDescent="0.25">
      <c r="I92" s="13"/>
      <c r="L92" s="41"/>
      <c r="M92" s="39"/>
      <c r="N92" s="40"/>
    </row>
    <row r="93" spans="9:14" x14ac:dyDescent="0.25">
      <c r="I93" s="13"/>
      <c r="L93" s="41"/>
      <c r="M93" s="39"/>
      <c r="N93" s="40"/>
    </row>
    <row r="94" spans="9:14" x14ac:dyDescent="0.25">
      <c r="I94" s="13"/>
      <c r="L94" s="41"/>
      <c r="M94" s="39"/>
      <c r="N94" s="40"/>
    </row>
    <row r="95" spans="9:14" x14ac:dyDescent="0.25">
      <c r="I95" s="13"/>
      <c r="L95" s="41"/>
      <c r="M95" s="39"/>
      <c r="N95" s="40"/>
    </row>
    <row r="96" spans="9:14" x14ac:dyDescent="0.25">
      <c r="I96" s="13"/>
      <c r="L96" s="41"/>
      <c r="M96" s="39"/>
      <c r="N96" s="40"/>
    </row>
    <row r="97" spans="9:14" x14ac:dyDescent="0.25">
      <c r="I97" s="13"/>
      <c r="L97" s="41"/>
      <c r="M97" s="39"/>
      <c r="N97" s="40"/>
    </row>
    <row r="98" spans="9:14" x14ac:dyDescent="0.25">
      <c r="I98" s="13"/>
      <c r="L98" s="41"/>
      <c r="M98" s="39"/>
      <c r="N98" s="40"/>
    </row>
    <row r="99" spans="9:14" x14ac:dyDescent="0.25">
      <c r="I99" s="13"/>
      <c r="L99" s="41"/>
      <c r="M99" s="39"/>
      <c r="N99" s="40"/>
    </row>
    <row r="100" spans="9:14" x14ac:dyDescent="0.25">
      <c r="I100" s="13"/>
      <c r="L100" s="41"/>
      <c r="M100" s="39"/>
      <c r="N100" s="40"/>
    </row>
    <row r="101" spans="9:14" x14ac:dyDescent="0.25">
      <c r="I101" s="13"/>
      <c r="L101" s="41"/>
      <c r="M101" s="39"/>
      <c r="N101" s="40"/>
    </row>
    <row r="102" spans="9:14" x14ac:dyDescent="0.25">
      <c r="I102" s="13"/>
      <c r="L102" s="41"/>
      <c r="M102" s="39"/>
      <c r="N102" s="40"/>
    </row>
    <row r="103" spans="9:14" x14ac:dyDescent="0.25">
      <c r="I103" s="13"/>
      <c r="L103" s="41"/>
      <c r="M103" s="39"/>
      <c r="N103" s="40"/>
    </row>
    <row r="104" spans="9:14" x14ac:dyDescent="0.25">
      <c r="I104" s="13"/>
      <c r="L104" s="41"/>
      <c r="M104" s="39"/>
      <c r="N104" s="40"/>
    </row>
    <row r="105" spans="9:14" x14ac:dyDescent="0.25">
      <c r="I105" s="13"/>
      <c r="L105" s="41"/>
      <c r="M105" s="39"/>
      <c r="N105" s="40"/>
    </row>
    <row r="106" spans="9:14" x14ac:dyDescent="0.25">
      <c r="I106" s="13"/>
      <c r="L106" s="41"/>
      <c r="M106" s="39"/>
      <c r="N106" s="40"/>
    </row>
    <row r="107" spans="9:14" x14ac:dyDescent="0.25">
      <c r="I107" s="13"/>
      <c r="L107" s="41"/>
      <c r="M107" s="39"/>
      <c r="N107" s="40"/>
    </row>
    <row r="108" spans="9:14" x14ac:dyDescent="0.25">
      <c r="I108" s="13"/>
      <c r="L108" s="41"/>
      <c r="M108" s="39"/>
      <c r="N108" s="40"/>
    </row>
    <row r="109" spans="9:14" x14ac:dyDescent="0.25">
      <c r="I109" s="13"/>
      <c r="L109" s="41"/>
      <c r="M109" s="39"/>
      <c r="N109" s="40"/>
    </row>
    <row r="110" spans="9:14" x14ac:dyDescent="0.25">
      <c r="I110" s="13"/>
      <c r="L110" s="41"/>
      <c r="M110" s="39"/>
      <c r="N110" s="40"/>
    </row>
    <row r="111" spans="9:14" x14ac:dyDescent="0.25">
      <c r="I111" s="13"/>
      <c r="L111" s="41"/>
      <c r="M111" s="39"/>
      <c r="N111" s="40"/>
    </row>
    <row r="112" spans="9:14" x14ac:dyDescent="0.25">
      <c r="I112" s="13"/>
      <c r="L112" s="41"/>
      <c r="M112" s="39"/>
      <c r="N112" s="40"/>
    </row>
    <row r="113" spans="9:14" x14ac:dyDescent="0.25">
      <c r="I113" s="13"/>
      <c r="L113" s="41"/>
      <c r="M113" s="39"/>
      <c r="N113" s="40"/>
    </row>
    <row r="114" spans="9:14" x14ac:dyDescent="0.25">
      <c r="I114" s="13"/>
      <c r="L114" s="41"/>
      <c r="M114" s="39"/>
      <c r="N114" s="40"/>
    </row>
    <row r="115" spans="9:14" x14ac:dyDescent="0.25">
      <c r="I115" s="13"/>
      <c r="L115" s="41"/>
      <c r="M115" s="39"/>
      <c r="N115" s="40"/>
    </row>
    <row r="116" spans="9:14" x14ac:dyDescent="0.25">
      <c r="I116" s="13"/>
      <c r="L116" s="41"/>
      <c r="M116" s="39"/>
      <c r="N116" s="40"/>
    </row>
    <row r="117" spans="9:14" x14ac:dyDescent="0.25">
      <c r="I117" s="13"/>
      <c r="L117" s="41"/>
      <c r="M117" s="39"/>
      <c r="N117" s="40"/>
    </row>
    <row r="118" spans="9:14" x14ac:dyDescent="0.25">
      <c r="I118" s="13"/>
      <c r="L118" s="41"/>
      <c r="M118" s="39"/>
      <c r="N118" s="40"/>
    </row>
    <row r="119" spans="9:14" x14ac:dyDescent="0.25">
      <c r="I119" s="13"/>
      <c r="L119" s="41"/>
      <c r="M119" s="39"/>
      <c r="N119" s="40"/>
    </row>
    <row r="120" spans="9:14" x14ac:dyDescent="0.25">
      <c r="I120" s="13"/>
      <c r="L120" s="41"/>
      <c r="M120" s="39"/>
      <c r="N120" s="40"/>
    </row>
    <row r="121" spans="9:14" x14ac:dyDescent="0.25">
      <c r="I121" s="13"/>
      <c r="L121" s="41"/>
      <c r="M121" s="39"/>
      <c r="N121" s="40"/>
    </row>
    <row r="122" spans="9:14" x14ac:dyDescent="0.25">
      <c r="I122" s="13"/>
      <c r="L122" s="41"/>
      <c r="M122" s="39"/>
      <c r="N122" s="40"/>
    </row>
    <row r="123" spans="9:14" x14ac:dyDescent="0.25">
      <c r="I123" s="13"/>
      <c r="L123" s="41"/>
      <c r="M123" s="39"/>
      <c r="N123" s="40"/>
    </row>
    <row r="124" spans="9:14" x14ac:dyDescent="0.25">
      <c r="I124" s="13"/>
      <c r="L124" s="41"/>
      <c r="M124" s="39"/>
      <c r="N124" s="40"/>
    </row>
    <row r="125" spans="9:14" x14ac:dyDescent="0.25">
      <c r="I125" s="13"/>
      <c r="L125" s="41"/>
      <c r="M125" s="39"/>
      <c r="N125" s="40"/>
    </row>
    <row r="126" spans="9:14" x14ac:dyDescent="0.25">
      <c r="I126" s="13"/>
      <c r="L126" s="41"/>
      <c r="M126" s="39"/>
      <c r="N126" s="40"/>
    </row>
    <row r="127" spans="9:14" x14ac:dyDescent="0.25">
      <c r="I127" s="13"/>
      <c r="L127" s="41"/>
      <c r="M127" s="39"/>
      <c r="N127" s="40"/>
    </row>
    <row r="128" spans="9:14" x14ac:dyDescent="0.25">
      <c r="I128" s="13"/>
      <c r="L128" s="41"/>
      <c r="M128" s="39"/>
      <c r="N128" s="40"/>
    </row>
    <row r="129" spans="9:14" x14ac:dyDescent="0.25">
      <c r="I129" s="13"/>
      <c r="L129" s="41"/>
      <c r="M129" s="39"/>
      <c r="N129" s="40"/>
    </row>
    <row r="130" spans="9:14" x14ac:dyDescent="0.25">
      <c r="I130" s="13"/>
      <c r="L130" s="41"/>
      <c r="M130" s="39"/>
      <c r="N130" s="40"/>
    </row>
    <row r="131" spans="9:14" x14ac:dyDescent="0.25">
      <c r="I131" s="13"/>
      <c r="L131" s="41"/>
      <c r="M131" s="39"/>
      <c r="N131" s="40"/>
    </row>
    <row r="132" spans="9:14" x14ac:dyDescent="0.25">
      <c r="I132" s="13"/>
      <c r="L132" s="41"/>
      <c r="M132" s="39"/>
      <c r="N132" s="40"/>
    </row>
    <row r="133" spans="9:14" x14ac:dyDescent="0.25">
      <c r="I133" s="13"/>
      <c r="L133" s="41"/>
      <c r="M133" s="39"/>
      <c r="N133" s="40"/>
    </row>
    <row r="134" spans="9:14" x14ac:dyDescent="0.25">
      <c r="I134" s="13"/>
      <c r="L134" s="41"/>
      <c r="M134" s="39"/>
      <c r="N134" s="40"/>
    </row>
    <row r="135" spans="9:14" x14ac:dyDescent="0.25">
      <c r="I135" s="13"/>
      <c r="L135" s="41"/>
      <c r="M135" s="39"/>
      <c r="N135" s="40"/>
    </row>
    <row r="136" spans="9:14" x14ac:dyDescent="0.25">
      <c r="I136" s="13"/>
      <c r="L136" s="41"/>
      <c r="M136" s="39"/>
      <c r="N136" s="40"/>
    </row>
    <row r="137" spans="9:14" x14ac:dyDescent="0.25">
      <c r="I137" s="13"/>
      <c r="L137" s="41"/>
      <c r="M137" s="39"/>
      <c r="N137" s="40"/>
    </row>
    <row r="138" spans="9:14" x14ac:dyDescent="0.25">
      <c r="I138" s="13"/>
      <c r="L138" s="41"/>
      <c r="M138" s="39"/>
      <c r="N138" s="40"/>
    </row>
    <row r="139" spans="9:14" x14ac:dyDescent="0.25">
      <c r="I139" s="13"/>
      <c r="L139" s="41"/>
      <c r="M139" s="39"/>
      <c r="N139" s="40"/>
    </row>
    <row r="140" spans="9:14" x14ac:dyDescent="0.25">
      <c r="I140" s="13"/>
      <c r="L140" s="41"/>
      <c r="M140" s="39"/>
      <c r="N140" s="40"/>
    </row>
    <row r="141" spans="9:14" x14ac:dyDescent="0.25">
      <c r="L141" s="41"/>
      <c r="M141" s="39"/>
      <c r="N141" s="40"/>
    </row>
    <row r="142" spans="9:14" x14ac:dyDescent="0.25">
      <c r="L142" s="41"/>
      <c r="M142" s="39"/>
      <c r="N142" s="40"/>
    </row>
    <row r="143" spans="9:14" x14ac:dyDescent="0.25">
      <c r="L143" s="41"/>
      <c r="M143" s="39"/>
      <c r="N143" s="40"/>
    </row>
    <row r="144" spans="9:14" x14ac:dyDescent="0.25">
      <c r="L144" s="41"/>
      <c r="M144" s="39"/>
      <c r="N144" s="40"/>
    </row>
    <row r="145" spans="12:14" x14ac:dyDescent="0.25">
      <c r="L145" s="41"/>
      <c r="M145" s="39"/>
      <c r="N145" s="40"/>
    </row>
    <row r="146" spans="12:14" x14ac:dyDescent="0.25">
      <c r="L146" s="41"/>
      <c r="M146" s="39"/>
      <c r="N146" s="40"/>
    </row>
    <row r="147" spans="12:14" x14ac:dyDescent="0.25">
      <c r="L147" s="41"/>
      <c r="M147" s="39"/>
      <c r="N147" s="40"/>
    </row>
    <row r="148" spans="12:14" x14ac:dyDescent="0.25">
      <c r="L148" s="41"/>
      <c r="M148" s="39"/>
      <c r="N148" s="40"/>
    </row>
    <row r="149" spans="12:14" x14ac:dyDescent="0.25">
      <c r="L149" s="41"/>
      <c r="M149" s="39"/>
      <c r="N149" s="40"/>
    </row>
    <row r="150" spans="12:14" x14ac:dyDescent="0.25">
      <c r="L150" s="41"/>
      <c r="M150" s="39"/>
      <c r="N150" s="40"/>
    </row>
    <row r="151" spans="12:14" x14ac:dyDescent="0.25">
      <c r="L151" s="41"/>
      <c r="M151" s="39"/>
      <c r="N151" s="40"/>
    </row>
    <row r="152" spans="12:14" x14ac:dyDescent="0.25">
      <c r="L152" s="41"/>
      <c r="M152" s="39"/>
      <c r="N152" s="40"/>
    </row>
  </sheetData>
  <mergeCells count="2">
    <mergeCell ref="B1:L20"/>
    <mergeCell ref="N12:O12"/>
  </mergeCells>
  <dataValidations count="6">
    <dataValidation type="list" allowBlank="1" showInputMessage="1" showErrorMessage="1" sqref="I43:I152 I22:I41" xr:uid="{00000000-0002-0000-0500-000000000000}">
      <formula1>ASIGNACIÓN</formula1>
    </dataValidation>
    <dataValidation type="list" allowBlank="1" showInputMessage="1" showErrorMessage="1" sqref="D43:D152 G43:G152 D22:D41" xr:uid="{00000000-0002-0000-0500-000001000000}">
      <formula1>TENENCIA</formula1>
    </dataValidation>
    <dataValidation type="list" allowBlank="1" showInputMessage="1" showErrorMessage="1" sqref="B43:C152 H43:H152 C22:C41" xr:uid="{00000000-0002-0000-0500-000002000000}">
      <formula1>TIPO_DE_ÁREA</formula1>
    </dataValidation>
    <dataValidation type="list" allowBlank="1" showInputMessage="1" showErrorMessage="1" sqref="E43:F152 E22:E41" xr:uid="{00000000-0002-0000-0500-000003000000}">
      <formula1>UBICACIÓN</formula1>
    </dataValidation>
    <dataValidation type="list" allowBlank="1" showInputMessage="1" showErrorMessage="1" sqref="K22:K41" xr:uid="{00000000-0002-0000-0500-000004000000}">
      <formula1>FUNCIÓN_ESPECÍFICA</formula1>
    </dataValidation>
    <dataValidation type="list" allowBlank="1" showInputMessage="1" showErrorMessage="1" sqref="O22:O41" xr:uid="{00000000-0002-0000-0500-000005000000}">
      <formula1>Acceso</formula1>
    </dataValidation>
  </dataValidations>
  <pageMargins left="0.31496062992125984" right="0.31496062992125984" top="0.35433070866141736" bottom="0.35433070866141736" header="0.31496062992125984" footer="0.31496062992125984"/>
  <pageSetup scale="8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6000000}">
          <x14:formula1>
            <xm:f>Listas!$R$3:$R$9</xm:f>
          </x14:formula1>
          <xm:sqref>B22:B41</xm:sqref>
        </x14:dataValidation>
        <x14:dataValidation type="list" allowBlank="1" showInputMessage="1" showErrorMessage="1" xr:uid="{00000000-0002-0000-0500-000007000000}">
          <x14:formula1>
            <xm:f>Listas!$J$4:$J$13</xm:f>
          </x14:formula1>
          <xm:sqref>G22:G41</xm:sqref>
        </x14:dataValidation>
        <x14:dataValidation type="list" allowBlank="1" showInputMessage="1" showErrorMessage="1" xr:uid="{00000000-0002-0000-0500-000008000000}">
          <x14:formula1>
            <xm:f>Listas!$H$4:$H$34</xm:f>
          </x14:formula1>
          <xm:sqref>H22:H41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FB407"/>
  <sheetViews>
    <sheetView showGridLines="0" topLeftCell="A22" zoomScaleNormal="100" workbookViewId="0">
      <pane xSplit="1" topLeftCell="B1" activePane="topRight" state="frozen"/>
      <selection activeCell="A5" sqref="A5"/>
      <selection pane="topRight" activeCell="K51" sqref="K51"/>
    </sheetView>
  </sheetViews>
  <sheetFormatPr baseColWidth="10" defaultColWidth="0" defaultRowHeight="15" x14ac:dyDescent="0.25"/>
  <cols>
    <col min="1" max="1" width="3.42578125" style="23" customWidth="1"/>
    <col min="2" max="2" width="30.5703125" style="23" customWidth="1"/>
    <col min="3" max="3" width="16.7109375" style="23" customWidth="1"/>
    <col min="4" max="4" width="13.28515625" style="23" customWidth="1"/>
    <col min="5" max="5" width="11.7109375" style="23" customWidth="1"/>
    <col min="6" max="6" width="19.28515625" style="12" customWidth="1"/>
    <col min="7" max="7" width="7.85546875" style="23" customWidth="1"/>
    <col min="8" max="8" width="24.140625" style="23" customWidth="1"/>
    <col min="9" max="9" width="26" style="23" customWidth="1"/>
    <col min="10" max="10" width="36" style="23" customWidth="1"/>
    <col min="11" max="11" width="13.85546875" style="23" customWidth="1"/>
    <col min="12" max="12" width="6" style="23" customWidth="1"/>
    <col min="13" max="13" width="13.85546875" style="23" customWidth="1"/>
    <col min="14" max="14" width="25.42578125" style="12" customWidth="1"/>
    <col min="15" max="15" width="17.5703125" style="23" customWidth="1"/>
    <col min="16" max="18" width="0" style="23" hidden="1" customWidth="1"/>
    <col min="19" max="16382" width="11.42578125" style="23" hidden="1"/>
    <col min="16383" max="16383" width="2.28515625" style="23" customWidth="1"/>
    <col min="16384" max="16384" width="2.5703125" style="23" customWidth="1"/>
  </cols>
  <sheetData>
    <row r="1" spans="2:15" ht="28.5" customHeight="1" x14ac:dyDescent="0.25">
      <c r="B1" s="269" t="s">
        <v>766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N1" s="23"/>
    </row>
    <row r="2" spans="2:15" ht="21" customHeight="1" x14ac:dyDescent="0.25"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N2" s="23"/>
    </row>
    <row r="3" spans="2:15" ht="28.5" customHeight="1" x14ac:dyDescent="0.25"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N3" s="23"/>
    </row>
    <row r="4" spans="2:15" x14ac:dyDescent="0.25"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N4" s="23"/>
    </row>
    <row r="5" spans="2:15" x14ac:dyDescent="0.25"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N5" s="23"/>
    </row>
    <row r="6" spans="2:15" x14ac:dyDescent="0.25"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N6" s="23"/>
    </row>
    <row r="7" spans="2:15" x14ac:dyDescent="0.25">
      <c r="B7" s="269"/>
      <c r="C7" s="269"/>
      <c r="D7" s="269"/>
      <c r="E7" s="269"/>
      <c r="F7" s="269"/>
      <c r="G7" s="269"/>
      <c r="H7" s="269"/>
      <c r="I7" s="269"/>
      <c r="J7" s="269"/>
      <c r="K7" s="269"/>
      <c r="L7" s="269"/>
      <c r="N7" s="23"/>
    </row>
    <row r="8" spans="2:15" x14ac:dyDescent="0.25">
      <c r="B8" s="269"/>
      <c r="C8" s="269"/>
      <c r="D8" s="269"/>
      <c r="E8" s="269"/>
      <c r="F8" s="269"/>
      <c r="G8" s="269"/>
      <c r="H8" s="269"/>
      <c r="I8" s="269"/>
      <c r="J8" s="269"/>
      <c r="K8" s="269"/>
      <c r="L8" s="269"/>
      <c r="N8" s="23"/>
    </row>
    <row r="9" spans="2:15" x14ac:dyDescent="0.25"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N9" s="23"/>
    </row>
    <row r="10" spans="2:15" x14ac:dyDescent="0.25"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N10" s="23"/>
    </row>
    <row r="11" spans="2:15" ht="13.5" customHeight="1" x14ac:dyDescent="0.25"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N11" s="23"/>
    </row>
    <row r="12" spans="2:15" ht="19.5" customHeight="1" x14ac:dyDescent="0.25"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N12" s="24" t="s">
        <v>118</v>
      </c>
      <c r="O12" s="24"/>
    </row>
    <row r="13" spans="2:15" x14ac:dyDescent="0.25">
      <c r="B13" s="269"/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N13" s="24" t="s">
        <v>111</v>
      </c>
      <c r="O13" s="25">
        <f>SUMIF(C22:C259,"CONSTRUIDA",M22:M259)</f>
        <v>56889.548999999992</v>
      </c>
    </row>
    <row r="14" spans="2:15" x14ac:dyDescent="0.25"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N14" s="24" t="s">
        <v>112</v>
      </c>
      <c r="O14" s="26">
        <f>SUM(Tabla24[CAPACIDAD FÍSICA])</f>
        <v>2186</v>
      </c>
    </row>
    <row r="15" spans="2:15" x14ac:dyDescent="0.25">
      <c r="B15" s="269"/>
      <c r="C15" s="269"/>
      <c r="D15" s="269"/>
      <c r="E15" s="269"/>
      <c r="F15" s="269"/>
      <c r="G15" s="269"/>
      <c r="H15" s="269"/>
      <c r="I15" s="269"/>
      <c r="J15" s="269"/>
      <c r="K15" s="269"/>
      <c r="L15" s="269"/>
      <c r="N15" s="24" t="s">
        <v>119</v>
      </c>
      <c r="O15" s="26">
        <v>6165</v>
      </c>
    </row>
    <row r="16" spans="2:15" x14ac:dyDescent="0.25">
      <c r="B16" s="269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N16" s="24" t="s">
        <v>120</v>
      </c>
      <c r="O16" s="25">
        <f>O15/O13</f>
        <v>0.10836788317657432</v>
      </c>
    </row>
    <row r="17" spans="2:15" x14ac:dyDescent="0.25">
      <c r="B17" s="269"/>
      <c r="C17" s="269"/>
      <c r="D17" s="269"/>
      <c r="E17" s="269"/>
      <c r="F17" s="269"/>
      <c r="G17" s="269"/>
      <c r="H17" s="269"/>
      <c r="I17" s="269"/>
      <c r="J17" s="269"/>
      <c r="K17" s="269"/>
      <c r="L17" s="269"/>
      <c r="N17" s="24" t="s">
        <v>121</v>
      </c>
      <c r="O17" s="25">
        <f>SUMIF(O22:O259,"Si",M22:M259)</f>
        <v>56889.548999999992</v>
      </c>
    </row>
    <row r="18" spans="2:15" x14ac:dyDescent="0.25">
      <c r="B18" s="269"/>
      <c r="C18" s="269"/>
      <c r="D18" s="269"/>
      <c r="E18" s="269"/>
      <c r="F18" s="269"/>
      <c r="G18" s="269"/>
      <c r="H18" s="269"/>
      <c r="I18" s="269"/>
      <c r="J18" s="269"/>
      <c r="K18" s="269"/>
      <c r="L18" s="269"/>
      <c r="N18" s="24" t="s">
        <v>122</v>
      </c>
      <c r="O18" s="27">
        <f>+O17/O13</f>
        <v>1</v>
      </c>
    </row>
    <row r="19" spans="2:15" x14ac:dyDescent="0.25">
      <c r="B19" s="269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N19" s="14" t="s">
        <v>123</v>
      </c>
      <c r="O19" s="28"/>
    </row>
    <row r="20" spans="2:15" x14ac:dyDescent="0.25">
      <c r="B20" s="269"/>
      <c r="C20" s="269"/>
      <c r="D20" s="269"/>
      <c r="E20" s="269"/>
      <c r="F20" s="269"/>
      <c r="G20" s="269"/>
      <c r="H20" s="269"/>
      <c r="I20" s="269"/>
      <c r="J20" s="269"/>
      <c r="K20" s="269"/>
      <c r="L20" s="269"/>
      <c r="N20" s="23"/>
    </row>
    <row r="21" spans="2:15" s="29" customFormat="1" ht="17.25" x14ac:dyDescent="0.25">
      <c r="B21" s="15" t="s">
        <v>163</v>
      </c>
      <c r="C21" s="16" t="s">
        <v>0</v>
      </c>
      <c r="D21" s="16" t="s">
        <v>4</v>
      </c>
      <c r="E21" s="16" t="s">
        <v>1</v>
      </c>
      <c r="F21" s="16" t="s">
        <v>108</v>
      </c>
      <c r="G21" s="16" t="s">
        <v>302</v>
      </c>
      <c r="H21" s="16" t="s">
        <v>383</v>
      </c>
      <c r="I21" s="16" t="s">
        <v>2</v>
      </c>
      <c r="J21" s="16" t="s">
        <v>5</v>
      </c>
      <c r="K21" s="16" t="s">
        <v>384</v>
      </c>
      <c r="L21" s="16" t="s">
        <v>3</v>
      </c>
      <c r="M21" s="16" t="s">
        <v>161</v>
      </c>
      <c r="N21" s="16" t="s">
        <v>109</v>
      </c>
      <c r="O21" s="17" t="s">
        <v>113</v>
      </c>
    </row>
    <row r="22" spans="2:15" s="30" customFormat="1" ht="30" x14ac:dyDescent="0.25">
      <c r="B22" s="30" t="s">
        <v>167</v>
      </c>
      <c r="C22" s="30" t="s">
        <v>6</v>
      </c>
      <c r="D22" s="30" t="s">
        <v>10</v>
      </c>
      <c r="E22" s="30" t="s">
        <v>298</v>
      </c>
      <c r="F22" s="11"/>
      <c r="G22" s="30">
        <v>1</v>
      </c>
      <c r="H22" s="30" t="s">
        <v>22</v>
      </c>
      <c r="I22" s="21" t="s">
        <v>68</v>
      </c>
      <c r="J22" s="30" t="s">
        <v>618</v>
      </c>
      <c r="K22" s="21" t="s">
        <v>107</v>
      </c>
      <c r="L22" s="35">
        <v>30</v>
      </c>
      <c r="M22" s="19">
        <v>74.66</v>
      </c>
      <c r="N22" s="42">
        <v>44706</v>
      </c>
      <c r="O22" s="30" t="s">
        <v>114</v>
      </c>
    </row>
    <row r="23" spans="2:15" s="30" customFormat="1" ht="30" x14ac:dyDescent="0.25">
      <c r="B23" s="30" t="s">
        <v>167</v>
      </c>
      <c r="C23" s="30" t="s">
        <v>6</v>
      </c>
      <c r="D23" s="30" t="s">
        <v>10</v>
      </c>
      <c r="E23" s="30" t="s">
        <v>298</v>
      </c>
      <c r="F23" s="11"/>
      <c r="G23" s="30">
        <v>1</v>
      </c>
      <c r="H23" s="30" t="s">
        <v>389</v>
      </c>
      <c r="I23" s="21" t="s">
        <v>68</v>
      </c>
      <c r="J23" s="30" t="s">
        <v>619</v>
      </c>
      <c r="K23" s="21" t="s">
        <v>94</v>
      </c>
      <c r="L23" s="35">
        <v>0</v>
      </c>
      <c r="M23" s="19">
        <v>5.61</v>
      </c>
      <c r="N23" s="42">
        <v>44706</v>
      </c>
      <c r="O23" s="30" t="s">
        <v>114</v>
      </c>
    </row>
    <row r="24" spans="2:15" s="30" customFormat="1" ht="30" x14ac:dyDescent="0.25">
      <c r="B24" s="30" t="s">
        <v>167</v>
      </c>
      <c r="C24" s="30" t="s">
        <v>6</v>
      </c>
      <c r="D24" s="30" t="s">
        <v>10</v>
      </c>
      <c r="E24" s="30" t="s">
        <v>298</v>
      </c>
      <c r="F24" s="11"/>
      <c r="G24" s="30">
        <v>1</v>
      </c>
      <c r="H24" s="30" t="s">
        <v>389</v>
      </c>
      <c r="I24" s="21" t="s">
        <v>68</v>
      </c>
      <c r="J24" s="30" t="s">
        <v>620</v>
      </c>
      <c r="K24" s="21" t="s">
        <v>94</v>
      </c>
      <c r="L24" s="35">
        <v>0</v>
      </c>
      <c r="M24" s="19">
        <v>8.34</v>
      </c>
      <c r="N24" s="42">
        <v>44706</v>
      </c>
      <c r="O24" s="30" t="s">
        <v>114</v>
      </c>
    </row>
    <row r="25" spans="2:15" s="30" customFormat="1" ht="30" x14ac:dyDescent="0.25">
      <c r="B25" s="30" t="s">
        <v>167</v>
      </c>
      <c r="C25" s="30" t="s">
        <v>6</v>
      </c>
      <c r="D25" s="30" t="s">
        <v>10</v>
      </c>
      <c r="E25" s="30" t="s">
        <v>298</v>
      </c>
      <c r="F25" s="11"/>
      <c r="G25" s="30">
        <v>1</v>
      </c>
      <c r="H25" s="30" t="s">
        <v>390</v>
      </c>
      <c r="I25" s="21" t="s">
        <v>68</v>
      </c>
      <c r="J25" s="30" t="s">
        <v>621</v>
      </c>
      <c r="K25" s="21" t="s">
        <v>94</v>
      </c>
      <c r="L25" s="35">
        <v>0</v>
      </c>
      <c r="M25" s="19">
        <v>4.2300000000000004</v>
      </c>
      <c r="N25" s="42">
        <v>44706</v>
      </c>
      <c r="O25" s="30" t="s">
        <v>114</v>
      </c>
    </row>
    <row r="26" spans="2:15" s="30" customFormat="1" ht="30" x14ac:dyDescent="0.25">
      <c r="B26" s="30" t="s">
        <v>167</v>
      </c>
      <c r="C26" s="30" t="s">
        <v>6</v>
      </c>
      <c r="D26" s="30" t="s">
        <v>10</v>
      </c>
      <c r="E26" s="30" t="s">
        <v>298</v>
      </c>
      <c r="F26" s="11"/>
      <c r="G26" s="30">
        <v>1</v>
      </c>
      <c r="H26" s="30" t="s">
        <v>390</v>
      </c>
      <c r="I26" s="21" t="s">
        <v>68</v>
      </c>
      <c r="J26" s="30" t="s">
        <v>622</v>
      </c>
      <c r="K26" s="21" t="s">
        <v>94</v>
      </c>
      <c r="L26" s="35">
        <v>0</v>
      </c>
      <c r="M26" s="19">
        <v>25.87</v>
      </c>
      <c r="N26" s="42">
        <v>44706</v>
      </c>
      <c r="O26" s="30" t="s">
        <v>114</v>
      </c>
    </row>
    <row r="27" spans="2:15" s="30" customFormat="1" ht="30" x14ac:dyDescent="0.25">
      <c r="B27" s="30" t="s">
        <v>167</v>
      </c>
      <c r="C27" s="30" t="s">
        <v>6</v>
      </c>
      <c r="D27" s="30" t="s">
        <v>10</v>
      </c>
      <c r="E27" s="30" t="s">
        <v>298</v>
      </c>
      <c r="F27" s="11"/>
      <c r="G27" s="30">
        <v>1</v>
      </c>
      <c r="H27" s="30" t="s">
        <v>22</v>
      </c>
      <c r="I27" s="21" t="s">
        <v>68</v>
      </c>
      <c r="J27" s="30" t="s">
        <v>623</v>
      </c>
      <c r="K27" s="21" t="s">
        <v>107</v>
      </c>
      <c r="L27" s="35">
        <v>0</v>
      </c>
      <c r="M27" s="19">
        <v>112.26</v>
      </c>
      <c r="N27" s="42">
        <v>44706</v>
      </c>
      <c r="O27" s="30" t="s">
        <v>114</v>
      </c>
    </row>
    <row r="28" spans="2:15" s="30" customFormat="1" ht="30" x14ac:dyDescent="0.25">
      <c r="B28" s="30" t="s">
        <v>167</v>
      </c>
      <c r="C28" s="30" t="s">
        <v>6</v>
      </c>
      <c r="D28" s="30" t="s">
        <v>10</v>
      </c>
      <c r="E28" s="30" t="s">
        <v>298</v>
      </c>
      <c r="F28" s="11"/>
      <c r="G28" s="30">
        <v>1</v>
      </c>
      <c r="H28" s="30" t="s">
        <v>390</v>
      </c>
      <c r="I28" s="21" t="s">
        <v>68</v>
      </c>
      <c r="J28" s="30" t="s">
        <v>624</v>
      </c>
      <c r="K28" s="21" t="s">
        <v>94</v>
      </c>
      <c r="L28" s="35">
        <v>0</v>
      </c>
      <c r="M28" s="19">
        <v>19.77</v>
      </c>
      <c r="N28" s="42">
        <v>44706</v>
      </c>
      <c r="O28" s="30" t="s">
        <v>114</v>
      </c>
    </row>
    <row r="29" spans="2:15" s="30" customFormat="1" ht="30" x14ac:dyDescent="0.25">
      <c r="B29" s="30" t="s">
        <v>167</v>
      </c>
      <c r="C29" s="30" t="s">
        <v>6</v>
      </c>
      <c r="D29" s="30" t="s">
        <v>10</v>
      </c>
      <c r="E29" s="30" t="s">
        <v>298</v>
      </c>
      <c r="F29" s="11"/>
      <c r="G29" s="30">
        <v>1</v>
      </c>
      <c r="H29" s="30" t="s">
        <v>389</v>
      </c>
      <c r="I29" s="21" t="s">
        <v>68</v>
      </c>
      <c r="J29" s="30" t="s">
        <v>625</v>
      </c>
      <c r="K29" s="21" t="s">
        <v>94</v>
      </c>
      <c r="L29" s="35">
        <v>0</v>
      </c>
      <c r="M29" s="19">
        <v>18.89</v>
      </c>
      <c r="N29" s="42">
        <v>44706</v>
      </c>
      <c r="O29" s="30" t="s">
        <v>114</v>
      </c>
    </row>
    <row r="30" spans="2:15" s="30" customFormat="1" ht="30" x14ac:dyDescent="0.25">
      <c r="B30" s="30" t="s">
        <v>167</v>
      </c>
      <c r="C30" s="30" t="s">
        <v>6</v>
      </c>
      <c r="D30" s="30" t="s">
        <v>10</v>
      </c>
      <c r="E30" s="30" t="s">
        <v>298</v>
      </c>
      <c r="F30" s="11"/>
      <c r="G30" s="30">
        <v>1</v>
      </c>
      <c r="H30" s="30" t="s">
        <v>389</v>
      </c>
      <c r="I30" s="21" t="s">
        <v>68</v>
      </c>
      <c r="J30" s="30" t="s">
        <v>626</v>
      </c>
      <c r="K30" s="21" t="s">
        <v>94</v>
      </c>
      <c r="L30" s="35">
        <v>0</v>
      </c>
      <c r="M30" s="19">
        <v>4.8899999999999997</v>
      </c>
      <c r="N30" s="42">
        <v>44706</v>
      </c>
      <c r="O30" s="30" t="s">
        <v>114</v>
      </c>
    </row>
    <row r="31" spans="2:15" s="30" customFormat="1" ht="30" x14ac:dyDescent="0.25">
      <c r="B31" s="30" t="s">
        <v>167</v>
      </c>
      <c r="C31" s="30" t="s">
        <v>6</v>
      </c>
      <c r="D31" s="30" t="s">
        <v>10</v>
      </c>
      <c r="E31" s="30" t="s">
        <v>298</v>
      </c>
      <c r="F31" s="11"/>
      <c r="G31" s="30">
        <v>1</v>
      </c>
      <c r="H31" s="30" t="s">
        <v>399</v>
      </c>
      <c r="I31" s="21" t="s">
        <v>68</v>
      </c>
      <c r="J31" s="30" t="s">
        <v>627</v>
      </c>
      <c r="K31" s="21" t="s">
        <v>94</v>
      </c>
      <c r="L31" s="35">
        <v>8</v>
      </c>
      <c r="M31" s="19">
        <v>44.76</v>
      </c>
      <c r="N31" s="42">
        <v>44706</v>
      </c>
      <c r="O31" s="30" t="s">
        <v>114</v>
      </c>
    </row>
    <row r="32" spans="2:15" s="30" customFormat="1" ht="30" x14ac:dyDescent="0.25">
      <c r="B32" s="30" t="s">
        <v>167</v>
      </c>
      <c r="C32" s="30" t="s">
        <v>6</v>
      </c>
      <c r="D32" s="30" t="s">
        <v>10</v>
      </c>
      <c r="E32" s="30" t="s">
        <v>298</v>
      </c>
      <c r="F32" s="11"/>
      <c r="G32" s="30">
        <v>1</v>
      </c>
      <c r="H32" s="30" t="s">
        <v>394</v>
      </c>
      <c r="I32" s="21" t="s">
        <v>68</v>
      </c>
      <c r="J32" s="30" t="s">
        <v>628</v>
      </c>
      <c r="K32" s="21" t="s">
        <v>94</v>
      </c>
      <c r="L32" s="35">
        <v>0</v>
      </c>
      <c r="M32" s="19">
        <v>53.33</v>
      </c>
      <c r="N32" s="42">
        <v>44706</v>
      </c>
      <c r="O32" s="30" t="s">
        <v>114</v>
      </c>
    </row>
    <row r="33" spans="2:15" s="30" customFormat="1" ht="30" x14ac:dyDescent="0.25">
      <c r="B33" s="30" t="s">
        <v>167</v>
      </c>
      <c r="C33" s="30" t="s">
        <v>6</v>
      </c>
      <c r="D33" s="30" t="s">
        <v>10</v>
      </c>
      <c r="E33" s="30" t="s">
        <v>298</v>
      </c>
      <c r="F33" s="11"/>
      <c r="G33" s="30">
        <v>2</v>
      </c>
      <c r="H33" s="30" t="s">
        <v>390</v>
      </c>
      <c r="I33" s="21" t="s">
        <v>68</v>
      </c>
      <c r="J33" s="30" t="s">
        <v>629</v>
      </c>
      <c r="K33" s="21" t="s">
        <v>94</v>
      </c>
      <c r="L33" s="35">
        <v>0</v>
      </c>
      <c r="M33" s="19">
        <v>18.600000000000001</v>
      </c>
      <c r="N33" s="42">
        <v>44706</v>
      </c>
      <c r="O33" s="30" t="s">
        <v>114</v>
      </c>
    </row>
    <row r="34" spans="2:15" s="30" customFormat="1" ht="30" x14ac:dyDescent="0.25">
      <c r="B34" s="30" t="s">
        <v>167</v>
      </c>
      <c r="C34" s="30" t="s">
        <v>6</v>
      </c>
      <c r="D34" s="30" t="s">
        <v>10</v>
      </c>
      <c r="E34" s="30" t="s">
        <v>298</v>
      </c>
      <c r="F34" s="11"/>
      <c r="G34" s="30">
        <v>2</v>
      </c>
      <c r="H34" s="30" t="s">
        <v>399</v>
      </c>
      <c r="I34" s="21" t="s">
        <v>68</v>
      </c>
      <c r="J34" s="30" t="s">
        <v>630</v>
      </c>
      <c r="K34" s="21" t="s">
        <v>94</v>
      </c>
      <c r="L34" s="35">
        <v>6</v>
      </c>
      <c r="M34" s="19">
        <v>28.83</v>
      </c>
      <c r="N34" s="42">
        <v>44706</v>
      </c>
      <c r="O34" s="30" t="s">
        <v>114</v>
      </c>
    </row>
    <row r="35" spans="2:15" s="30" customFormat="1" ht="30" x14ac:dyDescent="0.25">
      <c r="B35" s="30" t="s">
        <v>167</v>
      </c>
      <c r="C35" s="30" t="s">
        <v>6</v>
      </c>
      <c r="D35" s="30" t="s">
        <v>10</v>
      </c>
      <c r="E35" s="30" t="s">
        <v>298</v>
      </c>
      <c r="F35" s="11"/>
      <c r="G35" s="30">
        <v>2</v>
      </c>
      <c r="H35" s="30" t="s">
        <v>399</v>
      </c>
      <c r="I35" s="21" t="s">
        <v>68</v>
      </c>
      <c r="J35" s="30" t="s">
        <v>631</v>
      </c>
      <c r="K35" s="21" t="s">
        <v>94</v>
      </c>
      <c r="L35" s="35">
        <v>1</v>
      </c>
      <c r="M35" s="19">
        <v>8.5299999999999994</v>
      </c>
      <c r="N35" s="42">
        <v>44706</v>
      </c>
      <c r="O35" s="30" t="s">
        <v>114</v>
      </c>
    </row>
    <row r="36" spans="2:15" s="30" customFormat="1" ht="30" x14ac:dyDescent="0.25">
      <c r="B36" s="30" t="s">
        <v>167</v>
      </c>
      <c r="C36" s="30" t="s">
        <v>6</v>
      </c>
      <c r="D36" s="30" t="s">
        <v>10</v>
      </c>
      <c r="E36" s="30" t="s">
        <v>298</v>
      </c>
      <c r="F36" s="11"/>
      <c r="G36" s="30">
        <v>2</v>
      </c>
      <c r="H36" s="30" t="s">
        <v>399</v>
      </c>
      <c r="I36" s="21" t="s">
        <v>68</v>
      </c>
      <c r="J36" s="30" t="s">
        <v>632</v>
      </c>
      <c r="K36" s="21" t="s">
        <v>94</v>
      </c>
      <c r="L36" s="35">
        <v>6</v>
      </c>
      <c r="M36" s="19">
        <v>28.66</v>
      </c>
      <c r="N36" s="42">
        <v>44706</v>
      </c>
      <c r="O36" s="30" t="s">
        <v>114</v>
      </c>
    </row>
    <row r="37" spans="2:15" s="30" customFormat="1" ht="30" x14ac:dyDescent="0.25">
      <c r="B37" s="30" t="s">
        <v>167</v>
      </c>
      <c r="C37" s="30" t="s">
        <v>6</v>
      </c>
      <c r="D37" s="30" t="s">
        <v>10</v>
      </c>
      <c r="E37" s="30" t="s">
        <v>298</v>
      </c>
      <c r="F37" s="11"/>
      <c r="G37" s="30">
        <v>2</v>
      </c>
      <c r="H37" s="30" t="s">
        <v>399</v>
      </c>
      <c r="I37" s="21" t="s">
        <v>68</v>
      </c>
      <c r="J37" s="30" t="s">
        <v>633</v>
      </c>
      <c r="K37" s="21" t="s">
        <v>94</v>
      </c>
      <c r="L37" s="35">
        <v>1</v>
      </c>
      <c r="M37" s="19">
        <v>9.91</v>
      </c>
      <c r="N37" s="42">
        <v>44706</v>
      </c>
      <c r="O37" s="30" t="s">
        <v>114</v>
      </c>
    </row>
    <row r="38" spans="2:15" s="30" customFormat="1" ht="30" x14ac:dyDescent="0.25">
      <c r="B38" s="30" t="s">
        <v>167</v>
      </c>
      <c r="C38" s="30" t="s">
        <v>6</v>
      </c>
      <c r="D38" s="30" t="s">
        <v>10</v>
      </c>
      <c r="E38" s="30" t="s">
        <v>298</v>
      </c>
      <c r="F38" s="11"/>
      <c r="G38" s="30">
        <v>2</v>
      </c>
      <c r="H38" s="30" t="s">
        <v>390</v>
      </c>
      <c r="I38" s="21" t="s">
        <v>68</v>
      </c>
      <c r="J38" s="30" t="s">
        <v>634</v>
      </c>
      <c r="K38" s="21" t="s">
        <v>94</v>
      </c>
      <c r="L38" s="35">
        <v>0</v>
      </c>
      <c r="M38" s="19">
        <v>5.26</v>
      </c>
      <c r="N38" s="42">
        <v>44706</v>
      </c>
      <c r="O38" s="30" t="s">
        <v>114</v>
      </c>
    </row>
    <row r="39" spans="2:15" s="30" customFormat="1" ht="30" x14ac:dyDescent="0.25">
      <c r="B39" s="30" t="s">
        <v>167</v>
      </c>
      <c r="C39" s="30" t="s">
        <v>6</v>
      </c>
      <c r="D39" s="30" t="s">
        <v>10</v>
      </c>
      <c r="E39" s="30" t="s">
        <v>298</v>
      </c>
      <c r="F39" s="11"/>
      <c r="G39" s="30">
        <v>2</v>
      </c>
      <c r="H39" s="30" t="s">
        <v>389</v>
      </c>
      <c r="I39" s="21" t="s">
        <v>68</v>
      </c>
      <c r="J39" s="30" t="s">
        <v>635</v>
      </c>
      <c r="K39" s="21" t="s">
        <v>94</v>
      </c>
      <c r="L39" s="35">
        <v>0</v>
      </c>
      <c r="M39" s="19">
        <v>5</v>
      </c>
      <c r="N39" s="42">
        <v>44706</v>
      </c>
      <c r="O39" s="30" t="s">
        <v>114</v>
      </c>
    </row>
    <row r="40" spans="2:15" s="30" customFormat="1" ht="30" x14ac:dyDescent="0.25">
      <c r="B40" s="30" t="s">
        <v>167</v>
      </c>
      <c r="C40" s="30" t="s">
        <v>6</v>
      </c>
      <c r="D40" s="30" t="s">
        <v>10</v>
      </c>
      <c r="E40" s="30" t="s">
        <v>298</v>
      </c>
      <c r="F40" s="11"/>
      <c r="G40" s="30">
        <v>2</v>
      </c>
      <c r="H40" s="30" t="s">
        <v>390</v>
      </c>
      <c r="I40" s="21" t="s">
        <v>68</v>
      </c>
      <c r="J40" s="30" t="s">
        <v>634</v>
      </c>
      <c r="K40" s="21" t="s">
        <v>94</v>
      </c>
      <c r="L40" s="35">
        <v>0</v>
      </c>
      <c r="M40" s="19">
        <v>5.6</v>
      </c>
      <c r="N40" s="42">
        <v>44706</v>
      </c>
      <c r="O40" s="30" t="s">
        <v>114</v>
      </c>
    </row>
    <row r="41" spans="2:15" s="30" customFormat="1" ht="30" x14ac:dyDescent="0.25">
      <c r="B41" s="30" t="s">
        <v>167</v>
      </c>
      <c r="C41" s="30" t="s">
        <v>6</v>
      </c>
      <c r="D41" s="30" t="s">
        <v>10</v>
      </c>
      <c r="E41" s="30" t="s">
        <v>298</v>
      </c>
      <c r="F41" s="11"/>
      <c r="G41" s="30">
        <v>2</v>
      </c>
      <c r="H41" s="30" t="s">
        <v>390</v>
      </c>
      <c r="I41" s="21" t="s">
        <v>68</v>
      </c>
      <c r="J41" s="30" t="s">
        <v>635</v>
      </c>
      <c r="K41" s="21" t="s">
        <v>94</v>
      </c>
      <c r="L41" s="35">
        <v>0</v>
      </c>
      <c r="M41" s="19">
        <v>2.79</v>
      </c>
      <c r="N41" s="42">
        <v>44706</v>
      </c>
      <c r="O41" s="30" t="s">
        <v>114</v>
      </c>
    </row>
    <row r="42" spans="2:15" s="30" customFormat="1" ht="30" x14ac:dyDescent="0.25">
      <c r="B42" s="30" t="s">
        <v>167</v>
      </c>
      <c r="C42" s="30" t="s">
        <v>6</v>
      </c>
      <c r="D42" s="30" t="s">
        <v>10</v>
      </c>
      <c r="E42" s="30" t="s">
        <v>298</v>
      </c>
      <c r="F42" s="11"/>
      <c r="G42" s="30">
        <v>2</v>
      </c>
      <c r="H42" s="30" t="s">
        <v>390</v>
      </c>
      <c r="I42" s="21" t="s">
        <v>68</v>
      </c>
      <c r="J42" s="30" t="s">
        <v>636</v>
      </c>
      <c r="K42" s="21" t="s">
        <v>94</v>
      </c>
      <c r="L42" s="35">
        <v>0</v>
      </c>
      <c r="M42" s="19">
        <v>6.86</v>
      </c>
      <c r="N42" s="42">
        <v>44706</v>
      </c>
      <c r="O42" s="30" t="s">
        <v>114</v>
      </c>
    </row>
    <row r="43" spans="2:15" s="30" customFormat="1" ht="30" x14ac:dyDescent="0.25">
      <c r="B43" s="30" t="s">
        <v>165</v>
      </c>
      <c r="C43" s="30" t="s">
        <v>6</v>
      </c>
      <c r="D43" s="30" t="s">
        <v>10</v>
      </c>
      <c r="E43" s="30" t="s">
        <v>298</v>
      </c>
      <c r="F43" s="11"/>
      <c r="G43" s="30">
        <v>2</v>
      </c>
      <c r="H43" s="30" t="s">
        <v>26</v>
      </c>
      <c r="I43" s="21" t="s">
        <v>32</v>
      </c>
      <c r="J43" s="30" t="s">
        <v>637</v>
      </c>
      <c r="K43" s="21" t="s">
        <v>94</v>
      </c>
      <c r="L43" s="35">
        <v>41</v>
      </c>
      <c r="M43" s="19">
        <v>91.09</v>
      </c>
      <c r="N43" s="42">
        <v>44706</v>
      </c>
      <c r="O43" s="30" t="s">
        <v>114</v>
      </c>
    </row>
    <row r="44" spans="2:15" s="30" customFormat="1" ht="30" x14ac:dyDescent="0.25">
      <c r="B44" s="30" t="s">
        <v>165</v>
      </c>
      <c r="C44" s="30" t="s">
        <v>6</v>
      </c>
      <c r="D44" s="30" t="s">
        <v>10</v>
      </c>
      <c r="E44" s="30" t="s">
        <v>298</v>
      </c>
      <c r="F44" s="11"/>
      <c r="G44" s="30">
        <v>2</v>
      </c>
      <c r="H44" s="30" t="s">
        <v>26</v>
      </c>
      <c r="I44" s="21" t="s">
        <v>32</v>
      </c>
      <c r="J44" s="30" t="s">
        <v>638</v>
      </c>
      <c r="K44" s="21" t="s">
        <v>94</v>
      </c>
      <c r="L44" s="35">
        <v>51</v>
      </c>
      <c r="M44" s="19">
        <v>120.3</v>
      </c>
      <c r="N44" s="42">
        <v>44706</v>
      </c>
      <c r="O44" s="30" t="s">
        <v>114</v>
      </c>
    </row>
    <row r="45" spans="2:15" s="30" customFormat="1" ht="30" x14ac:dyDescent="0.25">
      <c r="B45" s="30" t="s">
        <v>165</v>
      </c>
      <c r="C45" s="30" t="s">
        <v>6</v>
      </c>
      <c r="D45" s="30" t="s">
        <v>10</v>
      </c>
      <c r="E45" s="30" t="s">
        <v>298</v>
      </c>
      <c r="F45" s="11"/>
      <c r="G45" s="30">
        <v>2</v>
      </c>
      <c r="H45" s="30" t="s">
        <v>26</v>
      </c>
      <c r="I45" s="21" t="s">
        <v>32</v>
      </c>
      <c r="J45" s="30" t="s">
        <v>638</v>
      </c>
      <c r="K45" s="21" t="s">
        <v>94</v>
      </c>
      <c r="L45" s="35">
        <v>41</v>
      </c>
      <c r="M45" s="19">
        <v>120</v>
      </c>
      <c r="N45" s="42">
        <v>44706</v>
      </c>
      <c r="O45" s="30" t="s">
        <v>114</v>
      </c>
    </row>
    <row r="46" spans="2:15" s="30" customFormat="1" ht="30" x14ac:dyDescent="0.25">
      <c r="B46" s="69" t="s">
        <v>165</v>
      </c>
      <c r="C46" s="69" t="s">
        <v>6</v>
      </c>
      <c r="D46" s="69" t="s">
        <v>10</v>
      </c>
      <c r="E46" s="30" t="s">
        <v>298</v>
      </c>
      <c r="F46" s="70"/>
      <c r="G46" s="69">
        <v>2</v>
      </c>
      <c r="H46" s="69" t="s">
        <v>393</v>
      </c>
      <c r="I46" s="21" t="s">
        <v>32</v>
      </c>
      <c r="J46" s="69" t="s">
        <v>488</v>
      </c>
      <c r="K46" s="71" t="s">
        <v>94</v>
      </c>
      <c r="L46" s="74">
        <v>51</v>
      </c>
      <c r="M46" s="76">
        <v>156.06</v>
      </c>
      <c r="N46" s="237">
        <v>44706</v>
      </c>
      <c r="O46" s="69" t="s">
        <v>114</v>
      </c>
    </row>
    <row r="47" spans="2:15" s="30" customFormat="1" x14ac:dyDescent="0.25">
      <c r="B47" s="30" t="s">
        <v>168</v>
      </c>
      <c r="C47" s="30" t="s">
        <v>6</v>
      </c>
      <c r="D47" s="30" t="s">
        <v>10</v>
      </c>
      <c r="E47" s="30" t="s">
        <v>298</v>
      </c>
      <c r="F47" s="11"/>
      <c r="G47" s="30">
        <v>2</v>
      </c>
      <c r="H47" s="30" t="s">
        <v>30</v>
      </c>
      <c r="I47" s="21" t="s">
        <v>30</v>
      </c>
      <c r="J47" s="30" t="s">
        <v>796</v>
      </c>
      <c r="K47" s="21" t="s">
        <v>94</v>
      </c>
      <c r="L47" s="35">
        <v>41</v>
      </c>
      <c r="M47" s="19">
        <v>99.4</v>
      </c>
      <c r="N47" s="42">
        <v>44706</v>
      </c>
      <c r="O47" s="30" t="s">
        <v>114</v>
      </c>
    </row>
    <row r="48" spans="2:15" s="30" customFormat="1" ht="30" x14ac:dyDescent="0.25">
      <c r="B48" s="30" t="s">
        <v>165</v>
      </c>
      <c r="C48" s="30" t="s">
        <v>6</v>
      </c>
      <c r="D48" s="30" t="s">
        <v>10</v>
      </c>
      <c r="E48" s="30" t="s">
        <v>298</v>
      </c>
      <c r="F48" s="11"/>
      <c r="G48" s="30">
        <v>2</v>
      </c>
      <c r="H48" s="30" t="s">
        <v>23</v>
      </c>
      <c r="I48" s="262" t="s">
        <v>82</v>
      </c>
      <c r="J48" s="263" t="s">
        <v>975</v>
      </c>
      <c r="K48" s="21" t="s">
        <v>90</v>
      </c>
      <c r="L48" s="35">
        <v>3</v>
      </c>
      <c r="M48" s="19">
        <v>11.5</v>
      </c>
      <c r="N48" s="42">
        <v>45512</v>
      </c>
      <c r="O48" s="30" t="s">
        <v>114</v>
      </c>
    </row>
    <row r="49" spans="2:15" s="30" customFormat="1" x14ac:dyDescent="0.25">
      <c r="B49" s="30" t="s">
        <v>165</v>
      </c>
      <c r="C49" s="30" t="s">
        <v>6</v>
      </c>
      <c r="D49" s="30" t="s">
        <v>10</v>
      </c>
      <c r="E49" s="30" t="s">
        <v>298</v>
      </c>
      <c r="F49" s="11"/>
      <c r="G49" s="30">
        <v>2</v>
      </c>
      <c r="H49" s="30" t="s">
        <v>23</v>
      </c>
      <c r="I49" s="262" t="s">
        <v>78</v>
      </c>
      <c r="J49" s="263" t="s">
        <v>974</v>
      </c>
      <c r="K49" s="21" t="s">
        <v>90</v>
      </c>
      <c r="L49" s="35">
        <v>3</v>
      </c>
      <c r="M49" s="19">
        <v>11.34</v>
      </c>
      <c r="N49" s="42">
        <v>45512</v>
      </c>
      <c r="O49" s="30" t="s">
        <v>114</v>
      </c>
    </row>
    <row r="50" spans="2:15" s="30" customFormat="1" ht="30" x14ac:dyDescent="0.25">
      <c r="B50" s="30" t="s">
        <v>165</v>
      </c>
      <c r="C50" s="30" t="s">
        <v>6</v>
      </c>
      <c r="D50" s="30" t="s">
        <v>10</v>
      </c>
      <c r="E50" s="30" t="s">
        <v>298</v>
      </c>
      <c r="F50" s="11"/>
      <c r="G50" s="30">
        <v>2</v>
      </c>
      <c r="H50" s="30" t="s">
        <v>23</v>
      </c>
      <c r="I50" s="262" t="s">
        <v>84</v>
      </c>
      <c r="J50" s="263" t="s">
        <v>972</v>
      </c>
      <c r="K50" s="21" t="s">
        <v>90</v>
      </c>
      <c r="L50" s="35">
        <v>3</v>
      </c>
      <c r="M50" s="19">
        <v>12.17</v>
      </c>
      <c r="N50" s="42">
        <v>45512</v>
      </c>
      <c r="O50" s="30" t="s">
        <v>114</v>
      </c>
    </row>
    <row r="51" spans="2:15" s="30" customFormat="1" x14ac:dyDescent="0.25">
      <c r="B51" s="30" t="s">
        <v>165</v>
      </c>
      <c r="C51" s="30" t="s">
        <v>6</v>
      </c>
      <c r="D51" s="30" t="s">
        <v>10</v>
      </c>
      <c r="E51" s="30" t="s">
        <v>298</v>
      </c>
      <c r="F51" s="11"/>
      <c r="G51" s="30">
        <v>2</v>
      </c>
      <c r="H51" s="30" t="s">
        <v>23</v>
      </c>
      <c r="I51" s="262" t="s">
        <v>78</v>
      </c>
      <c r="J51" s="263" t="s">
        <v>971</v>
      </c>
      <c r="K51" s="21" t="s">
        <v>90</v>
      </c>
      <c r="L51" s="35">
        <v>3</v>
      </c>
      <c r="M51" s="19">
        <v>11.85</v>
      </c>
      <c r="N51" s="42">
        <v>45512</v>
      </c>
      <c r="O51" s="30" t="s">
        <v>114</v>
      </c>
    </row>
    <row r="52" spans="2:15" s="30" customFormat="1" ht="30" x14ac:dyDescent="0.25">
      <c r="B52" s="30" t="s">
        <v>165</v>
      </c>
      <c r="C52" s="30" t="s">
        <v>6</v>
      </c>
      <c r="D52" s="30" t="s">
        <v>10</v>
      </c>
      <c r="E52" s="30" t="s">
        <v>298</v>
      </c>
      <c r="F52" s="11"/>
      <c r="G52" s="30">
        <v>2</v>
      </c>
      <c r="H52" s="30" t="s">
        <v>23</v>
      </c>
      <c r="I52" s="262" t="s">
        <v>84</v>
      </c>
      <c r="J52" s="263" t="s">
        <v>970</v>
      </c>
      <c r="K52" s="21" t="s">
        <v>90</v>
      </c>
      <c r="L52" s="35">
        <v>3</v>
      </c>
      <c r="M52" s="19">
        <v>12</v>
      </c>
      <c r="N52" s="42">
        <v>45512</v>
      </c>
      <c r="O52" s="30" t="s">
        <v>114</v>
      </c>
    </row>
    <row r="53" spans="2:15" s="30" customFormat="1" ht="30" x14ac:dyDescent="0.25">
      <c r="B53" s="30" t="s">
        <v>165</v>
      </c>
      <c r="C53" s="30" t="s">
        <v>6</v>
      </c>
      <c r="D53" s="30" t="s">
        <v>10</v>
      </c>
      <c r="E53" s="30" t="s">
        <v>298</v>
      </c>
      <c r="F53" s="11"/>
      <c r="G53" s="30">
        <v>2</v>
      </c>
      <c r="H53" s="30" t="s">
        <v>23</v>
      </c>
      <c r="I53" s="262" t="s">
        <v>82</v>
      </c>
      <c r="J53" s="263" t="s">
        <v>969</v>
      </c>
      <c r="K53" s="21" t="s">
        <v>90</v>
      </c>
      <c r="L53" s="35">
        <v>3</v>
      </c>
      <c r="M53" s="19">
        <v>12.2</v>
      </c>
      <c r="N53" s="42">
        <v>45512</v>
      </c>
      <c r="O53" s="30" t="s">
        <v>114</v>
      </c>
    </row>
    <row r="54" spans="2:15" s="30" customFormat="1" ht="30" x14ac:dyDescent="0.25">
      <c r="B54" s="30" t="s">
        <v>165</v>
      </c>
      <c r="C54" s="30" t="s">
        <v>6</v>
      </c>
      <c r="D54" s="30" t="s">
        <v>10</v>
      </c>
      <c r="E54" s="30" t="s">
        <v>298</v>
      </c>
      <c r="F54" s="11"/>
      <c r="G54" s="30">
        <v>2</v>
      </c>
      <c r="H54" s="30" t="s">
        <v>23</v>
      </c>
      <c r="I54" s="262" t="s">
        <v>82</v>
      </c>
      <c r="J54" s="263" t="s">
        <v>973</v>
      </c>
      <c r="K54" s="21" t="s">
        <v>90</v>
      </c>
      <c r="L54" s="35">
        <v>3</v>
      </c>
      <c r="M54" s="19">
        <v>11.74</v>
      </c>
      <c r="N54" s="42">
        <v>45512</v>
      </c>
      <c r="O54" s="30" t="s">
        <v>114</v>
      </c>
    </row>
    <row r="55" spans="2:15" s="30" customFormat="1" x14ac:dyDescent="0.25">
      <c r="B55" s="30" t="s">
        <v>165</v>
      </c>
      <c r="C55" s="30" t="s">
        <v>6</v>
      </c>
      <c r="D55" s="30" t="s">
        <v>10</v>
      </c>
      <c r="E55" s="30" t="s">
        <v>298</v>
      </c>
      <c r="F55" s="11"/>
      <c r="G55" s="30">
        <v>2</v>
      </c>
      <c r="H55" s="30" t="s">
        <v>23</v>
      </c>
      <c r="I55" s="262" t="s">
        <v>78</v>
      </c>
      <c r="J55" s="263" t="s">
        <v>968</v>
      </c>
      <c r="K55" s="21" t="s">
        <v>90</v>
      </c>
      <c r="L55" s="35">
        <v>3</v>
      </c>
      <c r="M55" s="19">
        <v>12.2</v>
      </c>
      <c r="N55" s="42">
        <v>45512</v>
      </c>
      <c r="O55" s="30" t="s">
        <v>114</v>
      </c>
    </row>
    <row r="56" spans="2:15" s="30" customFormat="1" x14ac:dyDescent="0.25">
      <c r="B56" s="30" t="s">
        <v>165</v>
      </c>
      <c r="C56" s="30" t="s">
        <v>6</v>
      </c>
      <c r="D56" s="30" t="s">
        <v>10</v>
      </c>
      <c r="E56" s="30" t="s">
        <v>298</v>
      </c>
      <c r="F56" s="11"/>
      <c r="G56" s="30">
        <v>2</v>
      </c>
      <c r="H56" s="30" t="s">
        <v>23</v>
      </c>
      <c r="I56" s="262" t="s">
        <v>78</v>
      </c>
      <c r="J56" s="263" t="s">
        <v>967</v>
      </c>
      <c r="K56" s="21" t="s">
        <v>90</v>
      </c>
      <c r="L56" s="35">
        <v>3</v>
      </c>
      <c r="M56" s="19">
        <v>13.3</v>
      </c>
      <c r="N56" s="42">
        <v>45512</v>
      </c>
      <c r="O56" s="30" t="s">
        <v>114</v>
      </c>
    </row>
    <row r="57" spans="2:15" s="30" customFormat="1" ht="30" x14ac:dyDescent="0.25">
      <c r="B57" s="30" t="s">
        <v>165</v>
      </c>
      <c r="C57" s="30" t="s">
        <v>6</v>
      </c>
      <c r="D57" s="30" t="s">
        <v>10</v>
      </c>
      <c r="E57" s="30" t="s">
        <v>298</v>
      </c>
      <c r="F57" s="11"/>
      <c r="G57" s="30">
        <v>2</v>
      </c>
      <c r="H57" s="30" t="s">
        <v>23</v>
      </c>
      <c r="I57" s="262" t="s">
        <v>84</v>
      </c>
      <c r="J57" s="263" t="s">
        <v>966</v>
      </c>
      <c r="K57" s="21" t="s">
        <v>90</v>
      </c>
      <c r="L57" s="35">
        <v>3</v>
      </c>
      <c r="M57" s="19">
        <v>12.23</v>
      </c>
      <c r="N57" s="42">
        <v>45512</v>
      </c>
      <c r="O57" s="30" t="s">
        <v>114</v>
      </c>
    </row>
    <row r="58" spans="2:15" s="30" customFormat="1" ht="30" x14ac:dyDescent="0.25">
      <c r="B58" s="30" t="s">
        <v>165</v>
      </c>
      <c r="C58" s="30" t="s">
        <v>6</v>
      </c>
      <c r="D58" s="30" t="s">
        <v>10</v>
      </c>
      <c r="E58" s="30" t="s">
        <v>298</v>
      </c>
      <c r="F58" s="11"/>
      <c r="G58" s="30">
        <v>2</v>
      </c>
      <c r="H58" s="30" t="s">
        <v>23</v>
      </c>
      <c r="I58" s="262" t="s">
        <v>82</v>
      </c>
      <c r="J58" s="263" t="s">
        <v>965</v>
      </c>
      <c r="K58" s="21" t="s">
        <v>90</v>
      </c>
      <c r="L58" s="35">
        <v>3</v>
      </c>
      <c r="M58" s="19">
        <v>12.23</v>
      </c>
      <c r="N58" s="42">
        <v>45512</v>
      </c>
      <c r="O58" s="30" t="s">
        <v>114</v>
      </c>
    </row>
    <row r="59" spans="2:15" s="30" customFormat="1" ht="30" x14ac:dyDescent="0.25">
      <c r="B59" s="30" t="s">
        <v>165</v>
      </c>
      <c r="C59" s="30" t="s">
        <v>6</v>
      </c>
      <c r="D59" s="30" t="s">
        <v>10</v>
      </c>
      <c r="E59" s="30" t="s">
        <v>298</v>
      </c>
      <c r="F59" s="11"/>
      <c r="G59" s="30">
        <v>2</v>
      </c>
      <c r="H59" s="30" t="s">
        <v>23</v>
      </c>
      <c r="I59" s="262" t="s">
        <v>82</v>
      </c>
      <c r="J59" s="263" t="s">
        <v>964</v>
      </c>
      <c r="K59" s="21" t="s">
        <v>90</v>
      </c>
      <c r="L59" s="35">
        <v>3</v>
      </c>
      <c r="M59" s="19">
        <v>10.87</v>
      </c>
      <c r="N59" s="42">
        <v>45512</v>
      </c>
      <c r="O59" s="30" t="s">
        <v>114</v>
      </c>
    </row>
    <row r="60" spans="2:15" s="30" customFormat="1" x14ac:dyDescent="0.25">
      <c r="B60" s="30" t="s">
        <v>165</v>
      </c>
      <c r="C60" s="30" t="s">
        <v>6</v>
      </c>
      <c r="D60" s="30" t="s">
        <v>10</v>
      </c>
      <c r="E60" s="30" t="s">
        <v>298</v>
      </c>
      <c r="F60" s="11"/>
      <c r="G60" s="30">
        <v>2</v>
      </c>
      <c r="H60" s="30" t="s">
        <v>21</v>
      </c>
      <c r="I60" s="21" t="s">
        <v>67</v>
      </c>
      <c r="J60" s="30" t="s">
        <v>651</v>
      </c>
      <c r="K60" s="21" t="s">
        <v>90</v>
      </c>
      <c r="L60" s="35">
        <v>3</v>
      </c>
      <c r="M60" s="19">
        <v>199</v>
      </c>
      <c r="N60" s="42">
        <v>44706</v>
      </c>
      <c r="O60" s="30" t="s">
        <v>114</v>
      </c>
    </row>
    <row r="61" spans="2:15" s="30" customFormat="1" ht="30" x14ac:dyDescent="0.25">
      <c r="B61" s="30" t="s">
        <v>170</v>
      </c>
      <c r="C61" s="30" t="s">
        <v>6</v>
      </c>
      <c r="D61" s="30" t="s">
        <v>10</v>
      </c>
      <c r="E61" s="30" t="s">
        <v>298</v>
      </c>
      <c r="F61" s="11"/>
      <c r="G61" s="30">
        <v>2</v>
      </c>
      <c r="H61" s="30" t="s">
        <v>394</v>
      </c>
      <c r="I61" s="21" t="s">
        <v>68</v>
      </c>
      <c r="J61" s="30" t="s">
        <v>652</v>
      </c>
      <c r="K61" s="21" t="s">
        <v>107</v>
      </c>
      <c r="L61" s="35">
        <v>0</v>
      </c>
      <c r="M61" s="19">
        <v>654.84</v>
      </c>
      <c r="N61" s="42">
        <v>44706</v>
      </c>
      <c r="O61" s="30" t="s">
        <v>114</v>
      </c>
    </row>
    <row r="62" spans="2:15" s="30" customFormat="1" ht="30" x14ac:dyDescent="0.25">
      <c r="B62" s="30" t="s">
        <v>168</v>
      </c>
      <c r="C62" s="30" t="s">
        <v>6</v>
      </c>
      <c r="D62" s="30" t="s">
        <v>10</v>
      </c>
      <c r="E62" s="30" t="s">
        <v>298</v>
      </c>
      <c r="F62" s="11"/>
      <c r="G62" s="30">
        <v>3</v>
      </c>
      <c r="H62" s="30" t="s">
        <v>390</v>
      </c>
      <c r="I62" s="21" t="s">
        <v>68</v>
      </c>
      <c r="J62" s="30" t="s">
        <v>653</v>
      </c>
      <c r="K62" s="21" t="s">
        <v>107</v>
      </c>
      <c r="L62" s="35">
        <v>0</v>
      </c>
      <c r="M62" s="19">
        <v>19.09</v>
      </c>
      <c r="N62" s="42">
        <v>44706</v>
      </c>
      <c r="O62" s="30" t="s">
        <v>114</v>
      </c>
    </row>
    <row r="63" spans="2:15" s="30" customFormat="1" ht="30" x14ac:dyDescent="0.25">
      <c r="B63" s="30" t="s">
        <v>167</v>
      </c>
      <c r="C63" s="30" t="s">
        <v>6</v>
      </c>
      <c r="D63" s="30" t="s">
        <v>10</v>
      </c>
      <c r="E63" s="30" t="s">
        <v>298</v>
      </c>
      <c r="F63" s="11"/>
      <c r="G63" s="30">
        <v>3</v>
      </c>
      <c r="H63" s="30" t="s">
        <v>399</v>
      </c>
      <c r="I63" s="21" t="s">
        <v>68</v>
      </c>
      <c r="J63" s="30" t="s">
        <v>654</v>
      </c>
      <c r="K63" s="21" t="s">
        <v>94</v>
      </c>
      <c r="L63" s="35">
        <v>6</v>
      </c>
      <c r="M63" s="19">
        <v>28.83</v>
      </c>
      <c r="N63" s="42">
        <v>44706</v>
      </c>
      <c r="O63" s="30" t="s">
        <v>114</v>
      </c>
    </row>
    <row r="64" spans="2:15" s="30" customFormat="1" ht="30" x14ac:dyDescent="0.25">
      <c r="B64" s="30" t="s">
        <v>167</v>
      </c>
      <c r="C64" s="30" t="s">
        <v>6</v>
      </c>
      <c r="D64" s="30" t="s">
        <v>10</v>
      </c>
      <c r="E64" s="30" t="s">
        <v>298</v>
      </c>
      <c r="F64" s="11"/>
      <c r="G64" s="30">
        <v>3</v>
      </c>
      <c r="H64" s="30" t="s">
        <v>399</v>
      </c>
      <c r="I64" s="21" t="s">
        <v>68</v>
      </c>
      <c r="J64" s="30" t="s">
        <v>655</v>
      </c>
      <c r="K64" s="21" t="s">
        <v>94</v>
      </c>
      <c r="L64" s="35">
        <v>1</v>
      </c>
      <c r="M64" s="19">
        <v>8.5299999999999994</v>
      </c>
      <c r="N64" s="42">
        <v>44706</v>
      </c>
      <c r="O64" s="30" t="s">
        <v>114</v>
      </c>
    </row>
    <row r="65" spans="2:15" s="30" customFormat="1" ht="30" x14ac:dyDescent="0.25">
      <c r="B65" s="30" t="s">
        <v>167</v>
      </c>
      <c r="C65" s="30" t="s">
        <v>6</v>
      </c>
      <c r="D65" s="30" t="s">
        <v>10</v>
      </c>
      <c r="E65" s="30" t="s">
        <v>298</v>
      </c>
      <c r="F65" s="11"/>
      <c r="G65" s="30">
        <v>3</v>
      </c>
      <c r="H65" s="30" t="s">
        <v>399</v>
      </c>
      <c r="I65" s="21" t="s">
        <v>68</v>
      </c>
      <c r="J65" s="30" t="s">
        <v>656</v>
      </c>
      <c r="K65" s="21" t="s">
        <v>94</v>
      </c>
      <c r="L65" s="35">
        <v>6</v>
      </c>
      <c r="M65" s="19">
        <v>28.66</v>
      </c>
      <c r="N65" s="42">
        <v>44706</v>
      </c>
      <c r="O65" s="30" t="s">
        <v>114</v>
      </c>
    </row>
    <row r="66" spans="2:15" s="30" customFormat="1" ht="30" x14ac:dyDescent="0.25">
      <c r="B66" s="30" t="s">
        <v>167</v>
      </c>
      <c r="C66" s="30" t="s">
        <v>6</v>
      </c>
      <c r="D66" s="30" t="s">
        <v>10</v>
      </c>
      <c r="E66" s="30" t="s">
        <v>298</v>
      </c>
      <c r="F66" s="11"/>
      <c r="G66" s="30">
        <v>3</v>
      </c>
      <c r="H66" s="30" t="s">
        <v>399</v>
      </c>
      <c r="I66" s="21" t="s">
        <v>68</v>
      </c>
      <c r="J66" s="30" t="s">
        <v>657</v>
      </c>
      <c r="K66" s="21" t="s">
        <v>94</v>
      </c>
      <c r="L66" s="35">
        <v>1</v>
      </c>
      <c r="M66" s="19">
        <v>9.91</v>
      </c>
      <c r="N66" s="42">
        <v>44706</v>
      </c>
      <c r="O66" s="30" t="s">
        <v>114</v>
      </c>
    </row>
    <row r="67" spans="2:15" s="30" customFormat="1" ht="30" x14ac:dyDescent="0.25">
      <c r="B67" s="30" t="s">
        <v>168</v>
      </c>
      <c r="C67" s="30" t="s">
        <v>6</v>
      </c>
      <c r="D67" s="30" t="s">
        <v>10</v>
      </c>
      <c r="E67" s="30" t="s">
        <v>298</v>
      </c>
      <c r="F67" s="11"/>
      <c r="G67" s="30">
        <v>3</v>
      </c>
      <c r="H67" s="30" t="s">
        <v>390</v>
      </c>
      <c r="I67" s="21" t="s">
        <v>68</v>
      </c>
      <c r="J67" s="30" t="s">
        <v>658</v>
      </c>
      <c r="K67" s="21" t="s">
        <v>94</v>
      </c>
      <c r="L67" s="35">
        <v>0</v>
      </c>
      <c r="M67" s="19">
        <v>5.26</v>
      </c>
      <c r="N67" s="42">
        <v>44706</v>
      </c>
      <c r="O67" s="30" t="s">
        <v>114</v>
      </c>
    </row>
    <row r="68" spans="2:15" s="30" customFormat="1" ht="30" x14ac:dyDescent="0.25">
      <c r="B68" s="30" t="s">
        <v>168</v>
      </c>
      <c r="C68" s="30" t="s">
        <v>6</v>
      </c>
      <c r="D68" s="30" t="s">
        <v>10</v>
      </c>
      <c r="E68" s="30" t="s">
        <v>298</v>
      </c>
      <c r="F68" s="11"/>
      <c r="G68" s="30">
        <v>3</v>
      </c>
      <c r="H68" s="30" t="s">
        <v>389</v>
      </c>
      <c r="I68" s="21" t="s">
        <v>68</v>
      </c>
      <c r="J68" s="30" t="s">
        <v>659</v>
      </c>
      <c r="K68" s="21" t="s">
        <v>94</v>
      </c>
      <c r="L68" s="35">
        <v>0</v>
      </c>
      <c r="M68" s="19">
        <v>7.35</v>
      </c>
      <c r="N68" s="42">
        <v>44706</v>
      </c>
      <c r="O68" s="30" t="s">
        <v>114</v>
      </c>
    </row>
    <row r="69" spans="2:15" s="30" customFormat="1" ht="30" x14ac:dyDescent="0.25">
      <c r="B69" s="30" t="s">
        <v>168</v>
      </c>
      <c r="C69" s="30" t="s">
        <v>6</v>
      </c>
      <c r="D69" s="30" t="s">
        <v>10</v>
      </c>
      <c r="E69" s="30" t="s">
        <v>298</v>
      </c>
      <c r="F69" s="11"/>
      <c r="G69" s="30">
        <v>3</v>
      </c>
      <c r="H69" s="30" t="s">
        <v>390</v>
      </c>
      <c r="I69" s="21" t="s">
        <v>68</v>
      </c>
      <c r="J69" s="30" t="s">
        <v>658</v>
      </c>
      <c r="K69" s="21" t="s">
        <v>94</v>
      </c>
      <c r="L69" s="35">
        <v>0</v>
      </c>
      <c r="M69" s="19">
        <v>6.21</v>
      </c>
      <c r="N69" s="42">
        <v>44706</v>
      </c>
      <c r="O69" s="30" t="s">
        <v>114</v>
      </c>
    </row>
    <row r="70" spans="2:15" s="30" customFormat="1" ht="30" x14ac:dyDescent="0.25">
      <c r="B70" s="30" t="s">
        <v>168</v>
      </c>
      <c r="C70" s="30" t="s">
        <v>6</v>
      </c>
      <c r="D70" s="30" t="s">
        <v>10</v>
      </c>
      <c r="E70" s="30" t="s">
        <v>298</v>
      </c>
      <c r="F70" s="11"/>
      <c r="G70" s="30">
        <v>3</v>
      </c>
      <c r="H70" s="30" t="s">
        <v>389</v>
      </c>
      <c r="I70" s="21" t="s">
        <v>68</v>
      </c>
      <c r="J70" s="30" t="s">
        <v>660</v>
      </c>
      <c r="K70" s="21" t="s">
        <v>94</v>
      </c>
      <c r="L70" s="35">
        <v>0</v>
      </c>
      <c r="M70" s="19">
        <v>2.79</v>
      </c>
      <c r="N70" s="42">
        <v>44706</v>
      </c>
      <c r="O70" s="30" t="s">
        <v>114</v>
      </c>
    </row>
    <row r="71" spans="2:15" s="30" customFormat="1" ht="30" x14ac:dyDescent="0.25">
      <c r="B71" s="30" t="s">
        <v>168</v>
      </c>
      <c r="C71" s="30" t="s">
        <v>6</v>
      </c>
      <c r="D71" s="30" t="s">
        <v>10</v>
      </c>
      <c r="E71" s="30" t="s">
        <v>298</v>
      </c>
      <c r="F71" s="11"/>
      <c r="G71" s="30">
        <v>3</v>
      </c>
      <c r="H71" s="30" t="s">
        <v>390</v>
      </c>
      <c r="I71" s="21" t="s">
        <v>38</v>
      </c>
      <c r="J71" s="30" t="s">
        <v>661</v>
      </c>
      <c r="K71" s="21" t="s">
        <v>94</v>
      </c>
      <c r="L71" s="35">
        <v>0</v>
      </c>
      <c r="M71" s="19">
        <v>6.86</v>
      </c>
      <c r="N71" s="42">
        <v>44706</v>
      </c>
      <c r="O71" s="30" t="s">
        <v>114</v>
      </c>
    </row>
    <row r="72" spans="2:15" s="30" customFormat="1" ht="30" x14ac:dyDescent="0.25">
      <c r="B72" s="30" t="s">
        <v>165</v>
      </c>
      <c r="C72" s="30" t="s">
        <v>6</v>
      </c>
      <c r="D72" s="30" t="s">
        <v>10</v>
      </c>
      <c r="E72" s="30" t="s">
        <v>298</v>
      </c>
      <c r="F72" s="11"/>
      <c r="G72" s="30">
        <v>3</v>
      </c>
      <c r="H72" s="30" t="s">
        <v>26</v>
      </c>
      <c r="I72" s="21" t="s">
        <v>32</v>
      </c>
      <c r="J72" s="30" t="s">
        <v>662</v>
      </c>
      <c r="K72" s="21" t="s">
        <v>90</v>
      </c>
      <c r="L72" s="35">
        <v>41</v>
      </c>
      <c r="M72" s="19">
        <v>92.07</v>
      </c>
      <c r="N72" s="42">
        <v>44706</v>
      </c>
      <c r="O72" s="30" t="s">
        <v>114</v>
      </c>
    </row>
    <row r="73" spans="2:15" s="30" customFormat="1" ht="30" x14ac:dyDescent="0.25">
      <c r="B73" s="30" t="s">
        <v>165</v>
      </c>
      <c r="C73" s="30" t="s">
        <v>6</v>
      </c>
      <c r="D73" s="30" t="s">
        <v>10</v>
      </c>
      <c r="E73" s="30" t="s">
        <v>298</v>
      </c>
      <c r="F73" s="11"/>
      <c r="G73" s="30">
        <v>3</v>
      </c>
      <c r="H73" s="30" t="s">
        <v>26</v>
      </c>
      <c r="I73" s="21" t="s">
        <v>32</v>
      </c>
      <c r="J73" s="30" t="s">
        <v>663</v>
      </c>
      <c r="K73" s="21" t="s">
        <v>90</v>
      </c>
      <c r="L73" s="35">
        <v>51</v>
      </c>
      <c r="M73" s="19">
        <v>121.68</v>
      </c>
      <c r="N73" s="42">
        <v>44706</v>
      </c>
      <c r="O73" s="30" t="s">
        <v>114</v>
      </c>
    </row>
    <row r="74" spans="2:15" s="30" customFormat="1" ht="30" x14ac:dyDescent="0.25">
      <c r="B74" s="30" t="s">
        <v>165</v>
      </c>
      <c r="C74" s="30" t="s">
        <v>6</v>
      </c>
      <c r="D74" s="30" t="s">
        <v>10</v>
      </c>
      <c r="E74" s="30" t="s">
        <v>298</v>
      </c>
      <c r="F74" s="11"/>
      <c r="G74" s="30">
        <v>3</v>
      </c>
      <c r="H74" s="30" t="s">
        <v>26</v>
      </c>
      <c r="I74" s="21" t="s">
        <v>32</v>
      </c>
      <c r="J74" s="30" t="s">
        <v>663</v>
      </c>
      <c r="K74" s="21" t="s">
        <v>90</v>
      </c>
      <c r="L74" s="35">
        <v>51</v>
      </c>
      <c r="M74" s="19">
        <v>122.68</v>
      </c>
      <c r="N74" s="42">
        <v>44706</v>
      </c>
      <c r="O74" s="30" t="s">
        <v>114</v>
      </c>
    </row>
    <row r="75" spans="2:15" s="30" customFormat="1" ht="30" x14ac:dyDescent="0.25">
      <c r="B75" s="30" t="s">
        <v>165</v>
      </c>
      <c r="C75" s="30" t="s">
        <v>6</v>
      </c>
      <c r="D75" s="30" t="s">
        <v>10</v>
      </c>
      <c r="E75" s="30" t="s">
        <v>298</v>
      </c>
      <c r="F75" s="11"/>
      <c r="G75" s="30">
        <v>3</v>
      </c>
      <c r="H75" s="30" t="s">
        <v>26</v>
      </c>
      <c r="I75" s="21" t="s">
        <v>32</v>
      </c>
      <c r="J75" s="30" t="s">
        <v>663</v>
      </c>
      <c r="K75" s="21" t="s">
        <v>90</v>
      </c>
      <c r="L75" s="35">
        <v>51</v>
      </c>
      <c r="M75" s="19">
        <v>122.68</v>
      </c>
      <c r="N75" s="42">
        <v>44706</v>
      </c>
      <c r="O75" s="30" t="s">
        <v>114</v>
      </c>
    </row>
    <row r="76" spans="2:15" s="30" customFormat="1" ht="30" x14ac:dyDescent="0.25">
      <c r="B76" s="30" t="s">
        <v>165</v>
      </c>
      <c r="C76" s="30" t="s">
        <v>6</v>
      </c>
      <c r="D76" s="30" t="s">
        <v>10</v>
      </c>
      <c r="E76" s="30" t="s">
        <v>298</v>
      </c>
      <c r="F76" s="11"/>
      <c r="G76" s="30">
        <v>3</v>
      </c>
      <c r="H76" s="30" t="s">
        <v>26</v>
      </c>
      <c r="I76" s="21" t="s">
        <v>32</v>
      </c>
      <c r="J76" s="30" t="s">
        <v>664</v>
      </c>
      <c r="K76" s="21" t="s">
        <v>90</v>
      </c>
      <c r="L76" s="35">
        <v>51</v>
      </c>
      <c r="M76" s="19">
        <v>110.28</v>
      </c>
      <c r="N76" s="42">
        <v>44706</v>
      </c>
      <c r="O76" s="30" t="s">
        <v>114</v>
      </c>
    </row>
    <row r="77" spans="2:15" s="30" customFormat="1" ht="30" x14ac:dyDescent="0.25">
      <c r="B77" s="30" t="s">
        <v>165</v>
      </c>
      <c r="C77" s="30" t="s">
        <v>6</v>
      </c>
      <c r="D77" s="30" t="s">
        <v>10</v>
      </c>
      <c r="E77" s="30" t="s">
        <v>298</v>
      </c>
      <c r="F77" s="11"/>
      <c r="G77" s="30">
        <v>3</v>
      </c>
      <c r="H77" s="30" t="s">
        <v>26</v>
      </c>
      <c r="I77" s="21" t="s">
        <v>32</v>
      </c>
      <c r="J77" s="30" t="s">
        <v>665</v>
      </c>
      <c r="K77" s="21" t="s">
        <v>90</v>
      </c>
      <c r="L77" s="35">
        <v>31</v>
      </c>
      <c r="M77" s="19">
        <v>76.05</v>
      </c>
      <c r="N77" s="42">
        <v>44706</v>
      </c>
      <c r="O77" s="30" t="s">
        <v>114</v>
      </c>
    </row>
    <row r="78" spans="2:15" s="30" customFormat="1" ht="30" x14ac:dyDescent="0.25">
      <c r="B78" s="30" t="s">
        <v>165</v>
      </c>
      <c r="C78" s="30" t="s">
        <v>6</v>
      </c>
      <c r="D78" s="30" t="s">
        <v>10</v>
      </c>
      <c r="E78" s="30" t="s">
        <v>298</v>
      </c>
      <c r="F78" s="11"/>
      <c r="G78" s="30">
        <v>3</v>
      </c>
      <c r="H78" s="30" t="s">
        <v>26</v>
      </c>
      <c r="I78" s="21" t="s">
        <v>32</v>
      </c>
      <c r="J78" s="30" t="s">
        <v>665</v>
      </c>
      <c r="K78" s="21" t="s">
        <v>90</v>
      </c>
      <c r="L78" s="35">
        <v>31</v>
      </c>
      <c r="M78" s="19">
        <v>76.05</v>
      </c>
      <c r="N78" s="42">
        <v>44706</v>
      </c>
      <c r="O78" s="30" t="s">
        <v>114</v>
      </c>
    </row>
    <row r="79" spans="2:15" s="30" customFormat="1" ht="30" x14ac:dyDescent="0.25">
      <c r="B79" s="30" t="s">
        <v>165</v>
      </c>
      <c r="C79" s="30" t="s">
        <v>6</v>
      </c>
      <c r="D79" s="30" t="s">
        <v>10</v>
      </c>
      <c r="E79" s="30" t="s">
        <v>298</v>
      </c>
      <c r="F79" s="11"/>
      <c r="G79" s="30">
        <v>3</v>
      </c>
      <c r="H79" s="30" t="s">
        <v>26</v>
      </c>
      <c r="I79" s="21" t="s">
        <v>32</v>
      </c>
      <c r="J79" s="30" t="s">
        <v>665</v>
      </c>
      <c r="K79" s="21" t="s">
        <v>90</v>
      </c>
      <c r="L79" s="35">
        <v>31</v>
      </c>
      <c r="M79" s="19">
        <v>78.19</v>
      </c>
      <c r="N79" s="42">
        <v>44706</v>
      </c>
      <c r="O79" s="30" t="s">
        <v>114</v>
      </c>
    </row>
    <row r="80" spans="2:15" s="30" customFormat="1" ht="30" x14ac:dyDescent="0.25">
      <c r="B80" s="30" t="s">
        <v>165</v>
      </c>
      <c r="C80" s="30" t="s">
        <v>6</v>
      </c>
      <c r="D80" s="30" t="s">
        <v>10</v>
      </c>
      <c r="E80" s="30" t="s">
        <v>298</v>
      </c>
      <c r="F80" s="11"/>
      <c r="G80" s="30">
        <v>3</v>
      </c>
      <c r="H80" s="30" t="s">
        <v>26</v>
      </c>
      <c r="I80" s="21" t="s">
        <v>32</v>
      </c>
      <c r="J80" s="30" t="s">
        <v>665</v>
      </c>
      <c r="K80" s="21" t="s">
        <v>90</v>
      </c>
      <c r="L80" s="35">
        <v>31</v>
      </c>
      <c r="M80" s="19">
        <v>78.64</v>
      </c>
      <c r="N80" s="42">
        <v>44706</v>
      </c>
      <c r="O80" s="30" t="s">
        <v>114</v>
      </c>
    </row>
    <row r="81" spans="2:15" s="30" customFormat="1" ht="30" x14ac:dyDescent="0.25">
      <c r="B81" s="30" t="s">
        <v>165</v>
      </c>
      <c r="C81" s="30" t="s">
        <v>6</v>
      </c>
      <c r="D81" s="30" t="s">
        <v>10</v>
      </c>
      <c r="E81" s="30" t="s">
        <v>298</v>
      </c>
      <c r="F81" s="11"/>
      <c r="G81" s="30">
        <v>3</v>
      </c>
      <c r="H81" s="30" t="s">
        <v>26</v>
      </c>
      <c r="I81" s="21" t="s">
        <v>32</v>
      </c>
      <c r="J81" s="30" t="s">
        <v>665</v>
      </c>
      <c r="K81" s="21" t="s">
        <v>90</v>
      </c>
      <c r="L81" s="35">
        <v>31</v>
      </c>
      <c r="M81" s="19">
        <v>75.12</v>
      </c>
      <c r="N81" s="42">
        <v>44706</v>
      </c>
      <c r="O81" s="30" t="s">
        <v>114</v>
      </c>
    </row>
    <row r="82" spans="2:15" s="59" customFormat="1" ht="30" x14ac:dyDescent="0.25">
      <c r="B82" s="59" t="s">
        <v>165</v>
      </c>
      <c r="C82" s="59" t="s">
        <v>6</v>
      </c>
      <c r="D82" s="59" t="s">
        <v>10</v>
      </c>
      <c r="E82" s="30" t="s">
        <v>298</v>
      </c>
      <c r="F82" s="61"/>
      <c r="G82" s="59">
        <v>3</v>
      </c>
      <c r="H82" s="59" t="s">
        <v>23</v>
      </c>
      <c r="I82" s="21" t="s">
        <v>32</v>
      </c>
      <c r="J82" s="59" t="s">
        <v>832</v>
      </c>
      <c r="K82" s="62" t="s">
        <v>90</v>
      </c>
      <c r="L82" s="63">
        <v>6</v>
      </c>
      <c r="M82" s="64">
        <v>62.34</v>
      </c>
      <c r="N82" s="65">
        <v>44706</v>
      </c>
      <c r="O82" s="59" t="s">
        <v>114</v>
      </c>
    </row>
    <row r="83" spans="2:15" s="30" customFormat="1" ht="30" x14ac:dyDescent="0.25">
      <c r="B83" s="30" t="s">
        <v>168</v>
      </c>
      <c r="C83" s="30" t="s">
        <v>6</v>
      </c>
      <c r="D83" s="30" t="s">
        <v>10</v>
      </c>
      <c r="E83" s="30" t="s">
        <v>298</v>
      </c>
      <c r="F83" s="11"/>
      <c r="G83" s="30">
        <v>3</v>
      </c>
      <c r="H83" s="30" t="s">
        <v>23</v>
      </c>
      <c r="I83" s="21" t="s">
        <v>32</v>
      </c>
      <c r="J83" s="30" t="s">
        <v>666</v>
      </c>
      <c r="K83" s="21" t="s">
        <v>94</v>
      </c>
      <c r="L83" s="35">
        <v>0</v>
      </c>
      <c r="M83" s="19">
        <v>9.56</v>
      </c>
      <c r="N83" s="42">
        <v>44706</v>
      </c>
      <c r="O83" s="30" t="s">
        <v>114</v>
      </c>
    </row>
    <row r="84" spans="2:15" s="30" customFormat="1" ht="30" x14ac:dyDescent="0.25">
      <c r="B84" s="30" t="s">
        <v>165</v>
      </c>
      <c r="C84" s="30" t="s">
        <v>6</v>
      </c>
      <c r="D84" s="30" t="s">
        <v>10</v>
      </c>
      <c r="E84" s="30" t="s">
        <v>298</v>
      </c>
      <c r="F84" s="11"/>
      <c r="G84" s="30">
        <v>3</v>
      </c>
      <c r="H84" s="30" t="s">
        <v>26</v>
      </c>
      <c r="I84" s="21" t="s">
        <v>32</v>
      </c>
      <c r="J84" s="30" t="s">
        <v>833</v>
      </c>
      <c r="K84" s="21" t="s">
        <v>90</v>
      </c>
      <c r="L84" s="35">
        <v>0</v>
      </c>
      <c r="M84" s="19">
        <v>114.36</v>
      </c>
      <c r="N84" s="42">
        <v>44706</v>
      </c>
      <c r="O84" s="30" t="s">
        <v>114</v>
      </c>
    </row>
    <row r="85" spans="2:15" s="30" customFormat="1" ht="30" x14ac:dyDescent="0.25">
      <c r="B85" s="30" t="s">
        <v>170</v>
      </c>
      <c r="C85" s="30" t="s">
        <v>6</v>
      </c>
      <c r="D85" s="30" t="s">
        <v>10</v>
      </c>
      <c r="E85" s="30" t="s">
        <v>298</v>
      </c>
      <c r="F85" s="11"/>
      <c r="G85" s="30">
        <v>3</v>
      </c>
      <c r="H85" s="30" t="s">
        <v>394</v>
      </c>
      <c r="I85" s="21" t="s">
        <v>68</v>
      </c>
      <c r="J85" s="30" t="s">
        <v>667</v>
      </c>
      <c r="K85" s="21" t="s">
        <v>94</v>
      </c>
      <c r="L85" s="35">
        <v>0</v>
      </c>
      <c r="M85" s="19">
        <v>600.74</v>
      </c>
      <c r="N85" s="42">
        <v>44706</v>
      </c>
      <c r="O85" s="30" t="s">
        <v>114</v>
      </c>
    </row>
    <row r="86" spans="2:15" s="30" customFormat="1" ht="30" x14ac:dyDescent="0.25">
      <c r="B86" s="30" t="s">
        <v>168</v>
      </c>
      <c r="C86" s="30" t="s">
        <v>6</v>
      </c>
      <c r="D86" s="30" t="s">
        <v>10</v>
      </c>
      <c r="E86" s="30" t="s">
        <v>298</v>
      </c>
      <c r="F86" s="11"/>
      <c r="G86" s="30">
        <v>4</v>
      </c>
      <c r="H86" s="30" t="s">
        <v>390</v>
      </c>
      <c r="I86" s="21" t="s">
        <v>68</v>
      </c>
      <c r="J86" s="30" t="s">
        <v>668</v>
      </c>
      <c r="K86" s="21" t="s">
        <v>94</v>
      </c>
      <c r="L86" s="35">
        <v>0</v>
      </c>
      <c r="M86" s="19">
        <v>19.09</v>
      </c>
      <c r="N86" s="42">
        <v>44706</v>
      </c>
      <c r="O86" s="30" t="s">
        <v>114</v>
      </c>
    </row>
    <row r="87" spans="2:15" s="30" customFormat="1" ht="30" x14ac:dyDescent="0.25">
      <c r="B87" s="30" t="s">
        <v>169</v>
      </c>
      <c r="C87" s="30" t="s">
        <v>6</v>
      </c>
      <c r="D87" s="30" t="s">
        <v>10</v>
      </c>
      <c r="E87" s="30" t="s">
        <v>298</v>
      </c>
      <c r="F87" s="11"/>
      <c r="G87" s="30">
        <v>4</v>
      </c>
      <c r="H87" s="30" t="s">
        <v>399</v>
      </c>
      <c r="I87" s="21" t="s">
        <v>68</v>
      </c>
      <c r="J87" s="30" t="s">
        <v>669</v>
      </c>
      <c r="K87" s="21" t="s">
        <v>94</v>
      </c>
      <c r="L87" s="35">
        <v>6</v>
      </c>
      <c r="M87" s="19">
        <v>28.83</v>
      </c>
      <c r="N87" s="42">
        <v>44706</v>
      </c>
      <c r="O87" s="30" t="s">
        <v>114</v>
      </c>
    </row>
    <row r="88" spans="2:15" s="30" customFormat="1" ht="30" x14ac:dyDescent="0.25">
      <c r="B88" s="30" t="s">
        <v>169</v>
      </c>
      <c r="C88" s="30" t="s">
        <v>6</v>
      </c>
      <c r="D88" s="30" t="s">
        <v>10</v>
      </c>
      <c r="E88" s="30" t="s">
        <v>298</v>
      </c>
      <c r="F88" s="11"/>
      <c r="G88" s="30">
        <v>4</v>
      </c>
      <c r="H88" s="30" t="s">
        <v>398</v>
      </c>
      <c r="I88" s="21" t="s">
        <v>68</v>
      </c>
      <c r="J88" s="30" t="s">
        <v>764</v>
      </c>
      <c r="K88" s="21" t="s">
        <v>94</v>
      </c>
      <c r="L88" s="35">
        <v>1</v>
      </c>
      <c r="M88" s="19">
        <v>8.5299999999999994</v>
      </c>
      <c r="N88" s="42">
        <v>44706</v>
      </c>
      <c r="O88" s="30" t="s">
        <v>114</v>
      </c>
    </row>
    <row r="89" spans="2:15" s="30" customFormat="1" ht="30" x14ac:dyDescent="0.25">
      <c r="B89" s="30" t="s">
        <v>169</v>
      </c>
      <c r="C89" s="30" t="s">
        <v>6</v>
      </c>
      <c r="D89" s="30" t="s">
        <v>10</v>
      </c>
      <c r="E89" s="30" t="s">
        <v>298</v>
      </c>
      <c r="F89" s="11"/>
      <c r="G89" s="30">
        <v>4</v>
      </c>
      <c r="H89" s="30" t="s">
        <v>398</v>
      </c>
      <c r="I89" s="21" t="s">
        <v>68</v>
      </c>
      <c r="J89" s="30" t="s">
        <v>671</v>
      </c>
      <c r="K89" s="21" t="s">
        <v>94</v>
      </c>
      <c r="L89" s="35">
        <v>6</v>
      </c>
      <c r="M89" s="19">
        <v>28.66</v>
      </c>
      <c r="N89" s="42">
        <v>44706</v>
      </c>
      <c r="O89" s="30" t="s">
        <v>114</v>
      </c>
    </row>
    <row r="90" spans="2:15" s="30" customFormat="1" ht="30" x14ac:dyDescent="0.25">
      <c r="B90" s="30" t="s">
        <v>169</v>
      </c>
      <c r="C90" s="30" t="s">
        <v>6</v>
      </c>
      <c r="D90" s="30" t="s">
        <v>10</v>
      </c>
      <c r="E90" s="30" t="s">
        <v>298</v>
      </c>
      <c r="F90" s="11"/>
      <c r="G90" s="30">
        <v>4</v>
      </c>
      <c r="H90" s="30" t="s">
        <v>399</v>
      </c>
      <c r="I90" s="21" t="s">
        <v>68</v>
      </c>
      <c r="J90" s="30" t="s">
        <v>765</v>
      </c>
      <c r="K90" s="21" t="s">
        <v>94</v>
      </c>
      <c r="L90" s="35">
        <v>1</v>
      </c>
      <c r="M90" s="19">
        <v>9.91</v>
      </c>
      <c r="N90" s="42">
        <v>44706</v>
      </c>
      <c r="O90" s="30" t="s">
        <v>114</v>
      </c>
    </row>
    <row r="91" spans="2:15" s="30" customFormat="1" ht="30" x14ac:dyDescent="0.25">
      <c r="B91" s="30" t="s">
        <v>168</v>
      </c>
      <c r="C91" s="30" t="s">
        <v>6</v>
      </c>
      <c r="D91" s="30" t="s">
        <v>10</v>
      </c>
      <c r="E91" s="30" t="s">
        <v>298</v>
      </c>
      <c r="F91" s="11"/>
      <c r="G91" s="30">
        <v>4</v>
      </c>
      <c r="H91" s="30" t="s">
        <v>390</v>
      </c>
      <c r="I91" s="21" t="s">
        <v>68</v>
      </c>
      <c r="J91" s="30" t="s">
        <v>673</v>
      </c>
      <c r="K91" s="21" t="s">
        <v>94</v>
      </c>
      <c r="L91" s="35">
        <v>0</v>
      </c>
      <c r="M91" s="19">
        <v>5.26</v>
      </c>
      <c r="N91" s="42">
        <v>44706</v>
      </c>
      <c r="O91" s="30" t="s">
        <v>114</v>
      </c>
    </row>
    <row r="92" spans="2:15" s="30" customFormat="1" ht="30" x14ac:dyDescent="0.25">
      <c r="B92" s="30" t="s">
        <v>168</v>
      </c>
      <c r="C92" s="30" t="s">
        <v>6</v>
      </c>
      <c r="D92" s="30" t="s">
        <v>10</v>
      </c>
      <c r="E92" s="30" t="s">
        <v>298</v>
      </c>
      <c r="F92" s="11"/>
      <c r="G92" s="30">
        <v>4</v>
      </c>
      <c r="H92" s="30" t="s">
        <v>389</v>
      </c>
      <c r="I92" s="21" t="s">
        <v>68</v>
      </c>
      <c r="J92" s="30" t="s">
        <v>674</v>
      </c>
      <c r="K92" s="21" t="s">
        <v>94</v>
      </c>
      <c r="L92" s="35">
        <v>0</v>
      </c>
      <c r="M92" s="19">
        <v>7.35</v>
      </c>
      <c r="N92" s="42">
        <v>44706</v>
      </c>
      <c r="O92" s="30" t="s">
        <v>114</v>
      </c>
    </row>
    <row r="93" spans="2:15" s="30" customFormat="1" ht="30" x14ac:dyDescent="0.25">
      <c r="B93" s="30" t="s">
        <v>168</v>
      </c>
      <c r="C93" s="30" t="s">
        <v>6</v>
      </c>
      <c r="D93" s="30" t="s">
        <v>10</v>
      </c>
      <c r="E93" s="30" t="s">
        <v>298</v>
      </c>
      <c r="F93" s="11"/>
      <c r="G93" s="30">
        <v>4</v>
      </c>
      <c r="H93" s="30" t="s">
        <v>390</v>
      </c>
      <c r="I93" s="21" t="s">
        <v>68</v>
      </c>
      <c r="J93" s="30" t="s">
        <v>673</v>
      </c>
      <c r="K93" s="21" t="s">
        <v>94</v>
      </c>
      <c r="L93" s="35">
        <v>0</v>
      </c>
      <c r="M93" s="19">
        <v>6.21</v>
      </c>
      <c r="N93" s="42">
        <v>44706</v>
      </c>
      <c r="O93" s="30" t="s">
        <v>114</v>
      </c>
    </row>
    <row r="94" spans="2:15" s="30" customFormat="1" ht="30" x14ac:dyDescent="0.25">
      <c r="B94" s="30" t="s">
        <v>168</v>
      </c>
      <c r="C94" s="30" t="s">
        <v>6</v>
      </c>
      <c r="D94" s="30" t="s">
        <v>10</v>
      </c>
      <c r="E94" s="30" t="s">
        <v>298</v>
      </c>
      <c r="F94" s="11"/>
      <c r="G94" s="30">
        <v>4</v>
      </c>
      <c r="H94" s="30" t="s">
        <v>389</v>
      </c>
      <c r="I94" s="21" t="s">
        <v>68</v>
      </c>
      <c r="J94" s="30" t="s">
        <v>675</v>
      </c>
      <c r="K94" s="21" t="s">
        <v>94</v>
      </c>
      <c r="L94" s="35">
        <v>0</v>
      </c>
      <c r="M94" s="19">
        <v>2.79</v>
      </c>
      <c r="N94" s="42">
        <v>44706</v>
      </c>
      <c r="O94" s="30" t="s">
        <v>114</v>
      </c>
    </row>
    <row r="95" spans="2:15" s="30" customFormat="1" ht="30" x14ac:dyDescent="0.25">
      <c r="B95" s="30" t="s">
        <v>168</v>
      </c>
      <c r="C95" s="30" t="s">
        <v>6</v>
      </c>
      <c r="D95" s="30" t="s">
        <v>10</v>
      </c>
      <c r="E95" s="30" t="s">
        <v>298</v>
      </c>
      <c r="F95" s="11"/>
      <c r="G95" s="30">
        <v>4</v>
      </c>
      <c r="H95" s="30" t="s">
        <v>390</v>
      </c>
      <c r="I95" s="21" t="s">
        <v>68</v>
      </c>
      <c r="J95" s="30" t="s">
        <v>676</v>
      </c>
      <c r="K95" s="21" t="s">
        <v>94</v>
      </c>
      <c r="L95" s="35">
        <v>0</v>
      </c>
      <c r="M95" s="19">
        <v>6.86</v>
      </c>
      <c r="N95" s="42">
        <v>44706</v>
      </c>
      <c r="O95" s="30" t="s">
        <v>114</v>
      </c>
    </row>
    <row r="96" spans="2:15" s="30" customFormat="1" ht="30" x14ac:dyDescent="0.25">
      <c r="B96" s="30" t="s">
        <v>165</v>
      </c>
      <c r="C96" s="30" t="s">
        <v>6</v>
      </c>
      <c r="D96" s="30" t="s">
        <v>10</v>
      </c>
      <c r="E96" s="30" t="s">
        <v>298</v>
      </c>
      <c r="F96" s="11"/>
      <c r="G96" s="30">
        <v>4</v>
      </c>
      <c r="H96" s="30" t="s">
        <v>26</v>
      </c>
      <c r="I96" s="21" t="s">
        <v>32</v>
      </c>
      <c r="J96" s="30" t="s">
        <v>677</v>
      </c>
      <c r="K96" s="21" t="s">
        <v>90</v>
      </c>
      <c r="L96" s="35">
        <v>41</v>
      </c>
      <c r="M96" s="19">
        <v>92.07</v>
      </c>
      <c r="N96" s="42">
        <v>44706</v>
      </c>
      <c r="O96" s="30" t="s">
        <v>114</v>
      </c>
    </row>
    <row r="97" spans="2:15" s="30" customFormat="1" ht="30" x14ac:dyDescent="0.25">
      <c r="B97" s="30" t="s">
        <v>165</v>
      </c>
      <c r="C97" s="30" t="s">
        <v>6</v>
      </c>
      <c r="D97" s="30" t="s">
        <v>10</v>
      </c>
      <c r="E97" s="30" t="s">
        <v>298</v>
      </c>
      <c r="F97" s="11"/>
      <c r="G97" s="30">
        <v>4</v>
      </c>
      <c r="H97" s="30" t="s">
        <v>26</v>
      </c>
      <c r="I97" s="21" t="s">
        <v>32</v>
      </c>
      <c r="J97" s="30" t="s">
        <v>678</v>
      </c>
      <c r="K97" s="21" t="s">
        <v>90</v>
      </c>
      <c r="L97" s="35">
        <v>51</v>
      </c>
      <c r="M97" s="19">
        <v>121.68</v>
      </c>
      <c r="N97" s="42">
        <v>44706</v>
      </c>
      <c r="O97" s="30" t="s">
        <v>114</v>
      </c>
    </row>
    <row r="98" spans="2:15" s="30" customFormat="1" ht="30" x14ac:dyDescent="0.25">
      <c r="B98" s="30" t="s">
        <v>165</v>
      </c>
      <c r="C98" s="30" t="s">
        <v>6</v>
      </c>
      <c r="D98" s="30" t="s">
        <v>10</v>
      </c>
      <c r="E98" s="30" t="s">
        <v>298</v>
      </c>
      <c r="F98" s="11"/>
      <c r="G98" s="30">
        <v>4</v>
      </c>
      <c r="H98" s="30" t="s">
        <v>26</v>
      </c>
      <c r="I98" s="21" t="s">
        <v>32</v>
      </c>
      <c r="J98" s="30" t="s">
        <v>678</v>
      </c>
      <c r="K98" s="21" t="s">
        <v>90</v>
      </c>
      <c r="L98" s="35">
        <v>51</v>
      </c>
      <c r="M98" s="19">
        <v>121.68</v>
      </c>
      <c r="N98" s="42">
        <v>44706</v>
      </c>
      <c r="O98" s="30" t="s">
        <v>114</v>
      </c>
    </row>
    <row r="99" spans="2:15" s="30" customFormat="1" ht="30" x14ac:dyDescent="0.25">
      <c r="B99" s="30" t="s">
        <v>165</v>
      </c>
      <c r="C99" s="30" t="s">
        <v>6</v>
      </c>
      <c r="D99" s="30" t="s">
        <v>10</v>
      </c>
      <c r="E99" s="30" t="s">
        <v>298</v>
      </c>
      <c r="F99" s="11"/>
      <c r="G99" s="30">
        <v>4</v>
      </c>
      <c r="H99" s="30" t="s">
        <v>26</v>
      </c>
      <c r="I99" s="21" t="s">
        <v>32</v>
      </c>
      <c r="J99" s="30" t="s">
        <v>678</v>
      </c>
      <c r="K99" s="21" t="s">
        <v>90</v>
      </c>
      <c r="L99" s="35">
        <v>51</v>
      </c>
      <c r="M99" s="19">
        <v>122.68</v>
      </c>
      <c r="N99" s="42">
        <v>44706</v>
      </c>
      <c r="O99" s="30" t="s">
        <v>114</v>
      </c>
    </row>
    <row r="100" spans="2:15" s="30" customFormat="1" ht="30" x14ac:dyDescent="0.25">
      <c r="B100" s="30" t="s">
        <v>165</v>
      </c>
      <c r="C100" s="30" t="s">
        <v>6</v>
      </c>
      <c r="D100" s="30" t="s">
        <v>10</v>
      </c>
      <c r="E100" s="30" t="s">
        <v>298</v>
      </c>
      <c r="F100" s="11"/>
      <c r="G100" s="30">
        <v>4</v>
      </c>
      <c r="H100" s="30" t="s">
        <v>26</v>
      </c>
      <c r="I100" s="21" t="s">
        <v>32</v>
      </c>
      <c r="J100" s="30" t="s">
        <v>678</v>
      </c>
      <c r="K100" s="21" t="s">
        <v>90</v>
      </c>
      <c r="L100" s="35">
        <v>51</v>
      </c>
      <c r="M100" s="19">
        <v>110.28</v>
      </c>
      <c r="N100" s="42">
        <v>44706</v>
      </c>
      <c r="O100" s="30" t="s">
        <v>114</v>
      </c>
    </row>
    <row r="101" spans="2:15" s="30" customFormat="1" ht="30" x14ac:dyDescent="0.25">
      <c r="B101" s="30" t="s">
        <v>165</v>
      </c>
      <c r="C101" s="30" t="s">
        <v>6</v>
      </c>
      <c r="D101" s="30" t="s">
        <v>10</v>
      </c>
      <c r="E101" s="30" t="s">
        <v>298</v>
      </c>
      <c r="F101" s="11"/>
      <c r="G101" s="30">
        <v>4</v>
      </c>
      <c r="H101" s="30" t="s">
        <v>26</v>
      </c>
      <c r="I101" s="21" t="s">
        <v>32</v>
      </c>
      <c r="J101" s="30" t="s">
        <v>679</v>
      </c>
      <c r="K101" s="21" t="s">
        <v>90</v>
      </c>
      <c r="L101" s="35">
        <v>31</v>
      </c>
      <c r="M101" s="19">
        <v>76.05</v>
      </c>
      <c r="N101" s="42">
        <v>44706</v>
      </c>
      <c r="O101" s="30" t="s">
        <v>114</v>
      </c>
    </row>
    <row r="102" spans="2:15" s="30" customFormat="1" ht="30" x14ac:dyDescent="0.25">
      <c r="B102" s="30" t="s">
        <v>165</v>
      </c>
      <c r="C102" s="30" t="s">
        <v>6</v>
      </c>
      <c r="D102" s="30" t="s">
        <v>10</v>
      </c>
      <c r="E102" s="30" t="s">
        <v>298</v>
      </c>
      <c r="F102" s="11"/>
      <c r="G102" s="30">
        <v>4</v>
      </c>
      <c r="H102" s="30" t="s">
        <v>26</v>
      </c>
      <c r="I102" s="21" t="s">
        <v>32</v>
      </c>
      <c r="J102" s="30" t="s">
        <v>679</v>
      </c>
      <c r="K102" s="21" t="s">
        <v>90</v>
      </c>
      <c r="L102" s="35">
        <v>31</v>
      </c>
      <c r="M102" s="19">
        <v>77.53</v>
      </c>
      <c r="N102" s="42">
        <v>44706</v>
      </c>
      <c r="O102" s="30" t="s">
        <v>114</v>
      </c>
    </row>
    <row r="103" spans="2:15" s="30" customFormat="1" ht="30" x14ac:dyDescent="0.25">
      <c r="B103" s="30" t="s">
        <v>165</v>
      </c>
      <c r="C103" s="30" t="s">
        <v>6</v>
      </c>
      <c r="D103" s="30" t="s">
        <v>10</v>
      </c>
      <c r="E103" s="30" t="s">
        <v>298</v>
      </c>
      <c r="F103" s="11"/>
      <c r="G103" s="30">
        <v>4</v>
      </c>
      <c r="H103" s="30" t="s">
        <v>26</v>
      </c>
      <c r="I103" s="21" t="s">
        <v>32</v>
      </c>
      <c r="J103" s="30" t="s">
        <v>679</v>
      </c>
      <c r="K103" s="21" t="s">
        <v>90</v>
      </c>
      <c r="L103" s="35">
        <v>31</v>
      </c>
      <c r="M103" s="19">
        <v>78.19</v>
      </c>
      <c r="N103" s="42">
        <v>44706</v>
      </c>
      <c r="O103" s="30" t="s">
        <v>114</v>
      </c>
    </row>
    <row r="104" spans="2:15" s="30" customFormat="1" ht="30" x14ac:dyDescent="0.25">
      <c r="B104" s="30" t="s">
        <v>165</v>
      </c>
      <c r="C104" s="30" t="s">
        <v>6</v>
      </c>
      <c r="D104" s="30" t="s">
        <v>10</v>
      </c>
      <c r="E104" s="30" t="s">
        <v>298</v>
      </c>
      <c r="F104" s="11"/>
      <c r="G104" s="30">
        <v>4</v>
      </c>
      <c r="H104" s="30" t="s">
        <v>26</v>
      </c>
      <c r="I104" s="21" t="s">
        <v>32</v>
      </c>
      <c r="J104" s="30" t="s">
        <v>679</v>
      </c>
      <c r="K104" s="21" t="s">
        <v>90</v>
      </c>
      <c r="L104" s="35">
        <v>31</v>
      </c>
      <c r="M104" s="19">
        <v>78.64</v>
      </c>
      <c r="N104" s="42">
        <v>44706</v>
      </c>
      <c r="O104" s="30" t="s">
        <v>114</v>
      </c>
    </row>
    <row r="105" spans="2:15" s="30" customFormat="1" ht="30" x14ac:dyDescent="0.25">
      <c r="B105" s="30" t="s">
        <v>165</v>
      </c>
      <c r="C105" s="30" t="s">
        <v>6</v>
      </c>
      <c r="D105" s="30" t="s">
        <v>10</v>
      </c>
      <c r="E105" s="30" t="s">
        <v>298</v>
      </c>
      <c r="F105" s="11"/>
      <c r="G105" s="30">
        <v>4</v>
      </c>
      <c r="H105" s="30" t="s">
        <v>26</v>
      </c>
      <c r="I105" s="21" t="s">
        <v>32</v>
      </c>
      <c r="J105" s="30" t="s">
        <v>679</v>
      </c>
      <c r="K105" s="21" t="s">
        <v>90</v>
      </c>
      <c r="L105" s="35">
        <v>31</v>
      </c>
      <c r="M105" s="19">
        <v>75.12</v>
      </c>
      <c r="N105" s="42">
        <v>44706</v>
      </c>
      <c r="O105" s="30" t="s">
        <v>114</v>
      </c>
    </row>
    <row r="106" spans="2:15" s="30" customFormat="1" ht="30" x14ac:dyDescent="0.25">
      <c r="B106" s="30" t="s">
        <v>165</v>
      </c>
      <c r="C106" s="30" t="s">
        <v>6</v>
      </c>
      <c r="D106" s="30" t="s">
        <v>10</v>
      </c>
      <c r="E106" s="30" t="s">
        <v>298</v>
      </c>
      <c r="F106" s="11"/>
      <c r="G106" s="30">
        <v>4</v>
      </c>
      <c r="H106" s="30" t="s">
        <v>23</v>
      </c>
      <c r="I106" s="21" t="s">
        <v>38</v>
      </c>
      <c r="J106" s="30" t="s">
        <v>761</v>
      </c>
      <c r="K106" s="21" t="s">
        <v>90</v>
      </c>
      <c r="L106" s="35">
        <v>6</v>
      </c>
      <c r="M106" s="19">
        <v>62.34</v>
      </c>
      <c r="N106" s="42">
        <v>44706</v>
      </c>
      <c r="O106" s="30" t="s">
        <v>114</v>
      </c>
    </row>
    <row r="107" spans="2:15" s="30" customFormat="1" ht="30" x14ac:dyDescent="0.25">
      <c r="B107" s="30" t="s">
        <v>170</v>
      </c>
      <c r="C107" s="30" t="s">
        <v>6</v>
      </c>
      <c r="D107" s="30" t="s">
        <v>10</v>
      </c>
      <c r="E107" s="30" t="s">
        <v>298</v>
      </c>
      <c r="F107" s="11"/>
      <c r="G107" s="30">
        <v>4</v>
      </c>
      <c r="H107" s="30" t="s">
        <v>394</v>
      </c>
      <c r="I107" s="21" t="s">
        <v>68</v>
      </c>
      <c r="J107" s="30" t="s">
        <v>680</v>
      </c>
      <c r="K107" s="21" t="s">
        <v>94</v>
      </c>
      <c r="L107" s="35">
        <v>0</v>
      </c>
      <c r="M107" s="19">
        <v>569.33000000000004</v>
      </c>
      <c r="N107" s="42">
        <v>44706</v>
      </c>
      <c r="O107" s="30" t="s">
        <v>114</v>
      </c>
    </row>
    <row r="108" spans="2:15" s="30" customFormat="1" ht="30" x14ac:dyDescent="0.25">
      <c r="B108" s="30" t="s">
        <v>168</v>
      </c>
      <c r="C108" s="30" t="s">
        <v>6</v>
      </c>
      <c r="D108" s="30" t="s">
        <v>10</v>
      </c>
      <c r="E108" s="30" t="s">
        <v>298</v>
      </c>
      <c r="F108" s="11"/>
      <c r="G108" s="30">
        <v>5</v>
      </c>
      <c r="H108" s="30" t="s">
        <v>390</v>
      </c>
      <c r="I108" s="21" t="s">
        <v>68</v>
      </c>
      <c r="J108" s="30" t="s">
        <v>668</v>
      </c>
      <c r="K108" s="21" t="s">
        <v>94</v>
      </c>
      <c r="L108" s="35">
        <v>0</v>
      </c>
      <c r="M108" s="19">
        <v>19.09</v>
      </c>
      <c r="N108" s="42">
        <v>44706</v>
      </c>
      <c r="O108" s="30" t="s">
        <v>114</v>
      </c>
    </row>
    <row r="109" spans="2:15" s="30" customFormat="1" ht="30" x14ac:dyDescent="0.25">
      <c r="B109" s="30" t="s">
        <v>169</v>
      </c>
      <c r="C109" s="30" t="s">
        <v>6</v>
      </c>
      <c r="D109" s="30" t="s">
        <v>10</v>
      </c>
      <c r="E109" s="30" t="s">
        <v>298</v>
      </c>
      <c r="F109" s="11"/>
      <c r="G109" s="30">
        <v>5</v>
      </c>
      <c r="H109" s="30" t="s">
        <v>398</v>
      </c>
      <c r="I109" s="21" t="s">
        <v>68</v>
      </c>
      <c r="J109" s="30" t="s">
        <v>669</v>
      </c>
      <c r="K109" s="21" t="s">
        <v>94</v>
      </c>
      <c r="L109" s="35">
        <v>6</v>
      </c>
      <c r="M109" s="19">
        <v>28.83</v>
      </c>
      <c r="N109" s="42">
        <v>44706</v>
      </c>
      <c r="O109" s="30" t="s">
        <v>114</v>
      </c>
    </row>
    <row r="110" spans="2:15" s="30" customFormat="1" ht="30" x14ac:dyDescent="0.25">
      <c r="B110" s="30" t="s">
        <v>169</v>
      </c>
      <c r="C110" s="30" t="s">
        <v>6</v>
      </c>
      <c r="D110" s="30" t="s">
        <v>10</v>
      </c>
      <c r="E110" s="30" t="s">
        <v>298</v>
      </c>
      <c r="F110" s="11"/>
      <c r="G110" s="30">
        <v>5</v>
      </c>
      <c r="H110" s="30" t="s">
        <v>398</v>
      </c>
      <c r="I110" s="21" t="s">
        <v>68</v>
      </c>
      <c r="J110" s="30" t="s">
        <v>670</v>
      </c>
      <c r="K110" s="21" t="s">
        <v>94</v>
      </c>
      <c r="L110" s="35">
        <v>1</v>
      </c>
      <c r="M110" s="19">
        <v>8.5299999999999994</v>
      </c>
      <c r="N110" s="42">
        <v>44706</v>
      </c>
      <c r="O110" s="30" t="s">
        <v>114</v>
      </c>
    </row>
    <row r="111" spans="2:15" s="30" customFormat="1" ht="30" x14ac:dyDescent="0.25">
      <c r="B111" s="30" t="s">
        <v>169</v>
      </c>
      <c r="C111" s="30" t="s">
        <v>6</v>
      </c>
      <c r="D111" s="30" t="s">
        <v>10</v>
      </c>
      <c r="E111" s="30" t="s">
        <v>298</v>
      </c>
      <c r="F111" s="11"/>
      <c r="G111" s="30">
        <v>5</v>
      </c>
      <c r="H111" s="30" t="s">
        <v>399</v>
      </c>
      <c r="I111" s="21" t="s">
        <v>68</v>
      </c>
      <c r="J111" s="30" t="s">
        <v>671</v>
      </c>
      <c r="K111" s="21" t="s">
        <v>94</v>
      </c>
      <c r="L111" s="35">
        <v>6</v>
      </c>
      <c r="M111" s="19">
        <v>28.66</v>
      </c>
      <c r="N111" s="42">
        <v>44706</v>
      </c>
      <c r="O111" s="30" t="s">
        <v>114</v>
      </c>
    </row>
    <row r="112" spans="2:15" s="30" customFormat="1" ht="30" x14ac:dyDescent="0.25">
      <c r="B112" s="30" t="s">
        <v>169</v>
      </c>
      <c r="C112" s="30" t="s">
        <v>6</v>
      </c>
      <c r="D112" s="30" t="s">
        <v>10</v>
      </c>
      <c r="E112" s="30" t="s">
        <v>298</v>
      </c>
      <c r="F112" s="11"/>
      <c r="G112" s="30">
        <v>5</v>
      </c>
      <c r="H112" s="30" t="s">
        <v>399</v>
      </c>
      <c r="I112" s="21" t="s">
        <v>68</v>
      </c>
      <c r="J112" s="30" t="s">
        <v>672</v>
      </c>
      <c r="K112" s="21" t="s">
        <v>94</v>
      </c>
      <c r="L112" s="35">
        <v>1</v>
      </c>
      <c r="M112" s="19">
        <v>9.91</v>
      </c>
      <c r="N112" s="42">
        <v>44706</v>
      </c>
      <c r="O112" s="30" t="s">
        <v>114</v>
      </c>
    </row>
    <row r="113" spans="2:15" s="30" customFormat="1" ht="30" x14ac:dyDescent="0.25">
      <c r="B113" s="30" t="s">
        <v>168</v>
      </c>
      <c r="C113" s="30" t="s">
        <v>6</v>
      </c>
      <c r="D113" s="30" t="s">
        <v>10</v>
      </c>
      <c r="E113" s="30" t="s">
        <v>298</v>
      </c>
      <c r="F113" s="11"/>
      <c r="G113" s="30">
        <v>5</v>
      </c>
      <c r="H113" s="30" t="s">
        <v>390</v>
      </c>
      <c r="I113" s="21" t="s">
        <v>68</v>
      </c>
      <c r="J113" s="30" t="s">
        <v>673</v>
      </c>
      <c r="K113" s="21" t="s">
        <v>94</v>
      </c>
      <c r="L113" s="35">
        <v>0</v>
      </c>
      <c r="M113" s="19">
        <v>5.26</v>
      </c>
      <c r="N113" s="42">
        <v>44706</v>
      </c>
      <c r="O113" s="30" t="s">
        <v>114</v>
      </c>
    </row>
    <row r="114" spans="2:15" s="30" customFormat="1" ht="30" x14ac:dyDescent="0.25">
      <c r="B114" s="30" t="s">
        <v>169</v>
      </c>
      <c r="C114" s="30" t="s">
        <v>6</v>
      </c>
      <c r="D114" s="30" t="s">
        <v>10</v>
      </c>
      <c r="E114" s="30" t="s">
        <v>298</v>
      </c>
      <c r="F114" s="11"/>
      <c r="G114" s="30">
        <v>5</v>
      </c>
      <c r="H114" s="30" t="s">
        <v>389</v>
      </c>
      <c r="I114" s="21" t="s">
        <v>68</v>
      </c>
      <c r="J114" s="30" t="s">
        <v>674</v>
      </c>
      <c r="K114" s="21" t="s">
        <v>94</v>
      </c>
      <c r="L114" s="35">
        <v>0</v>
      </c>
      <c r="M114" s="19">
        <v>7.35</v>
      </c>
      <c r="N114" s="42">
        <v>44706</v>
      </c>
      <c r="O114" s="30" t="s">
        <v>114</v>
      </c>
    </row>
    <row r="115" spans="2:15" s="30" customFormat="1" ht="30" x14ac:dyDescent="0.25">
      <c r="B115" s="30" t="s">
        <v>168</v>
      </c>
      <c r="C115" s="30" t="s">
        <v>6</v>
      </c>
      <c r="D115" s="30" t="s">
        <v>10</v>
      </c>
      <c r="E115" s="30" t="s">
        <v>298</v>
      </c>
      <c r="F115" s="11"/>
      <c r="G115" s="30">
        <v>5</v>
      </c>
      <c r="H115" s="30" t="s">
        <v>390</v>
      </c>
      <c r="I115" s="21" t="s">
        <v>68</v>
      </c>
      <c r="J115" s="30" t="s">
        <v>673</v>
      </c>
      <c r="K115" s="21" t="s">
        <v>94</v>
      </c>
      <c r="L115" s="35">
        <v>0</v>
      </c>
      <c r="M115" s="19">
        <v>6.21</v>
      </c>
      <c r="N115" s="42">
        <v>44706</v>
      </c>
      <c r="O115" s="30" t="s">
        <v>114</v>
      </c>
    </row>
    <row r="116" spans="2:15" s="30" customFormat="1" ht="30" x14ac:dyDescent="0.25">
      <c r="B116" s="30" t="s">
        <v>169</v>
      </c>
      <c r="C116" s="30" t="s">
        <v>6</v>
      </c>
      <c r="D116" s="30" t="s">
        <v>10</v>
      </c>
      <c r="E116" s="30" t="s">
        <v>298</v>
      </c>
      <c r="F116" s="11"/>
      <c r="G116" s="30">
        <v>5</v>
      </c>
      <c r="H116" s="30" t="s">
        <v>389</v>
      </c>
      <c r="I116" s="21" t="s">
        <v>68</v>
      </c>
      <c r="J116" s="30" t="s">
        <v>675</v>
      </c>
      <c r="K116" s="21" t="s">
        <v>94</v>
      </c>
      <c r="L116" s="35">
        <v>0</v>
      </c>
      <c r="M116" s="19">
        <v>2.79</v>
      </c>
      <c r="N116" s="42">
        <v>44706</v>
      </c>
      <c r="O116" s="30" t="s">
        <v>114</v>
      </c>
    </row>
    <row r="117" spans="2:15" s="30" customFormat="1" ht="30" x14ac:dyDescent="0.25">
      <c r="B117" s="30" t="s">
        <v>168</v>
      </c>
      <c r="C117" s="30" t="s">
        <v>6</v>
      </c>
      <c r="D117" s="30" t="s">
        <v>10</v>
      </c>
      <c r="E117" s="30" t="s">
        <v>298</v>
      </c>
      <c r="F117" s="11"/>
      <c r="G117" s="30">
        <v>5</v>
      </c>
      <c r="H117" s="30" t="s">
        <v>390</v>
      </c>
      <c r="I117" s="21" t="s">
        <v>68</v>
      </c>
      <c r="J117" s="30" t="s">
        <v>676</v>
      </c>
      <c r="K117" s="21" t="s">
        <v>94</v>
      </c>
      <c r="L117" s="35">
        <v>0</v>
      </c>
      <c r="M117" s="19">
        <v>6.86</v>
      </c>
      <c r="N117" s="42">
        <v>44706</v>
      </c>
      <c r="O117" s="30" t="s">
        <v>114</v>
      </c>
    </row>
    <row r="118" spans="2:15" s="30" customFormat="1" ht="30" x14ac:dyDescent="0.25">
      <c r="B118" s="30" t="s">
        <v>165</v>
      </c>
      <c r="C118" s="30" t="s">
        <v>6</v>
      </c>
      <c r="D118" s="30" t="s">
        <v>10</v>
      </c>
      <c r="E118" s="30" t="s">
        <v>298</v>
      </c>
      <c r="F118" s="11"/>
      <c r="G118" s="30">
        <v>5</v>
      </c>
      <c r="H118" s="30" t="s">
        <v>396</v>
      </c>
      <c r="I118" s="21" t="s">
        <v>38</v>
      </c>
      <c r="J118" s="30" t="s">
        <v>762</v>
      </c>
      <c r="K118" s="21" t="s">
        <v>90</v>
      </c>
      <c r="L118" s="35">
        <v>39</v>
      </c>
      <c r="M118" s="19">
        <v>92.07</v>
      </c>
      <c r="N118" s="42">
        <v>44706</v>
      </c>
      <c r="O118" s="30" t="s">
        <v>114</v>
      </c>
    </row>
    <row r="119" spans="2:15" s="30" customFormat="1" ht="30" x14ac:dyDescent="0.25">
      <c r="B119" s="30" t="s">
        <v>165</v>
      </c>
      <c r="C119" s="30" t="s">
        <v>6</v>
      </c>
      <c r="D119" s="30" t="s">
        <v>10</v>
      </c>
      <c r="E119" s="30" t="s">
        <v>298</v>
      </c>
      <c r="F119" s="11"/>
      <c r="G119" s="30">
        <v>5</v>
      </c>
      <c r="H119" s="30" t="s">
        <v>26</v>
      </c>
      <c r="I119" s="21" t="s">
        <v>32</v>
      </c>
      <c r="J119" s="30" t="s">
        <v>678</v>
      </c>
      <c r="K119" s="21" t="s">
        <v>90</v>
      </c>
      <c r="L119" s="35">
        <v>51</v>
      </c>
      <c r="M119" s="19">
        <v>121.68</v>
      </c>
      <c r="N119" s="42">
        <v>44706</v>
      </c>
      <c r="O119" s="30" t="s">
        <v>114</v>
      </c>
    </row>
    <row r="120" spans="2:15" s="30" customFormat="1" ht="30" x14ac:dyDescent="0.25">
      <c r="B120" s="30" t="s">
        <v>165</v>
      </c>
      <c r="C120" s="30" t="s">
        <v>6</v>
      </c>
      <c r="D120" s="30" t="s">
        <v>10</v>
      </c>
      <c r="E120" s="30" t="s">
        <v>298</v>
      </c>
      <c r="F120" s="11"/>
      <c r="G120" s="30">
        <v>5</v>
      </c>
      <c r="H120" s="30" t="s">
        <v>26</v>
      </c>
      <c r="I120" s="21" t="s">
        <v>32</v>
      </c>
      <c r="J120" s="30" t="s">
        <v>678</v>
      </c>
      <c r="K120" s="21" t="s">
        <v>90</v>
      </c>
      <c r="L120" s="35">
        <v>51</v>
      </c>
      <c r="M120" s="19">
        <v>121.68</v>
      </c>
      <c r="N120" s="42">
        <v>44706</v>
      </c>
      <c r="O120" s="30" t="s">
        <v>114</v>
      </c>
    </row>
    <row r="121" spans="2:15" s="30" customFormat="1" ht="30" x14ac:dyDescent="0.25">
      <c r="B121" s="30" t="s">
        <v>165</v>
      </c>
      <c r="C121" s="30" t="s">
        <v>6</v>
      </c>
      <c r="D121" s="30" t="s">
        <v>10</v>
      </c>
      <c r="E121" s="30" t="s">
        <v>298</v>
      </c>
      <c r="F121" s="11"/>
      <c r="G121" s="30">
        <v>5</v>
      </c>
      <c r="H121" s="30" t="s">
        <v>26</v>
      </c>
      <c r="I121" s="21" t="s">
        <v>32</v>
      </c>
      <c r="J121" s="30" t="s">
        <v>678</v>
      </c>
      <c r="K121" s="21" t="s">
        <v>90</v>
      </c>
      <c r="L121" s="35">
        <v>51</v>
      </c>
      <c r="M121" s="19">
        <v>122.68</v>
      </c>
      <c r="N121" s="42">
        <v>44706</v>
      </c>
      <c r="O121" s="30" t="s">
        <v>114</v>
      </c>
    </row>
    <row r="122" spans="2:15" s="30" customFormat="1" ht="30" x14ac:dyDescent="0.25">
      <c r="B122" s="30" t="s">
        <v>165</v>
      </c>
      <c r="C122" s="30" t="s">
        <v>6</v>
      </c>
      <c r="D122" s="30" t="s">
        <v>10</v>
      </c>
      <c r="E122" s="30" t="s">
        <v>298</v>
      </c>
      <c r="F122" s="11"/>
      <c r="G122" s="30">
        <v>5</v>
      </c>
      <c r="H122" s="30" t="s">
        <v>396</v>
      </c>
      <c r="I122" s="21" t="s">
        <v>32</v>
      </c>
      <c r="J122" s="30" t="s">
        <v>763</v>
      </c>
      <c r="K122" s="21" t="s">
        <v>90</v>
      </c>
      <c r="L122" s="35">
        <v>49</v>
      </c>
      <c r="M122" s="19">
        <v>110.28</v>
      </c>
      <c r="N122" s="42">
        <v>44706</v>
      </c>
      <c r="O122" s="30" t="s">
        <v>114</v>
      </c>
    </row>
    <row r="123" spans="2:15" s="30" customFormat="1" ht="30" x14ac:dyDescent="0.25">
      <c r="B123" s="30" t="s">
        <v>165</v>
      </c>
      <c r="C123" s="30" t="s">
        <v>6</v>
      </c>
      <c r="D123" s="30" t="s">
        <v>10</v>
      </c>
      <c r="E123" s="30" t="s">
        <v>298</v>
      </c>
      <c r="F123" s="11"/>
      <c r="G123" s="30">
        <v>5</v>
      </c>
      <c r="H123" s="30" t="s">
        <v>26</v>
      </c>
      <c r="I123" s="21" t="s">
        <v>32</v>
      </c>
      <c r="J123" s="30" t="s">
        <v>679</v>
      </c>
      <c r="K123" s="21" t="s">
        <v>90</v>
      </c>
      <c r="L123" s="35">
        <v>31</v>
      </c>
      <c r="M123" s="19">
        <v>76.05</v>
      </c>
      <c r="N123" s="42">
        <v>44706</v>
      </c>
      <c r="O123" s="30" t="s">
        <v>114</v>
      </c>
    </row>
    <row r="124" spans="2:15" s="30" customFormat="1" ht="30" x14ac:dyDescent="0.25">
      <c r="B124" s="30" t="s">
        <v>165</v>
      </c>
      <c r="C124" s="30" t="s">
        <v>6</v>
      </c>
      <c r="D124" s="30" t="s">
        <v>10</v>
      </c>
      <c r="E124" s="30" t="s">
        <v>298</v>
      </c>
      <c r="F124" s="11"/>
      <c r="G124" s="30">
        <v>5</v>
      </c>
      <c r="H124" s="30" t="s">
        <v>26</v>
      </c>
      <c r="I124" s="21" t="s">
        <v>32</v>
      </c>
      <c r="J124" s="30" t="s">
        <v>679</v>
      </c>
      <c r="K124" s="21" t="s">
        <v>90</v>
      </c>
      <c r="L124" s="35">
        <v>31</v>
      </c>
      <c r="M124" s="19">
        <v>77.53</v>
      </c>
      <c r="N124" s="42">
        <v>44706</v>
      </c>
      <c r="O124" s="30" t="s">
        <v>114</v>
      </c>
    </row>
    <row r="125" spans="2:15" s="30" customFormat="1" ht="30" x14ac:dyDescent="0.25">
      <c r="B125" s="30" t="s">
        <v>165</v>
      </c>
      <c r="C125" s="30" t="s">
        <v>6</v>
      </c>
      <c r="D125" s="30" t="s">
        <v>10</v>
      </c>
      <c r="E125" s="30" t="s">
        <v>298</v>
      </c>
      <c r="F125" s="11"/>
      <c r="G125" s="30">
        <v>5</v>
      </c>
      <c r="H125" s="30" t="s">
        <v>26</v>
      </c>
      <c r="I125" s="21" t="s">
        <v>32</v>
      </c>
      <c r="J125" s="30" t="s">
        <v>679</v>
      </c>
      <c r="K125" s="21" t="s">
        <v>90</v>
      </c>
      <c r="L125" s="35">
        <v>31</v>
      </c>
      <c r="M125" s="19">
        <v>78.19</v>
      </c>
      <c r="N125" s="42">
        <v>44706</v>
      </c>
      <c r="O125" s="30" t="s">
        <v>114</v>
      </c>
    </row>
    <row r="126" spans="2:15" s="30" customFormat="1" ht="30" x14ac:dyDescent="0.25">
      <c r="B126" s="30" t="s">
        <v>165</v>
      </c>
      <c r="C126" s="30" t="s">
        <v>6</v>
      </c>
      <c r="D126" s="30" t="s">
        <v>10</v>
      </c>
      <c r="E126" s="30" t="s">
        <v>298</v>
      </c>
      <c r="F126" s="11"/>
      <c r="G126" s="30">
        <v>5</v>
      </c>
      <c r="H126" s="30" t="s">
        <v>26</v>
      </c>
      <c r="I126" s="21" t="s">
        <v>32</v>
      </c>
      <c r="J126" s="30" t="s">
        <v>679</v>
      </c>
      <c r="K126" s="21" t="s">
        <v>90</v>
      </c>
      <c r="L126" s="35">
        <v>31</v>
      </c>
      <c r="M126" s="19">
        <v>78.64</v>
      </c>
      <c r="N126" s="42">
        <v>44706</v>
      </c>
      <c r="O126" s="30" t="s">
        <v>114</v>
      </c>
    </row>
    <row r="127" spans="2:15" s="30" customFormat="1" ht="30" x14ac:dyDescent="0.25">
      <c r="B127" s="30" t="s">
        <v>165</v>
      </c>
      <c r="C127" s="30" t="s">
        <v>6</v>
      </c>
      <c r="D127" s="30" t="s">
        <v>10</v>
      </c>
      <c r="E127" s="30" t="s">
        <v>298</v>
      </c>
      <c r="F127" s="11"/>
      <c r="G127" s="30">
        <v>5</v>
      </c>
      <c r="H127" s="30" t="s">
        <v>26</v>
      </c>
      <c r="I127" s="21" t="s">
        <v>32</v>
      </c>
      <c r="J127" s="30" t="s">
        <v>679</v>
      </c>
      <c r="K127" s="21" t="s">
        <v>90</v>
      </c>
      <c r="L127" s="35">
        <v>31</v>
      </c>
      <c r="M127" s="19">
        <v>75.12</v>
      </c>
      <c r="N127" s="42">
        <v>44706</v>
      </c>
      <c r="O127" s="30" t="s">
        <v>114</v>
      </c>
    </row>
    <row r="128" spans="2:15" s="30" customFormat="1" ht="30" x14ac:dyDescent="0.25">
      <c r="B128" s="30" t="s">
        <v>170</v>
      </c>
      <c r="C128" s="30" t="s">
        <v>6</v>
      </c>
      <c r="D128" s="30" t="s">
        <v>10</v>
      </c>
      <c r="E128" s="30" t="s">
        <v>298</v>
      </c>
      <c r="F128" s="11"/>
      <c r="G128" s="30">
        <v>5</v>
      </c>
      <c r="H128" s="30" t="s">
        <v>394</v>
      </c>
      <c r="I128" s="21" t="s">
        <v>68</v>
      </c>
      <c r="J128" s="30" t="s">
        <v>680</v>
      </c>
      <c r="K128" s="21" t="s">
        <v>94</v>
      </c>
      <c r="L128" s="35">
        <v>0</v>
      </c>
      <c r="M128" s="19">
        <v>569.33000000000004</v>
      </c>
      <c r="N128" s="42">
        <v>44706</v>
      </c>
      <c r="O128" s="30" t="s">
        <v>114</v>
      </c>
    </row>
    <row r="129" spans="2:15" s="30" customFormat="1" ht="30" x14ac:dyDescent="0.25">
      <c r="B129" s="30" t="s">
        <v>169</v>
      </c>
      <c r="C129" s="30" t="s">
        <v>6</v>
      </c>
      <c r="D129" s="30" t="s">
        <v>10</v>
      </c>
      <c r="E129" s="30" t="s">
        <v>298</v>
      </c>
      <c r="F129" s="11"/>
      <c r="G129" s="30">
        <v>6</v>
      </c>
      <c r="H129" s="30" t="s">
        <v>399</v>
      </c>
      <c r="I129" s="21" t="s">
        <v>68</v>
      </c>
      <c r="J129" s="30" t="s">
        <v>671</v>
      </c>
      <c r="K129" s="21" t="s">
        <v>94</v>
      </c>
      <c r="L129" s="35">
        <v>6</v>
      </c>
      <c r="M129" s="19">
        <v>28.66</v>
      </c>
      <c r="N129" s="42">
        <v>44706</v>
      </c>
      <c r="O129" s="30" t="s">
        <v>114</v>
      </c>
    </row>
    <row r="130" spans="2:15" s="30" customFormat="1" ht="30" x14ac:dyDescent="0.25">
      <c r="B130" s="30" t="s">
        <v>169</v>
      </c>
      <c r="C130" s="30" t="s">
        <v>6</v>
      </c>
      <c r="D130" s="30" t="s">
        <v>10</v>
      </c>
      <c r="E130" s="30" t="s">
        <v>298</v>
      </c>
      <c r="F130" s="11"/>
      <c r="G130" s="30">
        <v>6</v>
      </c>
      <c r="H130" s="30" t="s">
        <v>399</v>
      </c>
      <c r="I130" s="21" t="s">
        <v>68</v>
      </c>
      <c r="J130" s="30" t="s">
        <v>672</v>
      </c>
      <c r="K130" s="21" t="s">
        <v>94</v>
      </c>
      <c r="L130" s="35">
        <v>1</v>
      </c>
      <c r="M130" s="19">
        <v>9.91</v>
      </c>
      <c r="N130" s="42">
        <v>44706</v>
      </c>
      <c r="O130" s="30" t="s">
        <v>114</v>
      </c>
    </row>
    <row r="131" spans="2:15" s="30" customFormat="1" ht="30" x14ac:dyDescent="0.25">
      <c r="B131" s="30" t="s">
        <v>168</v>
      </c>
      <c r="C131" s="30" t="s">
        <v>6</v>
      </c>
      <c r="D131" s="30" t="s">
        <v>10</v>
      </c>
      <c r="E131" s="30" t="s">
        <v>298</v>
      </c>
      <c r="F131" s="11"/>
      <c r="G131" s="30">
        <v>6</v>
      </c>
      <c r="H131" s="30" t="s">
        <v>389</v>
      </c>
      <c r="I131" s="21" t="s">
        <v>68</v>
      </c>
      <c r="J131" s="30" t="s">
        <v>681</v>
      </c>
      <c r="K131" s="21" t="s">
        <v>94</v>
      </c>
      <c r="L131" s="35">
        <v>0</v>
      </c>
      <c r="M131" s="19">
        <v>2.11</v>
      </c>
      <c r="N131" s="42">
        <v>44706</v>
      </c>
      <c r="O131" s="30" t="s">
        <v>114</v>
      </c>
    </row>
    <row r="132" spans="2:15" s="30" customFormat="1" ht="30" x14ac:dyDescent="0.25">
      <c r="B132" s="30" t="s">
        <v>169</v>
      </c>
      <c r="C132" s="30" t="s">
        <v>6</v>
      </c>
      <c r="D132" s="30" t="s">
        <v>10</v>
      </c>
      <c r="E132" s="30" t="s">
        <v>298</v>
      </c>
      <c r="F132" s="11"/>
      <c r="G132" s="30">
        <v>6</v>
      </c>
      <c r="H132" s="30" t="s">
        <v>391</v>
      </c>
      <c r="I132" s="21" t="s">
        <v>68</v>
      </c>
      <c r="J132" s="30" t="s">
        <v>682</v>
      </c>
      <c r="K132" s="21" t="s">
        <v>94</v>
      </c>
      <c r="L132" s="35">
        <v>0</v>
      </c>
      <c r="M132" s="19">
        <v>27.28</v>
      </c>
      <c r="N132" s="42">
        <v>44706</v>
      </c>
      <c r="O132" s="30" t="s">
        <v>114</v>
      </c>
    </row>
    <row r="133" spans="2:15" s="30" customFormat="1" ht="30" x14ac:dyDescent="0.25">
      <c r="B133" s="30" t="s">
        <v>168</v>
      </c>
      <c r="C133" s="30" t="s">
        <v>6</v>
      </c>
      <c r="D133" s="30" t="s">
        <v>10</v>
      </c>
      <c r="E133" s="30" t="s">
        <v>298</v>
      </c>
      <c r="F133" s="11"/>
      <c r="G133" s="30">
        <v>6</v>
      </c>
      <c r="H133" s="30" t="s">
        <v>389</v>
      </c>
      <c r="I133" s="21" t="s">
        <v>68</v>
      </c>
      <c r="J133" s="30" t="s">
        <v>683</v>
      </c>
      <c r="K133" s="21" t="s">
        <v>94</v>
      </c>
      <c r="L133" s="35">
        <v>0</v>
      </c>
      <c r="M133" s="19">
        <v>9.34</v>
      </c>
      <c r="N133" s="42">
        <v>44706</v>
      </c>
      <c r="O133" s="30" t="s">
        <v>114</v>
      </c>
    </row>
    <row r="134" spans="2:15" s="30" customFormat="1" ht="30" x14ac:dyDescent="0.25">
      <c r="B134" s="30" t="s">
        <v>168</v>
      </c>
      <c r="C134" s="30" t="s">
        <v>6</v>
      </c>
      <c r="D134" s="30" t="s">
        <v>10</v>
      </c>
      <c r="E134" s="30" t="s">
        <v>298</v>
      </c>
      <c r="F134" s="11"/>
      <c r="G134" s="30" t="s">
        <v>94</v>
      </c>
      <c r="H134" s="30" t="s">
        <v>390</v>
      </c>
      <c r="I134" s="21" t="s">
        <v>68</v>
      </c>
      <c r="J134" s="30" t="s">
        <v>837</v>
      </c>
      <c r="K134" s="21" t="s">
        <v>94</v>
      </c>
      <c r="L134" s="35">
        <v>0</v>
      </c>
      <c r="M134" s="19">
        <v>5.74</v>
      </c>
      <c r="N134" s="42">
        <v>44706</v>
      </c>
      <c r="O134" s="30" t="s">
        <v>114</v>
      </c>
    </row>
    <row r="135" spans="2:15" s="30" customFormat="1" ht="30" x14ac:dyDescent="0.25">
      <c r="B135" s="30" t="s">
        <v>169</v>
      </c>
      <c r="C135" s="30" t="s">
        <v>6</v>
      </c>
      <c r="D135" s="30" t="s">
        <v>10</v>
      </c>
      <c r="E135" s="30" t="s">
        <v>298</v>
      </c>
      <c r="F135" s="11"/>
      <c r="G135" s="30" t="s">
        <v>94</v>
      </c>
      <c r="H135" s="30" t="s">
        <v>391</v>
      </c>
      <c r="I135" s="21" t="s">
        <v>68</v>
      </c>
      <c r="J135" s="30" t="s">
        <v>836</v>
      </c>
      <c r="K135" s="21" t="s">
        <v>94</v>
      </c>
      <c r="L135" s="35">
        <v>0</v>
      </c>
      <c r="M135" s="19">
        <v>221</v>
      </c>
      <c r="N135" s="42">
        <v>44706</v>
      </c>
      <c r="O135" s="30" t="s">
        <v>114</v>
      </c>
    </row>
    <row r="136" spans="2:15" s="30" customFormat="1" ht="30" x14ac:dyDescent="0.25">
      <c r="B136" s="30" t="s">
        <v>168</v>
      </c>
      <c r="C136" s="30" t="s">
        <v>6</v>
      </c>
      <c r="D136" s="30" t="s">
        <v>10</v>
      </c>
      <c r="E136" s="30" t="s">
        <v>298</v>
      </c>
      <c r="F136" s="11"/>
      <c r="G136" s="30" t="s">
        <v>94</v>
      </c>
      <c r="H136" s="30" t="s">
        <v>390</v>
      </c>
      <c r="I136" s="21" t="s">
        <v>68</v>
      </c>
      <c r="J136" s="30" t="s">
        <v>834</v>
      </c>
      <c r="K136" s="21" t="s">
        <v>94</v>
      </c>
      <c r="L136" s="35">
        <v>0</v>
      </c>
      <c r="M136" s="19">
        <v>9.59</v>
      </c>
      <c r="N136" s="42">
        <v>44706</v>
      </c>
      <c r="O136" s="30" t="s">
        <v>114</v>
      </c>
    </row>
    <row r="137" spans="2:15" s="30" customFormat="1" ht="30" x14ac:dyDescent="0.25">
      <c r="B137" s="30" t="s">
        <v>168</v>
      </c>
      <c r="C137" s="30" t="s">
        <v>6</v>
      </c>
      <c r="D137" s="30" t="s">
        <v>10</v>
      </c>
      <c r="E137" s="30" t="s">
        <v>298</v>
      </c>
      <c r="F137" s="11"/>
      <c r="G137" s="30" t="s">
        <v>94</v>
      </c>
      <c r="H137" s="30" t="s">
        <v>390</v>
      </c>
      <c r="I137" s="21" t="s">
        <v>68</v>
      </c>
      <c r="J137" s="30" t="s">
        <v>834</v>
      </c>
      <c r="K137" s="21" t="s">
        <v>94</v>
      </c>
      <c r="L137" s="35">
        <v>0</v>
      </c>
      <c r="M137" s="19">
        <v>8.2799999999999994</v>
      </c>
      <c r="N137" s="42">
        <v>44706</v>
      </c>
      <c r="O137" s="30" t="s">
        <v>114</v>
      </c>
    </row>
    <row r="138" spans="2:15" s="30" customFormat="1" ht="30" x14ac:dyDescent="0.25">
      <c r="B138" s="30" t="s">
        <v>168</v>
      </c>
      <c r="C138" s="30" t="s">
        <v>6</v>
      </c>
      <c r="D138" s="30" t="s">
        <v>10</v>
      </c>
      <c r="E138" s="30" t="s">
        <v>298</v>
      </c>
      <c r="F138" s="11"/>
      <c r="G138" s="30" t="s">
        <v>94</v>
      </c>
      <c r="H138" s="30" t="s">
        <v>390</v>
      </c>
      <c r="I138" s="21" t="s">
        <v>68</v>
      </c>
      <c r="J138" s="30" t="s">
        <v>834</v>
      </c>
      <c r="K138" s="21" t="s">
        <v>94</v>
      </c>
      <c r="L138" s="35">
        <v>0</v>
      </c>
      <c r="M138" s="19">
        <v>17.27</v>
      </c>
      <c r="N138" s="42">
        <v>44706</v>
      </c>
      <c r="O138" s="30" t="s">
        <v>114</v>
      </c>
    </row>
    <row r="139" spans="2:15" s="30" customFormat="1" ht="30" x14ac:dyDescent="0.25">
      <c r="B139" s="30" t="s">
        <v>168</v>
      </c>
      <c r="C139" s="30" t="s">
        <v>6</v>
      </c>
      <c r="D139" s="30" t="s">
        <v>10</v>
      </c>
      <c r="E139" s="30" t="s">
        <v>298</v>
      </c>
      <c r="F139" s="11"/>
      <c r="G139" s="30" t="s">
        <v>94</v>
      </c>
      <c r="H139" s="30" t="s">
        <v>390</v>
      </c>
      <c r="I139" s="21" t="s">
        <v>68</v>
      </c>
      <c r="J139" s="30" t="s">
        <v>834</v>
      </c>
      <c r="K139" s="21" t="s">
        <v>94</v>
      </c>
      <c r="L139" s="35">
        <v>0</v>
      </c>
      <c r="M139" s="19">
        <v>21.36</v>
      </c>
      <c r="N139" s="42">
        <v>44706</v>
      </c>
      <c r="O139" s="30" t="s">
        <v>114</v>
      </c>
    </row>
    <row r="140" spans="2:15" s="30" customFormat="1" ht="30" x14ac:dyDescent="0.25">
      <c r="B140" s="30" t="s">
        <v>168</v>
      </c>
      <c r="C140" s="30" t="s">
        <v>6</v>
      </c>
      <c r="D140" s="30" t="s">
        <v>10</v>
      </c>
      <c r="E140" s="30" t="s">
        <v>298</v>
      </c>
      <c r="F140" s="11"/>
      <c r="G140" s="30">
        <v>6</v>
      </c>
      <c r="H140" s="30" t="s">
        <v>394</v>
      </c>
      <c r="I140" s="21" t="s">
        <v>68</v>
      </c>
      <c r="J140" s="30" t="s">
        <v>835</v>
      </c>
      <c r="K140" s="21" t="s">
        <v>94</v>
      </c>
      <c r="L140" s="35">
        <v>0</v>
      </c>
      <c r="M140" s="19">
        <v>220.87</v>
      </c>
      <c r="N140" s="42">
        <v>44706</v>
      </c>
      <c r="O140" s="30" t="s">
        <v>114</v>
      </c>
    </row>
    <row r="141" spans="2:15" s="30" customFormat="1" ht="30" x14ac:dyDescent="0.25">
      <c r="B141" s="30" t="s">
        <v>168</v>
      </c>
      <c r="C141" s="30" t="s">
        <v>6</v>
      </c>
      <c r="D141" s="30" t="s">
        <v>10</v>
      </c>
      <c r="E141" s="30" t="s">
        <v>298</v>
      </c>
      <c r="F141" s="11"/>
      <c r="G141" s="30" t="s">
        <v>94</v>
      </c>
      <c r="H141" s="30" t="s">
        <v>174</v>
      </c>
      <c r="I141" s="21" t="s">
        <v>68</v>
      </c>
      <c r="J141" s="30" t="s">
        <v>684</v>
      </c>
      <c r="K141" s="21" t="s">
        <v>94</v>
      </c>
      <c r="L141" s="35">
        <v>0</v>
      </c>
      <c r="M141" s="19">
        <v>14.55</v>
      </c>
      <c r="N141" s="42">
        <v>44706</v>
      </c>
      <c r="O141" s="30" t="s">
        <v>114</v>
      </c>
    </row>
    <row r="142" spans="2:15" s="30" customFormat="1" ht="30" x14ac:dyDescent="0.25">
      <c r="B142" s="30" t="s">
        <v>169</v>
      </c>
      <c r="C142" s="30" t="s">
        <v>6</v>
      </c>
      <c r="D142" s="30" t="s">
        <v>10</v>
      </c>
      <c r="E142" s="30" t="s">
        <v>298</v>
      </c>
      <c r="F142" s="11"/>
      <c r="G142" s="30" t="s">
        <v>94</v>
      </c>
      <c r="H142" s="30" t="s">
        <v>398</v>
      </c>
      <c r="I142" s="21" t="s">
        <v>68</v>
      </c>
      <c r="J142" s="30" t="s">
        <v>685</v>
      </c>
      <c r="K142" s="21" t="s">
        <v>94</v>
      </c>
      <c r="L142" s="35">
        <v>0</v>
      </c>
      <c r="M142" s="19">
        <v>3.68</v>
      </c>
      <c r="N142" s="42">
        <v>44706</v>
      </c>
      <c r="O142" s="30" t="s">
        <v>114</v>
      </c>
    </row>
    <row r="143" spans="2:15" s="30" customFormat="1" ht="30" x14ac:dyDescent="0.25">
      <c r="B143" s="30" t="s">
        <v>168</v>
      </c>
      <c r="C143" s="30" t="s">
        <v>6</v>
      </c>
      <c r="D143" s="30" t="s">
        <v>10</v>
      </c>
      <c r="E143" s="30" t="s">
        <v>298</v>
      </c>
      <c r="F143" s="11"/>
      <c r="G143" s="30" t="s">
        <v>94</v>
      </c>
      <c r="H143" s="30" t="s">
        <v>390</v>
      </c>
      <c r="I143" s="21" t="s">
        <v>68</v>
      </c>
      <c r="J143" s="30" t="s">
        <v>686</v>
      </c>
      <c r="K143" s="21" t="s">
        <v>94</v>
      </c>
      <c r="L143" s="35">
        <v>0</v>
      </c>
      <c r="M143" s="19">
        <v>8.69</v>
      </c>
      <c r="N143" s="42">
        <v>44706</v>
      </c>
      <c r="O143" s="30" t="s">
        <v>114</v>
      </c>
    </row>
    <row r="144" spans="2:15" s="30" customFormat="1" ht="30" x14ac:dyDescent="0.25">
      <c r="B144" s="30" t="s">
        <v>168</v>
      </c>
      <c r="C144" s="30" t="s">
        <v>6</v>
      </c>
      <c r="D144" s="30" t="s">
        <v>10</v>
      </c>
      <c r="E144" s="30" t="s">
        <v>298</v>
      </c>
      <c r="F144" s="11"/>
      <c r="G144" s="30" t="s">
        <v>94</v>
      </c>
      <c r="H144" s="30" t="s">
        <v>177</v>
      </c>
      <c r="I144" s="21" t="s">
        <v>68</v>
      </c>
      <c r="J144" s="30" t="s">
        <v>687</v>
      </c>
      <c r="K144" s="21" t="s">
        <v>94</v>
      </c>
      <c r="L144" s="35">
        <v>0</v>
      </c>
      <c r="M144" s="19">
        <v>19.11</v>
      </c>
      <c r="N144" s="42">
        <v>44706</v>
      </c>
      <c r="O144" s="30" t="s">
        <v>114</v>
      </c>
    </row>
    <row r="145" spans="2:15" s="30" customFormat="1" ht="30" x14ac:dyDescent="0.25">
      <c r="B145" s="30" t="s">
        <v>168</v>
      </c>
      <c r="C145" s="30" t="s">
        <v>6</v>
      </c>
      <c r="D145" s="30" t="s">
        <v>10</v>
      </c>
      <c r="E145" s="30" t="s">
        <v>298</v>
      </c>
      <c r="F145" s="11"/>
      <c r="G145" s="30" t="s">
        <v>94</v>
      </c>
      <c r="H145" s="30" t="s">
        <v>390</v>
      </c>
      <c r="I145" s="21" t="s">
        <v>68</v>
      </c>
      <c r="J145" s="30" t="s">
        <v>688</v>
      </c>
      <c r="K145" s="21" t="s">
        <v>94</v>
      </c>
      <c r="L145" s="35">
        <v>0</v>
      </c>
      <c r="M145" s="19">
        <v>12.09</v>
      </c>
      <c r="N145" s="42">
        <v>44706</v>
      </c>
      <c r="O145" s="30" t="s">
        <v>114</v>
      </c>
    </row>
    <row r="146" spans="2:15" s="30" customFormat="1" ht="30" x14ac:dyDescent="0.25">
      <c r="B146" s="30" t="s">
        <v>168</v>
      </c>
      <c r="C146" s="30" t="s">
        <v>6</v>
      </c>
      <c r="D146" s="30" t="s">
        <v>10</v>
      </c>
      <c r="E146" s="30" t="s">
        <v>298</v>
      </c>
      <c r="F146" s="11"/>
      <c r="G146" s="30" t="s">
        <v>94</v>
      </c>
      <c r="H146" s="30" t="s">
        <v>389</v>
      </c>
      <c r="I146" s="21" t="s">
        <v>68</v>
      </c>
      <c r="J146" s="30" t="s">
        <v>689</v>
      </c>
      <c r="K146" s="21" t="s">
        <v>94</v>
      </c>
      <c r="L146" s="35">
        <v>0</v>
      </c>
      <c r="M146" s="19">
        <v>5.18</v>
      </c>
      <c r="N146" s="42">
        <v>44706</v>
      </c>
      <c r="O146" s="30" t="s">
        <v>114</v>
      </c>
    </row>
    <row r="147" spans="2:15" s="30" customFormat="1" ht="30" x14ac:dyDescent="0.25">
      <c r="B147" s="30" t="s">
        <v>168</v>
      </c>
      <c r="C147" s="30" t="s">
        <v>6</v>
      </c>
      <c r="D147" s="30" t="s">
        <v>10</v>
      </c>
      <c r="E147" s="30" t="s">
        <v>298</v>
      </c>
      <c r="F147" s="11"/>
      <c r="G147" s="30" t="s">
        <v>94</v>
      </c>
      <c r="H147" s="30" t="s">
        <v>390</v>
      </c>
      <c r="I147" s="21" t="s">
        <v>68</v>
      </c>
      <c r="J147" s="30" t="s">
        <v>690</v>
      </c>
      <c r="K147" s="21" t="s">
        <v>94</v>
      </c>
      <c r="L147" s="35">
        <v>0</v>
      </c>
      <c r="M147" s="19">
        <v>13.08</v>
      </c>
      <c r="N147" s="42">
        <v>44706</v>
      </c>
      <c r="O147" s="30" t="s">
        <v>114</v>
      </c>
    </row>
    <row r="148" spans="2:15" s="30" customFormat="1" ht="30" x14ac:dyDescent="0.25">
      <c r="B148" s="30" t="s">
        <v>170</v>
      </c>
      <c r="C148" s="30" t="s">
        <v>6</v>
      </c>
      <c r="D148" s="30" t="s">
        <v>10</v>
      </c>
      <c r="E148" s="30" t="s">
        <v>298</v>
      </c>
      <c r="F148" s="11"/>
      <c r="G148" s="30" t="s">
        <v>94</v>
      </c>
      <c r="H148" s="30" t="s">
        <v>389</v>
      </c>
      <c r="I148" s="21" t="s">
        <v>68</v>
      </c>
      <c r="J148" s="30" t="s">
        <v>841</v>
      </c>
      <c r="K148" s="21" t="s">
        <v>94</v>
      </c>
      <c r="L148" s="35">
        <v>0</v>
      </c>
      <c r="M148" s="19">
        <v>4.3</v>
      </c>
      <c r="N148" s="42">
        <v>44706</v>
      </c>
      <c r="O148" s="30" t="s">
        <v>114</v>
      </c>
    </row>
    <row r="149" spans="2:15" s="30" customFormat="1" ht="30" x14ac:dyDescent="0.25">
      <c r="B149" s="30" t="s">
        <v>169</v>
      </c>
      <c r="C149" s="30" t="s">
        <v>6</v>
      </c>
      <c r="D149" s="30" t="s">
        <v>10</v>
      </c>
      <c r="E149" s="30" t="s">
        <v>298</v>
      </c>
      <c r="F149" s="11"/>
      <c r="G149" s="30" t="s">
        <v>94</v>
      </c>
      <c r="H149" s="30" t="s">
        <v>398</v>
      </c>
      <c r="I149" s="21" t="s">
        <v>68</v>
      </c>
      <c r="J149" s="30" t="s">
        <v>691</v>
      </c>
      <c r="K149" s="21" t="s">
        <v>94</v>
      </c>
      <c r="L149" s="35">
        <v>0</v>
      </c>
      <c r="M149" s="19">
        <v>5.83</v>
      </c>
      <c r="N149" s="42">
        <v>44706</v>
      </c>
      <c r="O149" s="30" t="s">
        <v>114</v>
      </c>
    </row>
    <row r="150" spans="2:15" s="30" customFormat="1" ht="30" x14ac:dyDescent="0.25">
      <c r="B150" s="30" t="s">
        <v>168</v>
      </c>
      <c r="C150" s="30" t="s">
        <v>6</v>
      </c>
      <c r="D150" s="30" t="s">
        <v>10</v>
      </c>
      <c r="E150" s="30" t="s">
        <v>298</v>
      </c>
      <c r="F150" s="11"/>
      <c r="G150" s="30" t="s">
        <v>94</v>
      </c>
      <c r="H150" s="30" t="s">
        <v>390</v>
      </c>
      <c r="I150" s="21" t="s">
        <v>68</v>
      </c>
      <c r="J150" s="30" t="s">
        <v>839</v>
      </c>
      <c r="K150" s="21" t="s">
        <v>94</v>
      </c>
      <c r="L150" s="35">
        <v>0</v>
      </c>
      <c r="M150" s="19">
        <v>58.01</v>
      </c>
      <c r="N150" s="42">
        <v>44706</v>
      </c>
      <c r="O150" s="30" t="s">
        <v>114</v>
      </c>
    </row>
    <row r="151" spans="2:15" s="30" customFormat="1" ht="30" x14ac:dyDescent="0.25">
      <c r="B151" s="30" t="s">
        <v>168</v>
      </c>
      <c r="C151" s="30" t="s">
        <v>6</v>
      </c>
      <c r="D151" s="30" t="s">
        <v>10</v>
      </c>
      <c r="E151" s="30" t="s">
        <v>298</v>
      </c>
      <c r="F151" s="11"/>
      <c r="G151" s="30" t="s">
        <v>94</v>
      </c>
      <c r="H151" s="30" t="s">
        <v>390</v>
      </c>
      <c r="I151" s="21" t="s">
        <v>68</v>
      </c>
      <c r="J151" s="30" t="s">
        <v>838</v>
      </c>
      <c r="K151" s="21" t="s">
        <v>94</v>
      </c>
      <c r="L151" s="35">
        <v>22</v>
      </c>
      <c r="M151" s="19">
        <v>92.71</v>
      </c>
      <c r="N151" s="42">
        <v>44706</v>
      </c>
      <c r="O151" s="30" t="s">
        <v>114</v>
      </c>
    </row>
    <row r="152" spans="2:15" s="30" customFormat="1" ht="30" x14ac:dyDescent="0.25">
      <c r="B152" s="30" t="s">
        <v>168</v>
      </c>
      <c r="C152" s="30" t="s">
        <v>6</v>
      </c>
      <c r="D152" s="30" t="s">
        <v>10</v>
      </c>
      <c r="E152" s="30" t="s">
        <v>298</v>
      </c>
      <c r="F152" s="11"/>
      <c r="G152" s="30" t="s">
        <v>94</v>
      </c>
      <c r="H152" s="30" t="s">
        <v>23</v>
      </c>
      <c r="I152" s="21" t="s">
        <v>68</v>
      </c>
      <c r="J152" s="30" t="s">
        <v>692</v>
      </c>
      <c r="K152" s="21" t="s">
        <v>94</v>
      </c>
      <c r="L152" s="35">
        <v>4</v>
      </c>
      <c r="M152" s="19">
        <v>8.0399999999999991</v>
      </c>
      <c r="N152" s="42">
        <v>44706</v>
      </c>
      <c r="O152" s="30" t="s">
        <v>114</v>
      </c>
    </row>
    <row r="153" spans="2:15" s="30" customFormat="1" ht="30" x14ac:dyDescent="0.25">
      <c r="B153" s="30" t="s">
        <v>168</v>
      </c>
      <c r="C153" s="30" t="s">
        <v>6</v>
      </c>
      <c r="D153" s="30" t="s">
        <v>10</v>
      </c>
      <c r="E153" s="30" t="s">
        <v>298</v>
      </c>
      <c r="F153" s="11"/>
      <c r="G153" s="30" t="s">
        <v>94</v>
      </c>
      <c r="H153" s="30" t="s">
        <v>394</v>
      </c>
      <c r="I153" s="21" t="s">
        <v>68</v>
      </c>
      <c r="J153" s="30" t="s">
        <v>840</v>
      </c>
      <c r="K153" s="21" t="s">
        <v>107</v>
      </c>
      <c r="L153" s="35">
        <v>10</v>
      </c>
      <c r="M153" s="19">
        <v>12.64</v>
      </c>
      <c r="N153" s="42">
        <v>44706</v>
      </c>
      <c r="O153" s="30" t="s">
        <v>114</v>
      </c>
    </row>
    <row r="154" spans="2:15" s="30" customFormat="1" ht="30" x14ac:dyDescent="0.25">
      <c r="B154" s="30" t="s">
        <v>168</v>
      </c>
      <c r="C154" s="30" t="s">
        <v>6</v>
      </c>
      <c r="D154" s="30" t="s">
        <v>10</v>
      </c>
      <c r="E154" s="30" t="s">
        <v>298</v>
      </c>
      <c r="F154" s="11"/>
      <c r="G154" s="30" t="s">
        <v>94</v>
      </c>
      <c r="H154" s="30" t="s">
        <v>23</v>
      </c>
      <c r="I154" s="21" t="s">
        <v>68</v>
      </c>
      <c r="J154" s="30" t="s">
        <v>693</v>
      </c>
      <c r="K154" s="21" t="s">
        <v>107</v>
      </c>
      <c r="L154" s="35">
        <v>10</v>
      </c>
      <c r="M154" s="19">
        <v>45.97</v>
      </c>
      <c r="N154" s="42">
        <v>44706</v>
      </c>
      <c r="O154" s="30" t="s">
        <v>114</v>
      </c>
    </row>
    <row r="155" spans="2:15" s="30" customFormat="1" ht="30" x14ac:dyDescent="0.25">
      <c r="B155" s="30" t="s">
        <v>168</v>
      </c>
      <c r="C155" s="30" t="s">
        <v>6</v>
      </c>
      <c r="D155" s="30" t="s">
        <v>10</v>
      </c>
      <c r="E155" s="30" t="s">
        <v>298</v>
      </c>
      <c r="F155" s="11"/>
      <c r="G155" s="30" t="s">
        <v>94</v>
      </c>
      <c r="H155" s="30" t="s">
        <v>23</v>
      </c>
      <c r="I155" s="21" t="s">
        <v>68</v>
      </c>
      <c r="J155" s="30" t="s">
        <v>694</v>
      </c>
      <c r="K155" s="21" t="s">
        <v>107</v>
      </c>
      <c r="L155" s="35">
        <v>0</v>
      </c>
      <c r="M155" s="19">
        <v>18.34</v>
      </c>
      <c r="N155" s="42">
        <v>44706</v>
      </c>
      <c r="O155" s="30" t="s">
        <v>114</v>
      </c>
    </row>
    <row r="156" spans="2:15" s="30" customFormat="1" ht="30" x14ac:dyDescent="0.25">
      <c r="B156" s="30" t="s">
        <v>168</v>
      </c>
      <c r="C156" s="30" t="s">
        <v>6</v>
      </c>
      <c r="D156" s="30" t="s">
        <v>10</v>
      </c>
      <c r="E156" s="30" t="s">
        <v>298</v>
      </c>
      <c r="F156" s="11"/>
      <c r="G156" s="30" t="s">
        <v>94</v>
      </c>
      <c r="H156" s="30" t="s">
        <v>385</v>
      </c>
      <c r="I156" s="21" t="s">
        <v>68</v>
      </c>
      <c r="J156" s="30" t="s">
        <v>695</v>
      </c>
      <c r="K156" s="21" t="s">
        <v>107</v>
      </c>
      <c r="L156" s="35">
        <v>0</v>
      </c>
      <c r="M156" s="19">
        <v>6.46</v>
      </c>
      <c r="N156" s="42">
        <v>44706</v>
      </c>
      <c r="O156" s="30" t="s">
        <v>114</v>
      </c>
    </row>
    <row r="157" spans="2:15" s="30" customFormat="1" ht="30" x14ac:dyDescent="0.25">
      <c r="B157" s="30" t="s">
        <v>170</v>
      </c>
      <c r="C157" s="30" t="s">
        <v>6</v>
      </c>
      <c r="D157" s="30" t="s">
        <v>10</v>
      </c>
      <c r="E157" s="30" t="s">
        <v>298</v>
      </c>
      <c r="F157" s="11"/>
      <c r="G157" s="30" t="s">
        <v>94</v>
      </c>
      <c r="H157" s="30" t="s">
        <v>117</v>
      </c>
      <c r="I157" s="21" t="s">
        <v>68</v>
      </c>
      <c r="J157" s="30" t="s">
        <v>696</v>
      </c>
      <c r="K157" s="21" t="s">
        <v>107</v>
      </c>
      <c r="L157" s="35">
        <v>13</v>
      </c>
      <c r="M157" s="19">
        <v>38.11</v>
      </c>
      <c r="N157" s="42">
        <v>44706</v>
      </c>
      <c r="O157" s="30" t="s">
        <v>114</v>
      </c>
    </row>
    <row r="158" spans="2:15" s="30" customFormat="1" ht="30" x14ac:dyDescent="0.25">
      <c r="B158" s="30" t="s">
        <v>168</v>
      </c>
      <c r="C158" s="30" t="s">
        <v>6</v>
      </c>
      <c r="D158" s="30" t="s">
        <v>10</v>
      </c>
      <c r="E158" s="30" t="s">
        <v>298</v>
      </c>
      <c r="F158" s="11"/>
      <c r="G158" s="30" t="s">
        <v>94</v>
      </c>
      <c r="H158" s="30" t="s">
        <v>23</v>
      </c>
      <c r="I158" s="21" t="s">
        <v>68</v>
      </c>
      <c r="J158" s="30" t="s">
        <v>697</v>
      </c>
      <c r="K158" s="21" t="s">
        <v>107</v>
      </c>
      <c r="L158" s="35">
        <v>3</v>
      </c>
      <c r="M158" s="19">
        <v>15.5</v>
      </c>
      <c r="N158" s="42">
        <v>44706</v>
      </c>
      <c r="O158" s="30" t="s">
        <v>114</v>
      </c>
    </row>
    <row r="159" spans="2:15" s="30" customFormat="1" ht="30" x14ac:dyDescent="0.25">
      <c r="B159" s="30" t="s">
        <v>168</v>
      </c>
      <c r="C159" s="30" t="s">
        <v>6</v>
      </c>
      <c r="D159" s="30" t="s">
        <v>10</v>
      </c>
      <c r="E159" s="30" t="s">
        <v>298</v>
      </c>
      <c r="F159" s="11"/>
      <c r="G159" s="30" t="s">
        <v>94</v>
      </c>
      <c r="H159" s="30" t="s">
        <v>23</v>
      </c>
      <c r="I159" s="21" t="s">
        <v>68</v>
      </c>
      <c r="J159" s="30" t="s">
        <v>698</v>
      </c>
      <c r="K159" s="21" t="s">
        <v>107</v>
      </c>
      <c r="L159" s="35">
        <v>3</v>
      </c>
      <c r="M159" s="19">
        <v>24.64</v>
      </c>
      <c r="N159" s="42">
        <v>44706</v>
      </c>
      <c r="O159" s="30" t="s">
        <v>114</v>
      </c>
    </row>
    <row r="160" spans="2:15" s="30" customFormat="1" ht="30" x14ac:dyDescent="0.25">
      <c r="B160" s="30" t="s">
        <v>168</v>
      </c>
      <c r="C160" s="30" t="s">
        <v>6</v>
      </c>
      <c r="D160" s="30" t="s">
        <v>10</v>
      </c>
      <c r="E160" s="30" t="s">
        <v>298</v>
      </c>
      <c r="F160" s="11"/>
      <c r="G160" s="30" t="s">
        <v>94</v>
      </c>
      <c r="H160" s="30" t="s">
        <v>389</v>
      </c>
      <c r="I160" s="21" t="s">
        <v>68</v>
      </c>
      <c r="J160" s="30" t="s">
        <v>699</v>
      </c>
      <c r="K160" s="21" t="s">
        <v>107</v>
      </c>
      <c r="L160" s="35">
        <v>0</v>
      </c>
      <c r="M160" s="19">
        <v>5.4</v>
      </c>
      <c r="N160" s="42">
        <v>44706</v>
      </c>
      <c r="O160" s="30" t="s">
        <v>114</v>
      </c>
    </row>
    <row r="161" spans="2:15" s="30" customFormat="1" ht="30" x14ac:dyDescent="0.25">
      <c r="B161" s="30" t="s">
        <v>169</v>
      </c>
      <c r="C161" s="30" t="s">
        <v>6</v>
      </c>
      <c r="D161" s="30" t="s">
        <v>10</v>
      </c>
      <c r="E161" s="30" t="s">
        <v>298</v>
      </c>
      <c r="F161" s="11"/>
      <c r="G161" s="30" t="s">
        <v>94</v>
      </c>
      <c r="H161" s="30" t="s">
        <v>398</v>
      </c>
      <c r="I161" s="21" t="s">
        <v>68</v>
      </c>
      <c r="J161" s="30" t="s">
        <v>700</v>
      </c>
      <c r="K161" s="21" t="s">
        <v>107</v>
      </c>
      <c r="L161" s="35">
        <v>1</v>
      </c>
      <c r="M161" s="19">
        <v>4.66</v>
      </c>
      <c r="N161" s="42">
        <v>44706</v>
      </c>
      <c r="O161" s="30" t="s">
        <v>114</v>
      </c>
    </row>
    <row r="162" spans="2:15" s="30" customFormat="1" ht="30" x14ac:dyDescent="0.25">
      <c r="B162" s="30" t="s">
        <v>168</v>
      </c>
      <c r="C162" s="30" t="s">
        <v>6</v>
      </c>
      <c r="D162" s="30" t="s">
        <v>10</v>
      </c>
      <c r="E162" s="30" t="s">
        <v>298</v>
      </c>
      <c r="F162" s="11"/>
      <c r="G162" s="30" t="s">
        <v>94</v>
      </c>
      <c r="H162" s="30" t="s">
        <v>23</v>
      </c>
      <c r="I162" s="21" t="s">
        <v>68</v>
      </c>
      <c r="J162" s="30" t="s">
        <v>701</v>
      </c>
      <c r="K162" s="21" t="s">
        <v>107</v>
      </c>
      <c r="L162" s="35">
        <v>3</v>
      </c>
      <c r="M162" s="19">
        <v>16.350000000000001</v>
      </c>
      <c r="N162" s="42">
        <v>44706</v>
      </c>
      <c r="O162" s="30" t="s">
        <v>114</v>
      </c>
    </row>
    <row r="163" spans="2:15" s="30" customFormat="1" ht="30" x14ac:dyDescent="0.25">
      <c r="B163" s="30" t="s">
        <v>169</v>
      </c>
      <c r="C163" s="30" t="s">
        <v>6</v>
      </c>
      <c r="D163" s="30" t="s">
        <v>10</v>
      </c>
      <c r="E163" s="30" t="s">
        <v>298</v>
      </c>
      <c r="F163" s="11"/>
      <c r="G163" s="30" t="s">
        <v>94</v>
      </c>
      <c r="H163" s="30" t="s">
        <v>398</v>
      </c>
      <c r="I163" s="21" t="s">
        <v>68</v>
      </c>
      <c r="J163" s="30" t="s">
        <v>702</v>
      </c>
      <c r="K163" s="21" t="s">
        <v>94</v>
      </c>
      <c r="L163" s="35">
        <v>0</v>
      </c>
      <c r="M163" s="19">
        <v>2.61</v>
      </c>
      <c r="N163" s="42">
        <v>44706</v>
      </c>
      <c r="O163" s="30" t="s">
        <v>114</v>
      </c>
    </row>
    <row r="164" spans="2:15" s="30" customFormat="1" ht="30" x14ac:dyDescent="0.25">
      <c r="B164" s="30" t="s">
        <v>170</v>
      </c>
      <c r="C164" s="30" t="s">
        <v>6</v>
      </c>
      <c r="D164" s="30" t="s">
        <v>10</v>
      </c>
      <c r="E164" s="30" t="s">
        <v>298</v>
      </c>
      <c r="F164" s="11"/>
      <c r="G164" s="30" t="s">
        <v>94</v>
      </c>
      <c r="H164" s="30" t="s">
        <v>394</v>
      </c>
      <c r="I164" s="21" t="s">
        <v>68</v>
      </c>
      <c r="J164" s="30" t="s">
        <v>703</v>
      </c>
      <c r="K164" s="21" t="s">
        <v>107</v>
      </c>
      <c r="L164" s="35">
        <v>0</v>
      </c>
      <c r="M164" s="19">
        <v>108.47</v>
      </c>
      <c r="N164" s="42">
        <v>44706</v>
      </c>
      <c r="O164" s="30" t="s">
        <v>114</v>
      </c>
    </row>
    <row r="165" spans="2:15" s="30" customFormat="1" ht="30" x14ac:dyDescent="0.25">
      <c r="B165" s="30" t="s">
        <v>169</v>
      </c>
      <c r="C165" s="30" t="s">
        <v>6</v>
      </c>
      <c r="D165" s="30" t="s">
        <v>10</v>
      </c>
      <c r="E165" s="30" t="s">
        <v>298</v>
      </c>
      <c r="F165" s="11"/>
      <c r="G165" s="30" t="s">
        <v>94</v>
      </c>
      <c r="H165" s="30" t="s">
        <v>398</v>
      </c>
      <c r="I165" s="21" t="s">
        <v>68</v>
      </c>
      <c r="J165" s="30" t="s">
        <v>704</v>
      </c>
      <c r="K165" s="21" t="s">
        <v>94</v>
      </c>
      <c r="L165" s="35">
        <v>3</v>
      </c>
      <c r="M165" s="19">
        <v>21.13</v>
      </c>
      <c r="N165" s="42">
        <v>44706</v>
      </c>
      <c r="O165" s="30" t="s">
        <v>114</v>
      </c>
    </row>
    <row r="166" spans="2:15" s="30" customFormat="1" ht="30" x14ac:dyDescent="0.25">
      <c r="B166" s="30" t="s">
        <v>169</v>
      </c>
      <c r="C166" s="30" t="s">
        <v>6</v>
      </c>
      <c r="D166" s="30" t="s">
        <v>10</v>
      </c>
      <c r="E166" s="30" t="s">
        <v>298</v>
      </c>
      <c r="F166" s="11"/>
      <c r="G166" s="30" t="s">
        <v>94</v>
      </c>
      <c r="H166" s="30" t="s">
        <v>398</v>
      </c>
      <c r="I166" s="21" t="s">
        <v>68</v>
      </c>
      <c r="J166" s="30" t="s">
        <v>705</v>
      </c>
      <c r="K166" s="21" t="s">
        <v>94</v>
      </c>
      <c r="L166" s="35">
        <v>3</v>
      </c>
      <c r="M166" s="19">
        <v>24.53</v>
      </c>
      <c r="N166" s="42">
        <v>44706</v>
      </c>
      <c r="O166" s="30" t="s">
        <v>114</v>
      </c>
    </row>
    <row r="167" spans="2:15" s="30" customFormat="1" ht="30" x14ac:dyDescent="0.25">
      <c r="B167" s="30" t="s">
        <v>168</v>
      </c>
      <c r="C167" s="30" t="s">
        <v>6</v>
      </c>
      <c r="D167" s="30" t="s">
        <v>10</v>
      </c>
      <c r="E167" s="30" t="s">
        <v>298</v>
      </c>
      <c r="F167" s="11"/>
      <c r="G167" s="30" t="s">
        <v>94</v>
      </c>
      <c r="H167" s="30" t="s">
        <v>398</v>
      </c>
      <c r="I167" s="21" t="s">
        <v>68</v>
      </c>
      <c r="J167" s="30" t="s">
        <v>706</v>
      </c>
      <c r="K167" s="21" t="s">
        <v>94</v>
      </c>
      <c r="L167" s="35">
        <v>1</v>
      </c>
      <c r="M167" s="19">
        <v>7.38</v>
      </c>
      <c r="N167" s="42">
        <v>44706</v>
      </c>
      <c r="O167" s="30" t="s">
        <v>114</v>
      </c>
    </row>
    <row r="168" spans="2:15" s="30" customFormat="1" ht="30" x14ac:dyDescent="0.25">
      <c r="B168" s="30" t="s">
        <v>168</v>
      </c>
      <c r="C168" s="30" t="s">
        <v>6</v>
      </c>
      <c r="D168" s="30" t="s">
        <v>10</v>
      </c>
      <c r="E168" s="30" t="s">
        <v>298</v>
      </c>
      <c r="F168" s="11"/>
      <c r="G168" s="30" t="s">
        <v>94</v>
      </c>
      <c r="H168" s="30" t="s">
        <v>389</v>
      </c>
      <c r="I168" s="21" t="s">
        <v>68</v>
      </c>
      <c r="J168" s="30" t="s">
        <v>707</v>
      </c>
      <c r="K168" s="21" t="s">
        <v>94</v>
      </c>
      <c r="L168" s="35">
        <v>0</v>
      </c>
      <c r="M168" s="19">
        <v>2.89</v>
      </c>
      <c r="N168" s="42">
        <v>44706</v>
      </c>
      <c r="O168" s="30" t="s">
        <v>114</v>
      </c>
    </row>
    <row r="169" spans="2:15" s="30" customFormat="1" ht="30" x14ac:dyDescent="0.25">
      <c r="B169" s="30" t="s">
        <v>168</v>
      </c>
      <c r="C169" s="30" t="s">
        <v>6</v>
      </c>
      <c r="D169" s="30" t="s">
        <v>10</v>
      </c>
      <c r="E169" s="30" t="s">
        <v>298</v>
      </c>
      <c r="F169" s="11"/>
      <c r="G169" s="30" t="s">
        <v>94</v>
      </c>
      <c r="H169" s="30" t="s">
        <v>391</v>
      </c>
      <c r="I169" s="21" t="s">
        <v>68</v>
      </c>
      <c r="J169" s="30" t="s">
        <v>842</v>
      </c>
      <c r="K169" s="21" t="s">
        <v>107</v>
      </c>
      <c r="L169" s="35">
        <v>228</v>
      </c>
      <c r="M169" s="19">
        <v>389.73</v>
      </c>
      <c r="N169" s="42">
        <v>44706</v>
      </c>
      <c r="O169" s="30" t="s">
        <v>114</v>
      </c>
    </row>
    <row r="170" spans="2:15" s="30" customFormat="1" ht="30" x14ac:dyDescent="0.25">
      <c r="B170" s="30" t="s">
        <v>169</v>
      </c>
      <c r="C170" s="30" t="s">
        <v>6</v>
      </c>
      <c r="D170" s="30" t="s">
        <v>10</v>
      </c>
      <c r="E170" s="30" t="s">
        <v>298</v>
      </c>
      <c r="F170" s="11"/>
      <c r="G170" s="30" t="s">
        <v>94</v>
      </c>
      <c r="H170" s="30" t="s">
        <v>398</v>
      </c>
      <c r="I170" s="21" t="s">
        <v>68</v>
      </c>
      <c r="J170" s="30" t="s">
        <v>708</v>
      </c>
      <c r="K170" s="21" t="s">
        <v>94</v>
      </c>
      <c r="L170" s="35">
        <v>3</v>
      </c>
      <c r="M170" s="19">
        <v>17.36</v>
      </c>
      <c r="N170" s="42">
        <v>44706</v>
      </c>
      <c r="O170" s="30" t="s">
        <v>114</v>
      </c>
    </row>
    <row r="171" spans="2:15" s="30" customFormat="1" ht="30" x14ac:dyDescent="0.25">
      <c r="B171" s="30" t="s">
        <v>169</v>
      </c>
      <c r="C171" s="30" t="s">
        <v>6</v>
      </c>
      <c r="D171" s="30" t="s">
        <v>10</v>
      </c>
      <c r="E171" s="30" t="s">
        <v>298</v>
      </c>
      <c r="F171" s="11"/>
      <c r="G171" s="30" t="s">
        <v>94</v>
      </c>
      <c r="H171" s="30" t="s">
        <v>398</v>
      </c>
      <c r="I171" s="21" t="s">
        <v>68</v>
      </c>
      <c r="J171" s="30" t="s">
        <v>708</v>
      </c>
      <c r="K171" s="21" t="s">
        <v>94</v>
      </c>
      <c r="L171" s="35">
        <v>3</v>
      </c>
      <c r="M171" s="19">
        <v>17.36</v>
      </c>
      <c r="N171" s="42">
        <v>44706</v>
      </c>
      <c r="O171" s="30" t="s">
        <v>114</v>
      </c>
    </row>
    <row r="172" spans="2:15" s="30" customFormat="1" ht="30" x14ac:dyDescent="0.25">
      <c r="B172" s="30" t="s">
        <v>169</v>
      </c>
      <c r="C172" s="30" t="s">
        <v>6</v>
      </c>
      <c r="D172" s="30" t="s">
        <v>10</v>
      </c>
      <c r="E172" s="30" t="s">
        <v>298</v>
      </c>
      <c r="F172" s="11"/>
      <c r="G172" s="30" t="s">
        <v>94</v>
      </c>
      <c r="H172" s="30" t="s">
        <v>398</v>
      </c>
      <c r="I172" s="21" t="s">
        <v>68</v>
      </c>
      <c r="J172" s="30" t="s">
        <v>709</v>
      </c>
      <c r="K172" s="21" t="s">
        <v>94</v>
      </c>
      <c r="L172" s="35">
        <v>1</v>
      </c>
      <c r="M172" s="19">
        <v>8.89</v>
      </c>
      <c r="N172" s="42">
        <v>44706</v>
      </c>
      <c r="O172" s="30" t="s">
        <v>114</v>
      </c>
    </row>
    <row r="173" spans="2:15" s="30" customFormat="1" ht="30" x14ac:dyDescent="0.25">
      <c r="B173" s="30" t="s">
        <v>168</v>
      </c>
      <c r="C173" s="30" t="s">
        <v>6</v>
      </c>
      <c r="D173" s="30" t="s">
        <v>10</v>
      </c>
      <c r="E173" s="30" t="s">
        <v>298</v>
      </c>
      <c r="F173" s="11"/>
      <c r="G173" s="30" t="s">
        <v>94</v>
      </c>
      <c r="H173" s="30" t="s">
        <v>390</v>
      </c>
      <c r="I173" s="21" t="s">
        <v>68</v>
      </c>
      <c r="J173" s="30" t="s">
        <v>686</v>
      </c>
      <c r="K173" s="21" t="s">
        <v>94</v>
      </c>
      <c r="L173" s="35">
        <v>0</v>
      </c>
      <c r="M173" s="19">
        <v>14.59</v>
      </c>
      <c r="N173" s="42">
        <v>44706</v>
      </c>
      <c r="O173" s="30" t="s">
        <v>114</v>
      </c>
    </row>
    <row r="174" spans="2:15" s="30" customFormat="1" ht="30" x14ac:dyDescent="0.25">
      <c r="B174" s="30" t="s">
        <v>168</v>
      </c>
      <c r="C174" s="30" t="s">
        <v>6</v>
      </c>
      <c r="D174" s="30" t="s">
        <v>10</v>
      </c>
      <c r="E174" s="30" t="s">
        <v>298</v>
      </c>
      <c r="F174" s="11"/>
      <c r="G174" s="30" t="s">
        <v>94</v>
      </c>
      <c r="H174" s="30" t="s">
        <v>389</v>
      </c>
      <c r="I174" s="21" t="s">
        <v>68</v>
      </c>
      <c r="J174" s="30" t="s">
        <v>681</v>
      </c>
      <c r="K174" s="21" t="s">
        <v>94</v>
      </c>
      <c r="L174" s="35">
        <v>0</v>
      </c>
      <c r="M174" s="19">
        <v>2.6</v>
      </c>
      <c r="N174" s="42">
        <v>44706</v>
      </c>
      <c r="O174" s="30" t="s">
        <v>114</v>
      </c>
    </row>
    <row r="175" spans="2:15" s="30" customFormat="1" ht="30" x14ac:dyDescent="0.25">
      <c r="B175" s="30" t="s">
        <v>168</v>
      </c>
      <c r="C175" s="30" t="s">
        <v>6</v>
      </c>
      <c r="D175" s="30" t="s">
        <v>10</v>
      </c>
      <c r="E175" s="30" t="s">
        <v>298</v>
      </c>
      <c r="F175" s="11"/>
      <c r="G175" s="30" t="s">
        <v>94</v>
      </c>
      <c r="H175" s="30" t="s">
        <v>390</v>
      </c>
      <c r="I175" s="21" t="s">
        <v>68</v>
      </c>
      <c r="J175" s="30" t="s">
        <v>843</v>
      </c>
      <c r="K175" s="21" t="s">
        <v>94</v>
      </c>
      <c r="L175" s="35">
        <v>0</v>
      </c>
      <c r="M175" s="19">
        <v>13.88</v>
      </c>
      <c r="N175" s="42">
        <v>44706</v>
      </c>
      <c r="O175" s="30" t="s">
        <v>114</v>
      </c>
    </row>
    <row r="176" spans="2:15" s="30" customFormat="1" ht="30" x14ac:dyDescent="0.25">
      <c r="B176" s="30" t="s">
        <v>168</v>
      </c>
      <c r="C176" s="30" t="s">
        <v>6</v>
      </c>
      <c r="D176" s="30" t="s">
        <v>10</v>
      </c>
      <c r="E176" s="30" t="s">
        <v>298</v>
      </c>
      <c r="F176" s="11"/>
      <c r="G176" s="30" t="s">
        <v>94</v>
      </c>
      <c r="H176" s="30" t="s">
        <v>390</v>
      </c>
      <c r="I176" s="21" t="s">
        <v>68</v>
      </c>
      <c r="J176" s="30" t="s">
        <v>710</v>
      </c>
      <c r="K176" s="21" t="s">
        <v>94</v>
      </c>
      <c r="L176" s="35">
        <v>0</v>
      </c>
      <c r="M176" s="19">
        <v>11.51</v>
      </c>
      <c r="N176" s="42">
        <v>44706</v>
      </c>
      <c r="O176" s="30" t="s">
        <v>114</v>
      </c>
    </row>
    <row r="177" spans="2:15" s="30" customFormat="1" ht="30" x14ac:dyDescent="0.25">
      <c r="B177" s="30" t="s">
        <v>168</v>
      </c>
      <c r="C177" s="30" t="s">
        <v>6</v>
      </c>
      <c r="D177" s="30" t="s">
        <v>10</v>
      </c>
      <c r="E177" s="30" t="s">
        <v>298</v>
      </c>
      <c r="F177" s="11"/>
      <c r="G177" s="30" t="s">
        <v>94</v>
      </c>
      <c r="H177" s="30" t="s">
        <v>389</v>
      </c>
      <c r="I177" s="21" t="s">
        <v>68</v>
      </c>
      <c r="J177" s="30" t="s">
        <v>707</v>
      </c>
      <c r="K177" s="21" t="s">
        <v>94</v>
      </c>
      <c r="L177" s="35">
        <v>0</v>
      </c>
      <c r="M177" s="19">
        <v>6.46</v>
      </c>
      <c r="N177" s="42">
        <v>44706</v>
      </c>
      <c r="O177" s="30" t="s">
        <v>114</v>
      </c>
    </row>
    <row r="178" spans="2:15" s="30" customFormat="1" ht="30" x14ac:dyDescent="0.25">
      <c r="B178" s="30" t="s">
        <v>169</v>
      </c>
      <c r="C178" s="30" t="s">
        <v>6</v>
      </c>
      <c r="D178" s="30" t="s">
        <v>10</v>
      </c>
      <c r="E178" s="30" t="s">
        <v>298</v>
      </c>
      <c r="F178" s="11"/>
      <c r="G178" s="30" t="s">
        <v>94</v>
      </c>
      <c r="H178" s="30" t="s">
        <v>398</v>
      </c>
      <c r="I178" s="21" t="s">
        <v>68</v>
      </c>
      <c r="J178" s="30" t="s">
        <v>711</v>
      </c>
      <c r="K178" s="21" t="s">
        <v>94</v>
      </c>
      <c r="L178" s="35">
        <v>0</v>
      </c>
      <c r="M178" s="19">
        <v>19.72</v>
      </c>
      <c r="N178" s="42">
        <v>44706</v>
      </c>
      <c r="O178" s="30" t="s">
        <v>114</v>
      </c>
    </row>
    <row r="179" spans="2:15" s="30" customFormat="1" ht="30" x14ac:dyDescent="0.25">
      <c r="B179" s="30" t="s">
        <v>169</v>
      </c>
      <c r="C179" s="30" t="s">
        <v>6</v>
      </c>
      <c r="D179" s="30" t="s">
        <v>10</v>
      </c>
      <c r="E179" s="30" t="s">
        <v>298</v>
      </c>
      <c r="F179" s="11"/>
      <c r="G179" s="30" t="s">
        <v>94</v>
      </c>
      <c r="H179" s="30" t="s">
        <v>398</v>
      </c>
      <c r="I179" s="21" t="s">
        <v>68</v>
      </c>
      <c r="J179" s="30" t="s">
        <v>712</v>
      </c>
      <c r="K179" s="21" t="s">
        <v>94</v>
      </c>
      <c r="L179" s="35">
        <v>0</v>
      </c>
      <c r="M179" s="19">
        <v>24.34</v>
      </c>
      <c r="N179" s="42">
        <v>44706</v>
      </c>
      <c r="O179" s="30" t="s">
        <v>114</v>
      </c>
    </row>
    <row r="180" spans="2:15" s="30" customFormat="1" ht="30" x14ac:dyDescent="0.25">
      <c r="B180" s="30" t="s">
        <v>169</v>
      </c>
      <c r="C180" s="30" t="s">
        <v>6</v>
      </c>
      <c r="D180" s="30" t="s">
        <v>10</v>
      </c>
      <c r="E180" s="30" t="s">
        <v>298</v>
      </c>
      <c r="F180" s="11"/>
      <c r="G180" s="30" t="s">
        <v>94</v>
      </c>
      <c r="H180" s="30" t="s">
        <v>398</v>
      </c>
      <c r="I180" s="21" t="s">
        <v>68</v>
      </c>
      <c r="J180" s="30" t="s">
        <v>713</v>
      </c>
      <c r="K180" s="21" t="s">
        <v>94</v>
      </c>
      <c r="L180" s="35">
        <v>0</v>
      </c>
      <c r="M180" s="19">
        <v>8.1</v>
      </c>
      <c r="N180" s="42">
        <v>44706</v>
      </c>
      <c r="O180" s="30" t="s">
        <v>114</v>
      </c>
    </row>
    <row r="181" spans="2:15" s="30" customFormat="1" ht="30" x14ac:dyDescent="0.25">
      <c r="B181" s="30" t="s">
        <v>168</v>
      </c>
      <c r="C181" s="30" t="s">
        <v>6</v>
      </c>
      <c r="D181" s="30" t="s">
        <v>10</v>
      </c>
      <c r="E181" s="30" t="s">
        <v>298</v>
      </c>
      <c r="F181" s="11"/>
      <c r="G181" s="30" t="s">
        <v>94</v>
      </c>
      <c r="H181" s="30" t="s">
        <v>386</v>
      </c>
      <c r="I181" s="21" t="s">
        <v>68</v>
      </c>
      <c r="J181" s="30" t="s">
        <v>844</v>
      </c>
      <c r="K181" s="21" t="s">
        <v>94</v>
      </c>
      <c r="L181" s="35">
        <v>254</v>
      </c>
      <c r="M181" s="19">
        <v>435.18</v>
      </c>
      <c r="N181" s="42">
        <v>44706</v>
      </c>
      <c r="O181" s="30" t="s">
        <v>114</v>
      </c>
    </row>
    <row r="182" spans="2:15" s="30" customFormat="1" ht="30" x14ac:dyDescent="0.25">
      <c r="B182" s="30" t="s">
        <v>170</v>
      </c>
      <c r="C182" s="30" t="s">
        <v>6</v>
      </c>
      <c r="D182" s="30" t="s">
        <v>10</v>
      </c>
      <c r="E182" s="30" t="s">
        <v>298</v>
      </c>
      <c r="F182" s="11"/>
      <c r="G182" s="30" t="s">
        <v>94</v>
      </c>
      <c r="H182" s="30" t="s">
        <v>394</v>
      </c>
      <c r="I182" s="21" t="s">
        <v>68</v>
      </c>
      <c r="J182" s="30" t="s">
        <v>680</v>
      </c>
      <c r="K182" s="21" t="s">
        <v>94</v>
      </c>
      <c r="L182" s="35">
        <v>0</v>
      </c>
      <c r="M182" s="19">
        <v>1550.72</v>
      </c>
      <c r="N182" s="42">
        <v>44706</v>
      </c>
      <c r="O182" s="30" t="s">
        <v>114</v>
      </c>
    </row>
    <row r="183" spans="2:15" s="30" customFormat="1" ht="30" x14ac:dyDescent="0.25">
      <c r="B183" s="30" t="s">
        <v>168</v>
      </c>
      <c r="C183" s="30" t="s">
        <v>6</v>
      </c>
      <c r="D183" s="30" t="s">
        <v>10</v>
      </c>
      <c r="E183" s="30" t="s">
        <v>298</v>
      </c>
      <c r="F183" s="11"/>
      <c r="G183" s="30" t="s">
        <v>94</v>
      </c>
      <c r="H183" s="30" t="s">
        <v>24</v>
      </c>
      <c r="I183" s="21" t="s">
        <v>68</v>
      </c>
      <c r="J183" s="30" t="s">
        <v>860</v>
      </c>
      <c r="K183" s="21" t="s">
        <v>94</v>
      </c>
      <c r="L183" s="35">
        <v>0</v>
      </c>
      <c r="M183" s="47">
        <v>1554.17</v>
      </c>
      <c r="N183" s="42">
        <v>44706</v>
      </c>
      <c r="O183" s="30" t="s">
        <v>114</v>
      </c>
    </row>
    <row r="184" spans="2:15" s="30" customFormat="1" ht="30" x14ac:dyDescent="0.25">
      <c r="B184" s="30" t="s">
        <v>168</v>
      </c>
      <c r="C184" s="30" t="s">
        <v>6</v>
      </c>
      <c r="D184" s="30" t="s">
        <v>10</v>
      </c>
      <c r="E184" s="30" t="s">
        <v>298</v>
      </c>
      <c r="F184" s="11"/>
      <c r="G184" s="30" t="s">
        <v>94</v>
      </c>
      <c r="H184" s="30" t="s">
        <v>390</v>
      </c>
      <c r="I184" s="21" t="s">
        <v>68</v>
      </c>
      <c r="J184" s="30" t="s">
        <v>859</v>
      </c>
      <c r="K184" s="21" t="s">
        <v>94</v>
      </c>
      <c r="L184" s="35">
        <v>0</v>
      </c>
      <c r="M184" s="47">
        <v>184.08</v>
      </c>
      <c r="N184" s="42">
        <v>44706</v>
      </c>
      <c r="O184" s="30" t="s">
        <v>114</v>
      </c>
    </row>
    <row r="185" spans="2:15" s="30" customFormat="1" ht="30" x14ac:dyDescent="0.25">
      <c r="B185" s="30" t="s">
        <v>168</v>
      </c>
      <c r="C185" s="30" t="s">
        <v>6</v>
      </c>
      <c r="D185" s="30" t="s">
        <v>10</v>
      </c>
      <c r="E185" s="30" t="s">
        <v>298</v>
      </c>
      <c r="F185" s="11"/>
      <c r="G185" s="30" t="s">
        <v>94</v>
      </c>
      <c r="H185" s="30" t="s">
        <v>390</v>
      </c>
      <c r="I185" s="21" t="s">
        <v>68</v>
      </c>
      <c r="J185" s="30" t="s">
        <v>858</v>
      </c>
      <c r="K185" s="21" t="s">
        <v>94</v>
      </c>
      <c r="L185" s="35">
        <v>0</v>
      </c>
      <c r="M185" s="47">
        <v>75.48</v>
      </c>
      <c r="N185" s="42">
        <v>44706</v>
      </c>
      <c r="O185" s="30" t="s">
        <v>114</v>
      </c>
    </row>
    <row r="186" spans="2:15" s="30" customFormat="1" ht="30" x14ac:dyDescent="0.25">
      <c r="B186" s="30" t="s">
        <v>168</v>
      </c>
      <c r="C186" s="30" t="s">
        <v>6</v>
      </c>
      <c r="D186" s="30" t="s">
        <v>10</v>
      </c>
      <c r="E186" s="30" t="s">
        <v>298</v>
      </c>
      <c r="F186" s="11"/>
      <c r="G186" s="30" t="s">
        <v>94</v>
      </c>
      <c r="H186" s="30" t="s">
        <v>390</v>
      </c>
      <c r="I186" s="21" t="s">
        <v>68</v>
      </c>
      <c r="J186" s="30" t="s">
        <v>857</v>
      </c>
      <c r="K186" s="21" t="s">
        <v>94</v>
      </c>
      <c r="L186" s="35">
        <v>0</v>
      </c>
      <c r="M186" s="47">
        <v>53.5</v>
      </c>
      <c r="N186" s="42">
        <v>44706</v>
      </c>
      <c r="O186" s="30" t="s">
        <v>114</v>
      </c>
    </row>
    <row r="187" spans="2:15" s="30" customFormat="1" ht="30" x14ac:dyDescent="0.25">
      <c r="B187" s="30" t="s">
        <v>168</v>
      </c>
      <c r="C187" s="30" t="s">
        <v>6</v>
      </c>
      <c r="D187" s="30" t="s">
        <v>10</v>
      </c>
      <c r="E187" s="30" t="s">
        <v>298</v>
      </c>
      <c r="F187" s="11"/>
      <c r="G187" s="30" t="s">
        <v>94</v>
      </c>
      <c r="H187" s="30" t="s">
        <v>390</v>
      </c>
      <c r="I187" s="21" t="s">
        <v>68</v>
      </c>
      <c r="J187" s="30" t="s">
        <v>856</v>
      </c>
      <c r="K187" s="21" t="s">
        <v>94</v>
      </c>
      <c r="L187" s="35">
        <v>0</v>
      </c>
      <c r="M187" s="47">
        <v>60.16</v>
      </c>
      <c r="N187" s="42">
        <v>44706</v>
      </c>
      <c r="O187" s="30" t="s">
        <v>114</v>
      </c>
    </row>
    <row r="188" spans="2:15" s="30" customFormat="1" ht="30" x14ac:dyDescent="0.25">
      <c r="B188" s="30" t="s">
        <v>168</v>
      </c>
      <c r="C188" s="30" t="s">
        <v>6</v>
      </c>
      <c r="D188" s="30" t="s">
        <v>10</v>
      </c>
      <c r="E188" s="30" t="s">
        <v>298</v>
      </c>
      <c r="F188" s="11"/>
      <c r="G188" s="30" t="s">
        <v>94</v>
      </c>
      <c r="H188" s="30" t="s">
        <v>389</v>
      </c>
      <c r="I188" s="21" t="s">
        <v>68</v>
      </c>
      <c r="J188" s="30" t="s">
        <v>714</v>
      </c>
      <c r="K188" s="21" t="s">
        <v>94</v>
      </c>
      <c r="L188" s="35">
        <v>0</v>
      </c>
      <c r="M188" s="19">
        <v>8.1300000000000008</v>
      </c>
      <c r="N188" s="42">
        <v>44706</v>
      </c>
      <c r="O188" s="30" t="s">
        <v>114</v>
      </c>
    </row>
    <row r="189" spans="2:15" s="45" customFormat="1" ht="30" x14ac:dyDescent="0.25">
      <c r="B189" s="45" t="s">
        <v>168</v>
      </c>
      <c r="C189" s="45" t="s">
        <v>6</v>
      </c>
      <c r="D189" s="45" t="s">
        <v>10</v>
      </c>
      <c r="E189" s="30" t="s">
        <v>298</v>
      </c>
      <c r="F189" s="54"/>
      <c r="G189" s="45" t="s">
        <v>94</v>
      </c>
      <c r="H189" s="45" t="s">
        <v>399</v>
      </c>
      <c r="I189" s="55" t="s">
        <v>68</v>
      </c>
      <c r="J189" s="45" t="s">
        <v>715</v>
      </c>
      <c r="K189" s="55" t="s">
        <v>94</v>
      </c>
      <c r="L189" s="56">
        <v>0</v>
      </c>
      <c r="M189" s="57">
        <v>122.66</v>
      </c>
      <c r="N189" s="58">
        <v>44706</v>
      </c>
      <c r="O189" s="45" t="s">
        <v>114</v>
      </c>
    </row>
    <row r="190" spans="2:15" s="30" customFormat="1" ht="30" x14ac:dyDescent="0.25">
      <c r="B190" s="30" t="s">
        <v>168</v>
      </c>
      <c r="C190" s="30" t="s">
        <v>6</v>
      </c>
      <c r="D190" s="30" t="s">
        <v>10</v>
      </c>
      <c r="E190" s="30" t="s">
        <v>298</v>
      </c>
      <c r="F190" s="11"/>
      <c r="G190" s="30" t="s">
        <v>94</v>
      </c>
      <c r="H190" s="30" t="s">
        <v>399</v>
      </c>
      <c r="I190" s="21" t="s">
        <v>68</v>
      </c>
      <c r="J190" s="30" t="s">
        <v>716</v>
      </c>
      <c r="K190" s="21" t="s">
        <v>94</v>
      </c>
      <c r="L190" s="35">
        <v>0</v>
      </c>
      <c r="M190" s="19">
        <v>123.06</v>
      </c>
      <c r="N190" s="42">
        <v>44706</v>
      </c>
      <c r="O190" s="30" t="s">
        <v>114</v>
      </c>
    </row>
    <row r="191" spans="2:15" s="30" customFormat="1" ht="30" x14ac:dyDescent="0.25">
      <c r="B191" s="30" t="s">
        <v>168</v>
      </c>
      <c r="C191" s="30" t="s">
        <v>6</v>
      </c>
      <c r="D191" s="30" t="s">
        <v>10</v>
      </c>
      <c r="E191" s="30" t="s">
        <v>298</v>
      </c>
      <c r="F191" s="11"/>
      <c r="G191" s="30" t="s">
        <v>94</v>
      </c>
      <c r="H191" s="30" t="s">
        <v>399</v>
      </c>
      <c r="I191" s="21" t="s">
        <v>68</v>
      </c>
      <c r="J191" s="30" t="s">
        <v>717</v>
      </c>
      <c r="K191" s="21" t="s">
        <v>94</v>
      </c>
      <c r="L191" s="35">
        <v>0</v>
      </c>
      <c r="M191" s="19">
        <v>13.25</v>
      </c>
      <c r="N191" s="42">
        <v>44706</v>
      </c>
      <c r="O191" s="30" t="s">
        <v>114</v>
      </c>
    </row>
    <row r="192" spans="2:15" s="30" customFormat="1" ht="30" x14ac:dyDescent="0.25">
      <c r="B192" s="30" t="s">
        <v>168</v>
      </c>
      <c r="C192" s="30" t="s">
        <v>6</v>
      </c>
      <c r="D192" s="30" t="s">
        <v>10</v>
      </c>
      <c r="E192" s="30" t="s">
        <v>298</v>
      </c>
      <c r="F192" s="11"/>
      <c r="G192" s="30" t="s">
        <v>94</v>
      </c>
      <c r="H192" s="30" t="s">
        <v>399</v>
      </c>
      <c r="I192" s="21" t="s">
        <v>68</v>
      </c>
      <c r="J192" s="30" t="s">
        <v>718</v>
      </c>
      <c r="K192" s="21" t="s">
        <v>94</v>
      </c>
      <c r="L192" s="35">
        <v>0</v>
      </c>
      <c r="M192" s="19">
        <v>14.1</v>
      </c>
      <c r="N192" s="42">
        <v>44706</v>
      </c>
      <c r="O192" s="30" t="s">
        <v>114</v>
      </c>
    </row>
    <row r="193" spans="2:15" s="30" customFormat="1" ht="30" x14ac:dyDescent="0.25">
      <c r="B193" s="30" t="s">
        <v>168</v>
      </c>
      <c r="C193" s="30" t="s">
        <v>6</v>
      </c>
      <c r="D193" s="30" t="s">
        <v>10</v>
      </c>
      <c r="E193" s="30" t="s">
        <v>298</v>
      </c>
      <c r="F193" s="11"/>
      <c r="G193" s="30" t="s">
        <v>94</v>
      </c>
      <c r="H193" s="30" t="s">
        <v>399</v>
      </c>
      <c r="I193" s="21" t="s">
        <v>68</v>
      </c>
      <c r="J193" s="30" t="s">
        <v>718</v>
      </c>
      <c r="K193" s="21" t="s">
        <v>94</v>
      </c>
      <c r="L193" s="35">
        <v>0</v>
      </c>
      <c r="M193" s="19">
        <v>14.1</v>
      </c>
      <c r="N193" s="42">
        <v>44706</v>
      </c>
      <c r="O193" s="30" t="s">
        <v>114</v>
      </c>
    </row>
    <row r="194" spans="2:15" s="30" customFormat="1" ht="30" x14ac:dyDescent="0.25">
      <c r="B194" s="30" t="s">
        <v>168</v>
      </c>
      <c r="C194" s="30" t="s">
        <v>6</v>
      </c>
      <c r="D194" s="30" t="s">
        <v>10</v>
      </c>
      <c r="E194" s="30" t="s">
        <v>298</v>
      </c>
      <c r="F194" s="11"/>
      <c r="G194" s="30" t="s">
        <v>94</v>
      </c>
      <c r="H194" s="30" t="s">
        <v>99</v>
      </c>
      <c r="I194" s="21" t="s">
        <v>68</v>
      </c>
      <c r="J194" s="30" t="s">
        <v>719</v>
      </c>
      <c r="K194" s="21" t="s">
        <v>94</v>
      </c>
      <c r="L194" s="35">
        <v>0</v>
      </c>
      <c r="M194" s="19">
        <v>90.91</v>
      </c>
      <c r="N194" s="42">
        <v>44706</v>
      </c>
      <c r="O194" s="30" t="s">
        <v>114</v>
      </c>
    </row>
    <row r="195" spans="2:15" s="30" customFormat="1" ht="30" x14ac:dyDescent="0.25">
      <c r="B195" s="30" t="s">
        <v>168</v>
      </c>
      <c r="C195" s="30" t="s">
        <v>6</v>
      </c>
      <c r="D195" s="30" t="s">
        <v>10</v>
      </c>
      <c r="E195" s="30" t="s">
        <v>298</v>
      </c>
      <c r="F195" s="11"/>
      <c r="G195" s="30" t="s">
        <v>94</v>
      </c>
      <c r="H195" s="30" t="s">
        <v>23</v>
      </c>
      <c r="I195" s="21" t="s">
        <v>68</v>
      </c>
      <c r="J195" s="30" t="s">
        <v>720</v>
      </c>
      <c r="K195" s="21" t="s">
        <v>94</v>
      </c>
      <c r="L195" s="35">
        <v>0</v>
      </c>
      <c r="M195" s="19">
        <v>14.77</v>
      </c>
      <c r="N195" s="42">
        <v>44706</v>
      </c>
      <c r="O195" s="30" t="s">
        <v>114</v>
      </c>
    </row>
    <row r="196" spans="2:15" s="30" customFormat="1" ht="30" x14ac:dyDescent="0.25">
      <c r="B196" s="30" t="s">
        <v>168</v>
      </c>
      <c r="C196" s="30" t="s">
        <v>6</v>
      </c>
      <c r="D196" s="30" t="s">
        <v>10</v>
      </c>
      <c r="E196" s="30" t="s">
        <v>298</v>
      </c>
      <c r="F196" s="11"/>
      <c r="G196" s="30" t="s">
        <v>94</v>
      </c>
      <c r="H196" s="30" t="s">
        <v>23</v>
      </c>
      <c r="I196" s="21" t="s">
        <v>68</v>
      </c>
      <c r="J196" s="30" t="s">
        <v>721</v>
      </c>
      <c r="K196" s="21" t="s">
        <v>94</v>
      </c>
      <c r="L196" s="35">
        <v>0</v>
      </c>
      <c r="M196" s="19">
        <v>8.65</v>
      </c>
      <c r="N196" s="42">
        <v>44706</v>
      </c>
      <c r="O196" s="30" t="s">
        <v>114</v>
      </c>
    </row>
    <row r="197" spans="2:15" s="30" customFormat="1" ht="30" x14ac:dyDescent="0.25">
      <c r="B197" s="30" t="s">
        <v>168</v>
      </c>
      <c r="C197" s="30" t="s">
        <v>6</v>
      </c>
      <c r="D197" s="30" t="s">
        <v>10</v>
      </c>
      <c r="E197" s="30" t="s">
        <v>298</v>
      </c>
      <c r="F197" s="11"/>
      <c r="G197" s="30" t="s">
        <v>94</v>
      </c>
      <c r="H197" s="30" t="s">
        <v>23</v>
      </c>
      <c r="I197" s="21" t="s">
        <v>68</v>
      </c>
      <c r="J197" s="30" t="s">
        <v>722</v>
      </c>
      <c r="K197" s="21" t="s">
        <v>94</v>
      </c>
      <c r="L197" s="35">
        <v>0</v>
      </c>
      <c r="M197" s="19">
        <v>9.24</v>
      </c>
      <c r="N197" s="42">
        <v>44706</v>
      </c>
      <c r="O197" s="30" t="s">
        <v>114</v>
      </c>
    </row>
    <row r="198" spans="2:15" s="30" customFormat="1" ht="30" x14ac:dyDescent="0.25">
      <c r="B198" s="30" t="s">
        <v>168</v>
      </c>
      <c r="C198" s="30" t="s">
        <v>6</v>
      </c>
      <c r="D198" s="30" t="s">
        <v>10</v>
      </c>
      <c r="E198" s="30" t="s">
        <v>298</v>
      </c>
      <c r="F198" s="11"/>
      <c r="G198" s="30" t="s">
        <v>94</v>
      </c>
      <c r="H198" s="30" t="s">
        <v>389</v>
      </c>
      <c r="I198" s="21" t="s">
        <v>68</v>
      </c>
      <c r="J198" s="30" t="s">
        <v>707</v>
      </c>
      <c r="K198" s="21" t="s">
        <v>94</v>
      </c>
      <c r="L198" s="35">
        <v>0</v>
      </c>
      <c r="M198" s="19">
        <v>2.78</v>
      </c>
      <c r="N198" s="42">
        <v>44706</v>
      </c>
      <c r="O198" s="30" t="s">
        <v>114</v>
      </c>
    </row>
    <row r="199" spans="2:15" s="30" customFormat="1" ht="30" x14ac:dyDescent="0.25">
      <c r="B199" s="30" t="s">
        <v>168</v>
      </c>
      <c r="C199" s="30" t="s">
        <v>6</v>
      </c>
      <c r="D199" s="30" t="s">
        <v>10</v>
      </c>
      <c r="E199" s="30" t="s">
        <v>298</v>
      </c>
      <c r="F199" s="11"/>
      <c r="G199" s="30" t="s">
        <v>94</v>
      </c>
      <c r="H199" s="30" t="s">
        <v>390</v>
      </c>
      <c r="I199" s="21" t="s">
        <v>68</v>
      </c>
      <c r="J199" s="30" t="s">
        <v>723</v>
      </c>
      <c r="K199" s="21" t="s">
        <v>94</v>
      </c>
      <c r="L199" s="35">
        <v>0</v>
      </c>
      <c r="M199" s="19">
        <v>22.47</v>
      </c>
      <c r="N199" s="42">
        <v>44706</v>
      </c>
      <c r="O199" s="30" t="s">
        <v>114</v>
      </c>
    </row>
    <row r="200" spans="2:15" s="30" customFormat="1" ht="30" x14ac:dyDescent="0.25">
      <c r="B200" s="30" t="s">
        <v>168</v>
      </c>
      <c r="C200" s="30" t="s">
        <v>6</v>
      </c>
      <c r="D200" s="30" t="s">
        <v>10</v>
      </c>
      <c r="E200" s="30" t="s">
        <v>298</v>
      </c>
      <c r="F200" s="11"/>
      <c r="G200" s="30" t="s">
        <v>94</v>
      </c>
      <c r="H200" s="30" t="s">
        <v>390</v>
      </c>
      <c r="I200" s="21" t="s">
        <v>68</v>
      </c>
      <c r="J200" s="30" t="s">
        <v>723</v>
      </c>
      <c r="K200" s="21" t="s">
        <v>94</v>
      </c>
      <c r="L200" s="35">
        <v>0</v>
      </c>
      <c r="M200" s="19">
        <v>21.82</v>
      </c>
      <c r="N200" s="42">
        <v>44706</v>
      </c>
      <c r="O200" s="30" t="s">
        <v>114</v>
      </c>
    </row>
    <row r="201" spans="2:15" s="30" customFormat="1" ht="30" x14ac:dyDescent="0.25">
      <c r="B201" s="30" t="s">
        <v>168</v>
      </c>
      <c r="C201" s="30" t="s">
        <v>6</v>
      </c>
      <c r="D201" s="30" t="s">
        <v>10</v>
      </c>
      <c r="E201" s="30" t="s">
        <v>298</v>
      </c>
      <c r="F201" s="11"/>
      <c r="G201" s="30" t="s">
        <v>94</v>
      </c>
      <c r="H201" s="30" t="s">
        <v>394</v>
      </c>
      <c r="I201" s="21" t="s">
        <v>68</v>
      </c>
      <c r="J201" s="30" t="s">
        <v>725</v>
      </c>
      <c r="K201" s="21" t="s">
        <v>94</v>
      </c>
      <c r="L201" s="35">
        <v>0</v>
      </c>
      <c r="M201" s="19">
        <v>166.03</v>
      </c>
      <c r="N201" s="42">
        <v>44706</v>
      </c>
      <c r="O201" s="30" t="s">
        <v>114</v>
      </c>
    </row>
    <row r="202" spans="2:15" s="30" customFormat="1" ht="30" x14ac:dyDescent="0.25">
      <c r="B202" s="30" t="s">
        <v>168</v>
      </c>
      <c r="C202" s="30" t="s">
        <v>6</v>
      </c>
      <c r="D202" s="30" t="s">
        <v>10</v>
      </c>
      <c r="E202" s="30" t="s">
        <v>298</v>
      </c>
      <c r="F202" s="11"/>
      <c r="G202" s="30" t="s">
        <v>94</v>
      </c>
      <c r="H202" s="30" t="s">
        <v>390</v>
      </c>
      <c r="I202" s="21" t="s">
        <v>68</v>
      </c>
      <c r="J202" s="30" t="s">
        <v>726</v>
      </c>
      <c r="K202" s="21" t="s">
        <v>94</v>
      </c>
      <c r="L202" s="35">
        <v>0</v>
      </c>
      <c r="M202" s="19">
        <v>12.22</v>
      </c>
      <c r="N202" s="42">
        <v>44706</v>
      </c>
      <c r="O202" s="30" t="s">
        <v>114</v>
      </c>
    </row>
    <row r="203" spans="2:15" s="30" customFormat="1" ht="30" x14ac:dyDescent="0.25">
      <c r="B203" s="30" t="s">
        <v>168</v>
      </c>
      <c r="C203" s="30" t="s">
        <v>6</v>
      </c>
      <c r="D203" s="30" t="s">
        <v>10</v>
      </c>
      <c r="E203" s="30" t="s">
        <v>298</v>
      </c>
      <c r="F203" s="11"/>
      <c r="G203" s="30" t="s">
        <v>94</v>
      </c>
      <c r="H203" s="30" t="s">
        <v>398</v>
      </c>
      <c r="I203" s="21" t="s">
        <v>68</v>
      </c>
      <c r="J203" s="30" t="s">
        <v>727</v>
      </c>
      <c r="K203" s="21" t="s">
        <v>94</v>
      </c>
      <c r="L203" s="35">
        <v>0</v>
      </c>
      <c r="M203" s="19">
        <v>28.33</v>
      </c>
      <c r="N203" s="42">
        <v>44706</v>
      </c>
      <c r="O203" s="30" t="s">
        <v>114</v>
      </c>
    </row>
    <row r="204" spans="2:15" s="30" customFormat="1" ht="30" x14ac:dyDescent="0.25">
      <c r="B204" s="30" t="s">
        <v>168</v>
      </c>
      <c r="C204" s="30" t="s">
        <v>6</v>
      </c>
      <c r="D204" s="30" t="s">
        <v>10</v>
      </c>
      <c r="E204" s="30" t="s">
        <v>298</v>
      </c>
      <c r="F204" s="11"/>
      <c r="G204" s="30" t="s">
        <v>94</v>
      </c>
      <c r="H204" s="30" t="s">
        <v>389</v>
      </c>
      <c r="I204" s="21" t="s">
        <v>68</v>
      </c>
      <c r="J204" s="30" t="s">
        <v>681</v>
      </c>
      <c r="K204" s="21" t="s">
        <v>94</v>
      </c>
      <c r="L204" s="35">
        <v>0</v>
      </c>
      <c r="M204" s="19">
        <v>6.24</v>
      </c>
      <c r="N204" s="42">
        <v>44706</v>
      </c>
      <c r="O204" s="30" t="s">
        <v>114</v>
      </c>
    </row>
    <row r="205" spans="2:15" s="30" customFormat="1" ht="30" x14ac:dyDescent="0.25">
      <c r="B205" s="30" t="s">
        <v>168</v>
      </c>
      <c r="C205" s="30" t="s">
        <v>6</v>
      </c>
      <c r="D205" s="30" t="s">
        <v>10</v>
      </c>
      <c r="E205" s="30" t="s">
        <v>298</v>
      </c>
      <c r="F205" s="11"/>
      <c r="G205" s="30" t="s">
        <v>94</v>
      </c>
      <c r="H205" s="30" t="s">
        <v>390</v>
      </c>
      <c r="I205" s="21" t="s">
        <v>68</v>
      </c>
      <c r="J205" s="30" t="s">
        <v>673</v>
      </c>
      <c r="K205" s="21" t="s">
        <v>94</v>
      </c>
      <c r="L205" s="35">
        <v>0</v>
      </c>
      <c r="M205" s="19">
        <v>29.62</v>
      </c>
      <c r="N205" s="42">
        <v>44706</v>
      </c>
      <c r="O205" s="30" t="s">
        <v>114</v>
      </c>
    </row>
    <row r="206" spans="2:15" s="30" customFormat="1" ht="30" x14ac:dyDescent="0.25">
      <c r="B206" s="30" t="s">
        <v>168</v>
      </c>
      <c r="C206" s="30" t="s">
        <v>6</v>
      </c>
      <c r="D206" s="30" t="s">
        <v>10</v>
      </c>
      <c r="E206" s="30" t="s">
        <v>298</v>
      </c>
      <c r="F206" s="11"/>
      <c r="G206" s="30" t="s">
        <v>94</v>
      </c>
      <c r="H206" s="30" t="s">
        <v>390</v>
      </c>
      <c r="I206" s="21" t="s">
        <v>68</v>
      </c>
      <c r="J206" s="30" t="s">
        <v>728</v>
      </c>
      <c r="K206" s="21" t="s">
        <v>94</v>
      </c>
      <c r="L206" s="35">
        <v>0</v>
      </c>
      <c r="M206" s="19">
        <v>34.270000000000003</v>
      </c>
      <c r="N206" s="42">
        <v>44706</v>
      </c>
      <c r="O206" s="30" t="s">
        <v>114</v>
      </c>
    </row>
    <row r="207" spans="2:15" s="30" customFormat="1" ht="30" x14ac:dyDescent="0.25">
      <c r="B207" s="30" t="s">
        <v>168</v>
      </c>
      <c r="C207" s="30" t="s">
        <v>6</v>
      </c>
      <c r="D207" s="30" t="s">
        <v>10</v>
      </c>
      <c r="E207" s="30" t="s">
        <v>298</v>
      </c>
      <c r="F207" s="11"/>
      <c r="G207" s="30" t="s">
        <v>94</v>
      </c>
      <c r="H207" s="30" t="s">
        <v>394</v>
      </c>
      <c r="I207" s="21" t="s">
        <v>68</v>
      </c>
      <c r="J207" s="30" t="s">
        <v>725</v>
      </c>
      <c r="K207" s="21" t="s">
        <v>94</v>
      </c>
      <c r="L207" s="35">
        <v>0</v>
      </c>
      <c r="M207" s="19">
        <v>309.87</v>
      </c>
      <c r="N207" s="42">
        <v>44706</v>
      </c>
      <c r="O207" s="30" t="s">
        <v>114</v>
      </c>
    </row>
    <row r="208" spans="2:15" s="30" customFormat="1" ht="30" x14ac:dyDescent="0.25">
      <c r="B208" s="30" t="s">
        <v>168</v>
      </c>
      <c r="C208" s="30" t="s">
        <v>6</v>
      </c>
      <c r="D208" s="30" t="s">
        <v>10</v>
      </c>
      <c r="E208" s="30" t="s">
        <v>298</v>
      </c>
      <c r="F208" s="11"/>
      <c r="G208" s="30" t="s">
        <v>94</v>
      </c>
      <c r="H208" s="30" t="s">
        <v>391</v>
      </c>
      <c r="I208" s="21" t="s">
        <v>68</v>
      </c>
      <c r="J208" s="30" t="s">
        <v>729</v>
      </c>
      <c r="K208" s="21" t="s">
        <v>94</v>
      </c>
      <c r="L208" s="35">
        <v>0</v>
      </c>
      <c r="M208" s="19">
        <v>227.17</v>
      </c>
      <c r="N208" s="42">
        <v>44706</v>
      </c>
      <c r="O208" s="30" t="s">
        <v>114</v>
      </c>
    </row>
    <row r="209" spans="2:15" s="30" customFormat="1" ht="30" x14ac:dyDescent="0.25">
      <c r="B209" s="30" t="s">
        <v>168</v>
      </c>
      <c r="C209" s="30" t="s">
        <v>6</v>
      </c>
      <c r="D209" s="30" t="s">
        <v>10</v>
      </c>
      <c r="E209" s="30" t="s">
        <v>298</v>
      </c>
      <c r="F209" s="11"/>
      <c r="G209" s="30" t="s">
        <v>94</v>
      </c>
      <c r="H209" s="30" t="s">
        <v>394</v>
      </c>
      <c r="I209" s="21" t="s">
        <v>68</v>
      </c>
      <c r="J209" s="30" t="s">
        <v>725</v>
      </c>
      <c r="K209" s="21" t="s">
        <v>94</v>
      </c>
      <c r="L209" s="35">
        <v>0</v>
      </c>
      <c r="M209" s="19">
        <v>231.32</v>
      </c>
      <c r="N209" s="42">
        <v>44706</v>
      </c>
      <c r="O209" s="30" t="s">
        <v>114</v>
      </c>
    </row>
    <row r="210" spans="2:15" s="30" customFormat="1" ht="30" x14ac:dyDescent="0.25">
      <c r="B210" s="30" t="s">
        <v>168</v>
      </c>
      <c r="C210" s="30" t="s">
        <v>6</v>
      </c>
      <c r="D210" s="30" t="s">
        <v>10</v>
      </c>
      <c r="E210" s="30" t="s">
        <v>298</v>
      </c>
      <c r="F210" s="11"/>
      <c r="G210" s="30" t="s">
        <v>94</v>
      </c>
      <c r="H210" s="30" t="s">
        <v>394</v>
      </c>
      <c r="I210" s="21" t="s">
        <v>68</v>
      </c>
      <c r="J210" s="30" t="s">
        <v>730</v>
      </c>
      <c r="K210" s="21" t="s">
        <v>94</v>
      </c>
      <c r="L210" s="35">
        <v>0</v>
      </c>
      <c r="M210" s="19">
        <v>19.73</v>
      </c>
      <c r="N210" s="42">
        <v>44706</v>
      </c>
      <c r="O210" s="30" t="s">
        <v>114</v>
      </c>
    </row>
    <row r="211" spans="2:15" s="30" customFormat="1" ht="30" x14ac:dyDescent="0.25">
      <c r="B211" s="30" t="s">
        <v>168</v>
      </c>
      <c r="C211" s="30" t="s">
        <v>6</v>
      </c>
      <c r="D211" s="30" t="s">
        <v>10</v>
      </c>
      <c r="E211" s="30" t="s">
        <v>298</v>
      </c>
      <c r="F211" s="11"/>
      <c r="G211" s="30" t="s">
        <v>94</v>
      </c>
      <c r="H211" s="30" t="s">
        <v>390</v>
      </c>
      <c r="I211" s="21" t="s">
        <v>68</v>
      </c>
      <c r="J211" s="30" t="s">
        <v>731</v>
      </c>
      <c r="K211" s="21" t="s">
        <v>94</v>
      </c>
      <c r="L211" s="35">
        <v>0</v>
      </c>
      <c r="M211" s="19">
        <v>9.89</v>
      </c>
      <c r="N211" s="42">
        <v>44706</v>
      </c>
      <c r="O211" s="30" t="s">
        <v>114</v>
      </c>
    </row>
    <row r="212" spans="2:15" s="30" customFormat="1" ht="30" x14ac:dyDescent="0.25">
      <c r="B212" s="30" t="s">
        <v>168</v>
      </c>
      <c r="C212" s="30" t="s">
        <v>6</v>
      </c>
      <c r="D212" s="30" t="s">
        <v>10</v>
      </c>
      <c r="E212" s="30" t="s">
        <v>298</v>
      </c>
      <c r="F212" s="11"/>
      <c r="G212" s="30" t="s">
        <v>94</v>
      </c>
      <c r="H212" s="30" t="s">
        <v>389</v>
      </c>
      <c r="I212" s="21" t="s">
        <v>68</v>
      </c>
      <c r="J212" s="30" t="s">
        <v>732</v>
      </c>
      <c r="K212" s="21" t="s">
        <v>94</v>
      </c>
      <c r="L212" s="35">
        <v>0</v>
      </c>
      <c r="M212" s="19">
        <f>2.33*2</f>
        <v>4.66</v>
      </c>
      <c r="N212" s="42">
        <v>44706</v>
      </c>
      <c r="O212" s="30" t="s">
        <v>114</v>
      </c>
    </row>
    <row r="213" spans="2:15" s="30" customFormat="1" ht="30" x14ac:dyDescent="0.25">
      <c r="B213" s="30" t="s">
        <v>168</v>
      </c>
      <c r="C213" s="30" t="s">
        <v>6</v>
      </c>
      <c r="D213" s="30" t="s">
        <v>10</v>
      </c>
      <c r="E213" s="30" t="s">
        <v>298</v>
      </c>
      <c r="F213" s="11"/>
      <c r="G213" s="30" t="s">
        <v>94</v>
      </c>
      <c r="H213" s="30" t="s">
        <v>389</v>
      </c>
      <c r="I213" s="21" t="s">
        <v>68</v>
      </c>
      <c r="J213" s="30" t="s">
        <v>733</v>
      </c>
      <c r="K213" s="21" t="s">
        <v>94</v>
      </c>
      <c r="L213" s="35">
        <v>0</v>
      </c>
      <c r="M213" s="19">
        <f>2.38*2</f>
        <v>4.76</v>
      </c>
      <c r="N213" s="42">
        <v>44706</v>
      </c>
      <c r="O213" s="30" t="s">
        <v>114</v>
      </c>
    </row>
    <row r="214" spans="2:15" s="30" customFormat="1" ht="30" x14ac:dyDescent="0.25">
      <c r="B214" s="30" t="s">
        <v>168</v>
      </c>
      <c r="C214" s="30" t="s">
        <v>6</v>
      </c>
      <c r="D214" s="30" t="s">
        <v>10</v>
      </c>
      <c r="E214" s="30" t="s">
        <v>298</v>
      </c>
      <c r="F214" s="11"/>
      <c r="G214" s="30" t="s">
        <v>94</v>
      </c>
      <c r="H214" s="30" t="s">
        <v>389</v>
      </c>
      <c r="I214" s="21" t="s">
        <v>68</v>
      </c>
      <c r="J214" s="30" t="s">
        <v>734</v>
      </c>
      <c r="K214" s="21" t="s">
        <v>94</v>
      </c>
      <c r="L214" s="35">
        <v>0</v>
      </c>
      <c r="M214" s="19">
        <f>35.84*2</f>
        <v>71.680000000000007</v>
      </c>
      <c r="N214" s="42">
        <v>44706</v>
      </c>
      <c r="O214" s="30" t="s">
        <v>114</v>
      </c>
    </row>
    <row r="215" spans="2:15" s="30" customFormat="1" ht="30" x14ac:dyDescent="0.25">
      <c r="B215" s="30" t="s">
        <v>168</v>
      </c>
      <c r="C215" s="30" t="s">
        <v>6</v>
      </c>
      <c r="D215" s="30" t="s">
        <v>10</v>
      </c>
      <c r="E215" s="30" t="s">
        <v>298</v>
      </c>
      <c r="F215" s="11"/>
      <c r="G215" s="30" t="s">
        <v>94</v>
      </c>
      <c r="H215" s="30" t="s">
        <v>398</v>
      </c>
      <c r="I215" s="21" t="s">
        <v>68</v>
      </c>
      <c r="J215" s="30" t="s">
        <v>845</v>
      </c>
      <c r="K215" s="21" t="s">
        <v>94</v>
      </c>
      <c r="L215" s="35">
        <v>0</v>
      </c>
      <c r="M215" s="19">
        <v>14.48</v>
      </c>
      <c r="N215" s="42">
        <v>44706</v>
      </c>
      <c r="O215" s="30" t="s">
        <v>114</v>
      </c>
    </row>
    <row r="216" spans="2:15" s="30" customFormat="1" ht="30" x14ac:dyDescent="0.25">
      <c r="B216" s="30" t="s">
        <v>168</v>
      </c>
      <c r="C216" s="30" t="s">
        <v>6</v>
      </c>
      <c r="D216" s="30" t="s">
        <v>10</v>
      </c>
      <c r="E216" s="30" t="s">
        <v>298</v>
      </c>
      <c r="F216" s="11"/>
      <c r="G216" s="30" t="s">
        <v>94</v>
      </c>
      <c r="H216" s="30" t="s">
        <v>394</v>
      </c>
      <c r="I216" s="21" t="s">
        <v>68</v>
      </c>
      <c r="J216" s="30" t="s">
        <v>735</v>
      </c>
      <c r="K216" s="21" t="s">
        <v>94</v>
      </c>
      <c r="L216" s="35">
        <v>0</v>
      </c>
      <c r="M216" s="19">
        <v>13.86</v>
      </c>
      <c r="N216" s="42">
        <v>44706</v>
      </c>
      <c r="O216" s="30" t="s">
        <v>114</v>
      </c>
    </row>
    <row r="217" spans="2:15" s="30" customFormat="1" ht="30" x14ac:dyDescent="0.25">
      <c r="B217" s="30" t="s">
        <v>170</v>
      </c>
      <c r="C217" s="30" t="s">
        <v>6</v>
      </c>
      <c r="D217" s="30" t="s">
        <v>10</v>
      </c>
      <c r="E217" s="30" t="s">
        <v>298</v>
      </c>
      <c r="F217" s="11"/>
      <c r="G217" s="30" t="s">
        <v>94</v>
      </c>
      <c r="H217" s="30" t="s">
        <v>394</v>
      </c>
      <c r="I217" s="21" t="s">
        <v>68</v>
      </c>
      <c r="J217" s="30" t="s">
        <v>725</v>
      </c>
      <c r="K217" s="21" t="s">
        <v>94</v>
      </c>
      <c r="L217" s="35">
        <v>0</v>
      </c>
      <c r="M217" s="19">
        <v>258.43</v>
      </c>
      <c r="N217" s="42">
        <v>44706</v>
      </c>
      <c r="O217" s="30" t="s">
        <v>114</v>
      </c>
    </row>
    <row r="218" spans="2:15" s="30" customFormat="1" ht="30" x14ac:dyDescent="0.25">
      <c r="B218" s="30" t="s">
        <v>168</v>
      </c>
      <c r="C218" s="30" t="s">
        <v>6</v>
      </c>
      <c r="D218" s="30" t="s">
        <v>10</v>
      </c>
      <c r="E218" s="30" t="s">
        <v>298</v>
      </c>
      <c r="F218" s="11"/>
      <c r="G218" s="30" t="s">
        <v>94</v>
      </c>
      <c r="H218" s="30" t="s">
        <v>24</v>
      </c>
      <c r="I218" s="21" t="s">
        <v>68</v>
      </c>
      <c r="J218" s="30" t="s">
        <v>864</v>
      </c>
      <c r="K218" s="21" t="s">
        <v>94</v>
      </c>
      <c r="L218" s="35">
        <v>0</v>
      </c>
      <c r="M218" s="19">
        <v>739.18</v>
      </c>
      <c r="N218" s="42">
        <v>44706</v>
      </c>
      <c r="O218" s="30" t="s">
        <v>114</v>
      </c>
    </row>
    <row r="219" spans="2:15" s="30" customFormat="1" ht="30" x14ac:dyDescent="0.25">
      <c r="B219" s="30" t="s">
        <v>168</v>
      </c>
      <c r="C219" s="30" t="s">
        <v>6</v>
      </c>
      <c r="D219" s="30" t="s">
        <v>10</v>
      </c>
      <c r="E219" s="30" t="s">
        <v>298</v>
      </c>
      <c r="F219" s="11"/>
      <c r="G219" s="30" t="s">
        <v>94</v>
      </c>
      <c r="H219" s="30" t="s">
        <v>399</v>
      </c>
      <c r="I219" s="21" t="s">
        <v>68</v>
      </c>
      <c r="J219" s="30" t="s">
        <v>736</v>
      </c>
      <c r="K219" s="21" t="s">
        <v>94</v>
      </c>
      <c r="L219" s="35">
        <v>0</v>
      </c>
      <c r="M219" s="19">
        <v>32.64</v>
      </c>
      <c r="N219" s="42">
        <v>44706</v>
      </c>
      <c r="O219" s="30" t="s">
        <v>114</v>
      </c>
    </row>
    <row r="220" spans="2:15" s="30" customFormat="1" ht="30" x14ac:dyDescent="0.25">
      <c r="B220" s="30" t="s">
        <v>168</v>
      </c>
      <c r="C220" s="30" t="s">
        <v>6</v>
      </c>
      <c r="D220" s="30" t="s">
        <v>10</v>
      </c>
      <c r="E220" s="30" t="s">
        <v>298</v>
      </c>
      <c r="F220" s="11"/>
      <c r="G220" s="30" t="s">
        <v>94</v>
      </c>
      <c r="H220" s="30" t="s">
        <v>399</v>
      </c>
      <c r="I220" s="21" t="s">
        <v>68</v>
      </c>
      <c r="J220" s="30" t="s">
        <v>736</v>
      </c>
      <c r="K220" s="21" t="s">
        <v>94</v>
      </c>
      <c r="L220" s="35">
        <v>0</v>
      </c>
      <c r="M220" s="19">
        <v>32.64</v>
      </c>
      <c r="N220" s="42">
        <v>44706</v>
      </c>
      <c r="O220" s="30" t="s">
        <v>114</v>
      </c>
    </row>
    <row r="221" spans="2:15" s="30" customFormat="1" ht="30" x14ac:dyDescent="0.25">
      <c r="B221" s="30" t="s">
        <v>168</v>
      </c>
      <c r="C221" s="30" t="s">
        <v>6</v>
      </c>
      <c r="D221" s="30" t="s">
        <v>10</v>
      </c>
      <c r="E221" s="30" t="s">
        <v>298</v>
      </c>
      <c r="F221" s="11"/>
      <c r="G221" s="30" t="s">
        <v>94</v>
      </c>
      <c r="H221" s="30" t="s">
        <v>399</v>
      </c>
      <c r="I221" s="21" t="s">
        <v>68</v>
      </c>
      <c r="J221" s="30" t="s">
        <v>737</v>
      </c>
      <c r="K221" s="21" t="s">
        <v>94</v>
      </c>
      <c r="L221" s="35">
        <v>0</v>
      </c>
      <c r="M221" s="19">
        <v>36</v>
      </c>
      <c r="N221" s="42">
        <v>44706</v>
      </c>
      <c r="O221" s="30" t="s">
        <v>114</v>
      </c>
    </row>
    <row r="222" spans="2:15" s="30" customFormat="1" ht="30" x14ac:dyDescent="0.25">
      <c r="B222" s="30" t="s">
        <v>168</v>
      </c>
      <c r="C222" s="30" t="s">
        <v>6</v>
      </c>
      <c r="D222" s="30" t="s">
        <v>10</v>
      </c>
      <c r="E222" s="30" t="s">
        <v>298</v>
      </c>
      <c r="F222" s="11"/>
      <c r="G222" s="30" t="s">
        <v>94</v>
      </c>
      <c r="H222" s="30" t="s">
        <v>399</v>
      </c>
      <c r="I222" s="21" t="s">
        <v>68</v>
      </c>
      <c r="J222" s="30" t="s">
        <v>737</v>
      </c>
      <c r="K222" s="21" t="s">
        <v>94</v>
      </c>
      <c r="L222" s="35">
        <v>0</v>
      </c>
      <c r="M222" s="19">
        <v>36</v>
      </c>
      <c r="N222" s="42">
        <v>44706</v>
      </c>
      <c r="O222" s="30" t="s">
        <v>114</v>
      </c>
    </row>
    <row r="223" spans="2:15" s="30" customFormat="1" ht="30" x14ac:dyDescent="0.25">
      <c r="B223" s="30" t="s">
        <v>168</v>
      </c>
      <c r="C223" s="30" t="s">
        <v>6</v>
      </c>
      <c r="D223" s="30" t="s">
        <v>10</v>
      </c>
      <c r="E223" s="30" t="s">
        <v>298</v>
      </c>
      <c r="F223" s="11"/>
      <c r="G223" s="30" t="s">
        <v>94</v>
      </c>
      <c r="H223" s="30" t="s">
        <v>389</v>
      </c>
      <c r="I223" s="21" t="s">
        <v>68</v>
      </c>
      <c r="J223" s="30" t="s">
        <v>738</v>
      </c>
      <c r="K223" s="21" t="s">
        <v>94</v>
      </c>
      <c r="L223" s="35">
        <v>0</v>
      </c>
      <c r="M223" s="19">
        <v>3.81</v>
      </c>
      <c r="N223" s="42">
        <v>44706</v>
      </c>
      <c r="O223" s="30" t="s">
        <v>114</v>
      </c>
    </row>
    <row r="224" spans="2:15" s="30" customFormat="1" ht="30" x14ac:dyDescent="0.25">
      <c r="B224" s="30" t="s">
        <v>168</v>
      </c>
      <c r="C224" s="30" t="s">
        <v>6</v>
      </c>
      <c r="D224" s="30" t="s">
        <v>10</v>
      </c>
      <c r="E224" s="30" t="s">
        <v>298</v>
      </c>
      <c r="F224" s="11"/>
      <c r="G224" s="30" t="s">
        <v>94</v>
      </c>
      <c r="H224" s="30" t="s">
        <v>389</v>
      </c>
      <c r="I224" s="21" t="s">
        <v>68</v>
      </c>
      <c r="J224" s="30" t="s">
        <v>738</v>
      </c>
      <c r="K224" s="21" t="s">
        <v>94</v>
      </c>
      <c r="L224" s="35">
        <v>0</v>
      </c>
      <c r="M224" s="19">
        <v>3.81</v>
      </c>
      <c r="N224" s="42">
        <v>44706</v>
      </c>
      <c r="O224" s="30" t="s">
        <v>114</v>
      </c>
    </row>
    <row r="225" spans="2:15" s="30" customFormat="1" ht="30" x14ac:dyDescent="0.25">
      <c r="B225" s="30" t="s">
        <v>168</v>
      </c>
      <c r="C225" s="30" t="s">
        <v>6</v>
      </c>
      <c r="D225" s="30" t="s">
        <v>10</v>
      </c>
      <c r="E225" s="30" t="s">
        <v>298</v>
      </c>
      <c r="F225" s="11"/>
      <c r="G225" s="30" t="s">
        <v>94</v>
      </c>
      <c r="H225" s="30" t="s">
        <v>389</v>
      </c>
      <c r="I225" s="21" t="s">
        <v>68</v>
      </c>
      <c r="J225" s="30" t="s">
        <v>739</v>
      </c>
      <c r="K225" s="21" t="s">
        <v>94</v>
      </c>
      <c r="L225" s="35">
        <v>0</v>
      </c>
      <c r="M225" s="19">
        <v>4.21</v>
      </c>
      <c r="N225" s="42">
        <v>44706</v>
      </c>
      <c r="O225" s="30" t="s">
        <v>114</v>
      </c>
    </row>
    <row r="226" spans="2:15" s="30" customFormat="1" ht="30" x14ac:dyDescent="0.25">
      <c r="B226" s="30" t="s">
        <v>168</v>
      </c>
      <c r="C226" s="30" t="s">
        <v>6</v>
      </c>
      <c r="D226" s="30" t="s">
        <v>10</v>
      </c>
      <c r="E226" s="30" t="s">
        <v>298</v>
      </c>
      <c r="F226" s="11"/>
      <c r="G226" s="30" t="s">
        <v>94</v>
      </c>
      <c r="H226" s="30" t="s">
        <v>399</v>
      </c>
      <c r="I226" s="21" t="s">
        <v>68</v>
      </c>
      <c r="J226" s="30" t="s">
        <v>718</v>
      </c>
      <c r="K226" s="21" t="s">
        <v>94</v>
      </c>
      <c r="L226" s="35">
        <v>0</v>
      </c>
      <c r="M226" s="19">
        <v>8.1</v>
      </c>
      <c r="N226" s="42">
        <v>44706</v>
      </c>
      <c r="O226" s="30" t="s">
        <v>114</v>
      </c>
    </row>
    <row r="227" spans="2:15" s="30" customFormat="1" ht="30" x14ac:dyDescent="0.25">
      <c r="B227" s="30" t="s">
        <v>168</v>
      </c>
      <c r="C227" s="30" t="s">
        <v>6</v>
      </c>
      <c r="D227" s="30" t="s">
        <v>10</v>
      </c>
      <c r="E227" s="30" t="s">
        <v>298</v>
      </c>
      <c r="F227" s="11"/>
      <c r="G227" s="30" t="s">
        <v>94</v>
      </c>
      <c r="H227" s="30" t="s">
        <v>399</v>
      </c>
      <c r="I227" s="21" t="s">
        <v>68</v>
      </c>
      <c r="J227" s="30" t="s">
        <v>740</v>
      </c>
      <c r="K227" s="21" t="s">
        <v>94</v>
      </c>
      <c r="L227" s="35">
        <v>0</v>
      </c>
      <c r="M227" s="19">
        <v>12.3</v>
      </c>
      <c r="N227" s="42">
        <v>44706</v>
      </c>
      <c r="O227" s="30" t="s">
        <v>114</v>
      </c>
    </row>
    <row r="228" spans="2:15" s="30" customFormat="1" ht="30" x14ac:dyDescent="0.25">
      <c r="B228" s="30" t="s">
        <v>168</v>
      </c>
      <c r="C228" s="30" t="s">
        <v>6</v>
      </c>
      <c r="D228" s="30" t="s">
        <v>10</v>
      </c>
      <c r="E228" s="30" t="s">
        <v>298</v>
      </c>
      <c r="F228" s="11"/>
      <c r="G228" s="30" t="s">
        <v>94</v>
      </c>
      <c r="H228" s="30" t="s">
        <v>389</v>
      </c>
      <c r="I228" s="21" t="s">
        <v>68</v>
      </c>
      <c r="J228" s="30" t="s">
        <v>741</v>
      </c>
      <c r="K228" s="21" t="s">
        <v>94</v>
      </c>
      <c r="L228" s="35">
        <v>0</v>
      </c>
      <c r="M228" s="19">
        <v>11</v>
      </c>
      <c r="N228" s="42">
        <v>44706</v>
      </c>
      <c r="O228" s="30" t="s">
        <v>114</v>
      </c>
    </row>
    <row r="229" spans="2:15" s="30" customFormat="1" ht="30" x14ac:dyDescent="0.25">
      <c r="B229" s="30" t="s">
        <v>168</v>
      </c>
      <c r="C229" s="30" t="s">
        <v>6</v>
      </c>
      <c r="D229" s="30" t="s">
        <v>10</v>
      </c>
      <c r="E229" s="30" t="s">
        <v>298</v>
      </c>
      <c r="F229" s="11"/>
      <c r="G229" s="30" t="s">
        <v>94</v>
      </c>
      <c r="H229" s="30" t="s">
        <v>389</v>
      </c>
      <c r="I229" s="21" t="s">
        <v>68</v>
      </c>
      <c r="J229" s="30" t="s">
        <v>742</v>
      </c>
      <c r="K229" s="21" t="s">
        <v>94</v>
      </c>
      <c r="L229" s="35">
        <v>0</v>
      </c>
      <c r="M229" s="19">
        <v>19.68</v>
      </c>
      <c r="N229" s="42">
        <v>44706</v>
      </c>
      <c r="O229" s="30" t="s">
        <v>114</v>
      </c>
    </row>
    <row r="230" spans="2:15" s="30" customFormat="1" ht="30" x14ac:dyDescent="0.25">
      <c r="B230" s="30" t="s">
        <v>168</v>
      </c>
      <c r="C230" s="30" t="s">
        <v>6</v>
      </c>
      <c r="D230" s="30" t="s">
        <v>10</v>
      </c>
      <c r="E230" s="30" t="s">
        <v>298</v>
      </c>
      <c r="F230" s="11"/>
      <c r="G230" s="30" t="s">
        <v>94</v>
      </c>
      <c r="H230" s="30" t="s">
        <v>390</v>
      </c>
      <c r="I230" s="21" t="s">
        <v>68</v>
      </c>
      <c r="J230" s="30" t="s">
        <v>743</v>
      </c>
      <c r="K230" s="21" t="s">
        <v>94</v>
      </c>
      <c r="L230" s="35">
        <v>0</v>
      </c>
      <c r="M230" s="19">
        <v>8.73</v>
      </c>
      <c r="N230" s="42">
        <v>44706</v>
      </c>
      <c r="O230" s="30" t="s">
        <v>114</v>
      </c>
    </row>
    <row r="231" spans="2:15" s="30" customFormat="1" ht="30" x14ac:dyDescent="0.25">
      <c r="B231" s="30" t="s">
        <v>168</v>
      </c>
      <c r="C231" s="30" t="s">
        <v>6</v>
      </c>
      <c r="D231" s="30" t="s">
        <v>10</v>
      </c>
      <c r="E231" s="30" t="s">
        <v>298</v>
      </c>
      <c r="F231" s="11"/>
      <c r="G231" s="30" t="s">
        <v>94</v>
      </c>
      <c r="H231" s="30" t="s">
        <v>389</v>
      </c>
      <c r="I231" s="21" t="s">
        <v>68</v>
      </c>
      <c r="J231" s="30" t="s">
        <v>686</v>
      </c>
      <c r="K231" s="21" t="s">
        <v>94</v>
      </c>
      <c r="L231" s="35">
        <v>0</v>
      </c>
      <c r="M231" s="19">
        <v>12.19</v>
      </c>
      <c r="N231" s="42">
        <v>44706</v>
      </c>
      <c r="O231" s="30" t="s">
        <v>114</v>
      </c>
    </row>
    <row r="232" spans="2:15" s="30" customFormat="1" ht="30" x14ac:dyDescent="0.25">
      <c r="B232" s="30" t="s">
        <v>168</v>
      </c>
      <c r="C232" s="30" t="s">
        <v>6</v>
      </c>
      <c r="D232" s="30" t="s">
        <v>10</v>
      </c>
      <c r="E232" s="30" t="s">
        <v>298</v>
      </c>
      <c r="F232" s="11"/>
      <c r="G232" s="30" t="s">
        <v>94</v>
      </c>
      <c r="H232" s="30" t="s">
        <v>389</v>
      </c>
      <c r="I232" s="21" t="s">
        <v>68</v>
      </c>
      <c r="J232" s="30" t="s">
        <v>744</v>
      </c>
      <c r="K232" s="21" t="s">
        <v>94</v>
      </c>
      <c r="L232" s="35">
        <v>0</v>
      </c>
      <c r="M232" s="19">
        <v>13.04</v>
      </c>
      <c r="N232" s="42">
        <v>44706</v>
      </c>
      <c r="O232" s="30" t="s">
        <v>114</v>
      </c>
    </row>
    <row r="233" spans="2:15" s="30" customFormat="1" ht="30" x14ac:dyDescent="0.25">
      <c r="B233" s="30" t="s">
        <v>168</v>
      </c>
      <c r="C233" s="30" t="s">
        <v>6</v>
      </c>
      <c r="D233" s="30" t="s">
        <v>10</v>
      </c>
      <c r="E233" s="30" t="s">
        <v>298</v>
      </c>
      <c r="F233" s="11"/>
      <c r="G233" s="30" t="s">
        <v>94</v>
      </c>
      <c r="H233" s="30" t="s">
        <v>394</v>
      </c>
      <c r="I233" s="21" t="s">
        <v>68</v>
      </c>
      <c r="J233" s="30" t="s">
        <v>745</v>
      </c>
      <c r="K233" s="21" t="s">
        <v>94</v>
      </c>
      <c r="L233" s="35">
        <v>0</v>
      </c>
      <c r="M233" s="19">
        <v>62.92</v>
      </c>
      <c r="N233" s="42">
        <v>44706</v>
      </c>
      <c r="O233" s="30" t="s">
        <v>114</v>
      </c>
    </row>
    <row r="234" spans="2:15" s="30" customFormat="1" ht="30" x14ac:dyDescent="0.25">
      <c r="B234" s="30" t="s">
        <v>168</v>
      </c>
      <c r="C234" s="30" t="s">
        <v>6</v>
      </c>
      <c r="D234" s="30" t="s">
        <v>10</v>
      </c>
      <c r="E234" s="30" t="s">
        <v>298</v>
      </c>
      <c r="F234" s="11"/>
      <c r="G234" s="30" t="s">
        <v>94</v>
      </c>
      <c r="H234" s="30" t="s">
        <v>394</v>
      </c>
      <c r="I234" s="21" t="s">
        <v>68</v>
      </c>
      <c r="J234" s="30" t="s">
        <v>680</v>
      </c>
      <c r="K234" s="21" t="s">
        <v>94</v>
      </c>
      <c r="L234" s="35">
        <v>0</v>
      </c>
      <c r="M234" s="19">
        <v>131.97999999999999</v>
      </c>
      <c r="N234" s="42">
        <v>44706</v>
      </c>
      <c r="O234" s="30" t="s">
        <v>114</v>
      </c>
    </row>
    <row r="235" spans="2:15" s="30" customFormat="1" ht="30" x14ac:dyDescent="0.25">
      <c r="B235" s="30" t="s">
        <v>168</v>
      </c>
      <c r="C235" s="30" t="s">
        <v>6</v>
      </c>
      <c r="D235" s="30" t="s">
        <v>10</v>
      </c>
      <c r="E235" s="30" t="s">
        <v>298</v>
      </c>
      <c r="F235" s="11"/>
      <c r="G235" s="30" t="s">
        <v>94</v>
      </c>
      <c r="H235" s="30" t="s">
        <v>391</v>
      </c>
      <c r="I235" s="21" t="s">
        <v>68</v>
      </c>
      <c r="J235" s="30" t="s">
        <v>729</v>
      </c>
      <c r="K235" s="21" t="s">
        <v>94</v>
      </c>
      <c r="L235" s="35">
        <v>0</v>
      </c>
      <c r="M235" s="19">
        <v>90.94</v>
      </c>
      <c r="N235" s="42">
        <v>44706</v>
      </c>
      <c r="O235" s="30" t="s">
        <v>114</v>
      </c>
    </row>
    <row r="236" spans="2:15" s="30" customFormat="1" ht="30" x14ac:dyDescent="0.25">
      <c r="B236" s="30" t="s">
        <v>168</v>
      </c>
      <c r="C236" s="30" t="s">
        <v>6</v>
      </c>
      <c r="D236" s="30" t="s">
        <v>10</v>
      </c>
      <c r="E236" s="30" t="s">
        <v>298</v>
      </c>
      <c r="F236" s="11"/>
      <c r="G236" s="30" t="s">
        <v>94</v>
      </c>
      <c r="H236" s="30" t="s">
        <v>23</v>
      </c>
      <c r="I236" s="21" t="s">
        <v>68</v>
      </c>
      <c r="J236" s="30" t="s">
        <v>746</v>
      </c>
      <c r="K236" s="21" t="s">
        <v>94</v>
      </c>
      <c r="L236" s="35">
        <v>0</v>
      </c>
      <c r="M236" s="19">
        <v>12.08</v>
      </c>
      <c r="N236" s="42">
        <v>44706</v>
      </c>
      <c r="O236" s="30" t="s">
        <v>114</v>
      </c>
    </row>
    <row r="237" spans="2:15" s="30" customFormat="1" ht="30" x14ac:dyDescent="0.25">
      <c r="B237" s="30" t="s">
        <v>168</v>
      </c>
      <c r="C237" s="30" t="s">
        <v>6</v>
      </c>
      <c r="D237" s="30" t="s">
        <v>10</v>
      </c>
      <c r="E237" s="30" t="s">
        <v>298</v>
      </c>
      <c r="F237" s="11"/>
      <c r="G237" s="30" t="s">
        <v>94</v>
      </c>
      <c r="H237" s="30" t="s">
        <v>389</v>
      </c>
      <c r="I237" s="21" t="s">
        <v>68</v>
      </c>
      <c r="J237" s="30" t="s">
        <v>724</v>
      </c>
      <c r="K237" s="21" t="s">
        <v>94</v>
      </c>
      <c r="L237" s="35">
        <v>0</v>
      </c>
      <c r="M237" s="19">
        <v>15.02</v>
      </c>
      <c r="N237" s="42">
        <v>44706</v>
      </c>
      <c r="O237" s="30" t="s">
        <v>114</v>
      </c>
    </row>
    <row r="238" spans="2:15" s="30" customFormat="1" ht="30" x14ac:dyDescent="0.25">
      <c r="B238" s="30" t="s">
        <v>168</v>
      </c>
      <c r="C238" s="30" t="s">
        <v>6</v>
      </c>
      <c r="D238" s="30" t="s">
        <v>10</v>
      </c>
      <c r="E238" s="30" t="s">
        <v>298</v>
      </c>
      <c r="F238" s="11"/>
      <c r="G238" s="30" t="s">
        <v>94</v>
      </c>
      <c r="H238" s="30" t="s">
        <v>389</v>
      </c>
      <c r="I238" s="21" t="s">
        <v>68</v>
      </c>
      <c r="J238" s="30" t="s">
        <v>724</v>
      </c>
      <c r="K238" s="21" t="s">
        <v>94</v>
      </c>
      <c r="L238" s="35">
        <v>0</v>
      </c>
      <c r="M238" s="19">
        <v>15.02</v>
      </c>
      <c r="N238" s="42">
        <v>44706</v>
      </c>
      <c r="O238" s="30" t="s">
        <v>114</v>
      </c>
    </row>
    <row r="239" spans="2:15" s="30" customFormat="1" ht="30" x14ac:dyDescent="0.25">
      <c r="B239" s="30" t="s">
        <v>168</v>
      </c>
      <c r="C239" s="30" t="s">
        <v>6</v>
      </c>
      <c r="D239" s="30" t="s">
        <v>10</v>
      </c>
      <c r="E239" s="30" t="s">
        <v>298</v>
      </c>
      <c r="F239" s="11"/>
      <c r="G239" s="30" t="s">
        <v>94</v>
      </c>
      <c r="H239" s="30" t="s">
        <v>399</v>
      </c>
      <c r="I239" s="21" t="s">
        <v>68</v>
      </c>
      <c r="J239" s="30" t="s">
        <v>747</v>
      </c>
      <c r="K239" s="21" t="s">
        <v>94</v>
      </c>
      <c r="L239" s="35">
        <v>0</v>
      </c>
      <c r="M239" s="19">
        <v>22.66</v>
      </c>
      <c r="N239" s="42">
        <v>44706</v>
      </c>
      <c r="O239" s="30" t="s">
        <v>114</v>
      </c>
    </row>
    <row r="240" spans="2:15" s="30" customFormat="1" ht="30" x14ac:dyDescent="0.25">
      <c r="B240" s="30" t="s">
        <v>168</v>
      </c>
      <c r="C240" s="30" t="s">
        <v>6</v>
      </c>
      <c r="D240" s="30" t="s">
        <v>10</v>
      </c>
      <c r="E240" s="30" t="s">
        <v>298</v>
      </c>
      <c r="F240" s="11"/>
      <c r="G240" s="30" t="s">
        <v>94</v>
      </c>
      <c r="H240" s="30" t="s">
        <v>399</v>
      </c>
      <c r="I240" s="21" t="s">
        <v>68</v>
      </c>
      <c r="J240" s="30" t="s">
        <v>747</v>
      </c>
      <c r="K240" s="21" t="s">
        <v>94</v>
      </c>
      <c r="L240" s="35">
        <v>0</v>
      </c>
      <c r="M240" s="19">
        <v>22.66</v>
      </c>
      <c r="N240" s="42">
        <v>44706</v>
      </c>
      <c r="O240" s="30" t="s">
        <v>114</v>
      </c>
    </row>
    <row r="241" spans="2:15" s="30" customFormat="1" ht="30" x14ac:dyDescent="0.25">
      <c r="B241" s="30" t="s">
        <v>168</v>
      </c>
      <c r="C241" s="30" t="s">
        <v>6</v>
      </c>
      <c r="D241" s="30" t="s">
        <v>10</v>
      </c>
      <c r="E241" s="30" t="s">
        <v>298</v>
      </c>
      <c r="F241" s="11"/>
      <c r="G241" s="30" t="s">
        <v>94</v>
      </c>
      <c r="H241" s="30" t="s">
        <v>389</v>
      </c>
      <c r="I241" s="21" t="s">
        <v>68</v>
      </c>
      <c r="J241" s="30" t="s">
        <v>707</v>
      </c>
      <c r="K241" s="21" t="s">
        <v>94</v>
      </c>
      <c r="L241" s="35">
        <v>0</v>
      </c>
      <c r="M241" s="19">
        <v>1.63</v>
      </c>
      <c r="N241" s="42">
        <v>44706</v>
      </c>
      <c r="O241" s="30" t="s">
        <v>114</v>
      </c>
    </row>
    <row r="242" spans="2:15" s="30" customFormat="1" ht="30" x14ac:dyDescent="0.25">
      <c r="B242" s="30" t="s">
        <v>168</v>
      </c>
      <c r="C242" s="30" t="s">
        <v>6</v>
      </c>
      <c r="D242" s="30" t="s">
        <v>10</v>
      </c>
      <c r="E242" s="30" t="s">
        <v>298</v>
      </c>
      <c r="F242" s="11"/>
      <c r="G242" s="30" t="s">
        <v>94</v>
      </c>
      <c r="H242" s="30" t="s">
        <v>389</v>
      </c>
      <c r="I242" s="21" t="s">
        <v>68</v>
      </c>
      <c r="J242" s="30" t="s">
        <v>707</v>
      </c>
      <c r="K242" s="21" t="s">
        <v>94</v>
      </c>
      <c r="L242" s="35">
        <v>0</v>
      </c>
      <c r="M242" s="19">
        <v>1.63</v>
      </c>
      <c r="N242" s="42">
        <v>44706</v>
      </c>
      <c r="O242" s="30" t="s">
        <v>114</v>
      </c>
    </row>
    <row r="243" spans="2:15" s="30" customFormat="1" ht="30" x14ac:dyDescent="0.25">
      <c r="B243" s="30" t="s">
        <v>168</v>
      </c>
      <c r="C243" s="30" t="s">
        <v>6</v>
      </c>
      <c r="D243" s="30" t="s">
        <v>10</v>
      </c>
      <c r="E243" s="30" t="s">
        <v>298</v>
      </c>
      <c r="F243" s="11"/>
      <c r="G243" s="30" t="s">
        <v>94</v>
      </c>
      <c r="H243" s="30" t="s">
        <v>394</v>
      </c>
      <c r="I243" s="21" t="s">
        <v>68</v>
      </c>
      <c r="J243" s="30" t="s">
        <v>680</v>
      </c>
      <c r="K243" s="21" t="s">
        <v>94</v>
      </c>
      <c r="L243" s="35">
        <v>0</v>
      </c>
      <c r="M243" s="19">
        <v>207.38</v>
      </c>
      <c r="N243" s="42">
        <v>44706</v>
      </c>
      <c r="O243" s="30" t="s">
        <v>114</v>
      </c>
    </row>
    <row r="244" spans="2:15" s="30" customFormat="1" ht="30" x14ac:dyDescent="0.25">
      <c r="B244" s="30" t="s">
        <v>168</v>
      </c>
      <c r="C244" s="30" t="s">
        <v>6</v>
      </c>
      <c r="D244" s="30" t="s">
        <v>10</v>
      </c>
      <c r="E244" s="30" t="s">
        <v>298</v>
      </c>
      <c r="F244" s="11"/>
      <c r="G244" s="30" t="s">
        <v>94</v>
      </c>
      <c r="H244" s="30" t="s">
        <v>391</v>
      </c>
      <c r="I244" s="21" t="s">
        <v>68</v>
      </c>
      <c r="J244" s="30" t="s">
        <v>729</v>
      </c>
      <c r="K244" s="21" t="s">
        <v>94</v>
      </c>
      <c r="L244" s="35">
        <v>0</v>
      </c>
      <c r="M244" s="19">
        <v>221.21</v>
      </c>
      <c r="N244" s="42">
        <v>44706</v>
      </c>
      <c r="O244" s="30" t="s">
        <v>114</v>
      </c>
    </row>
    <row r="245" spans="2:15" s="30" customFormat="1" ht="30" x14ac:dyDescent="0.25">
      <c r="B245" s="30" t="s">
        <v>168</v>
      </c>
      <c r="C245" s="30" t="s">
        <v>6</v>
      </c>
      <c r="D245" s="30" t="s">
        <v>10</v>
      </c>
      <c r="E245" s="30" t="s">
        <v>298</v>
      </c>
      <c r="F245" s="11"/>
      <c r="G245" s="30" t="s">
        <v>94</v>
      </c>
      <c r="H245" s="30" t="s">
        <v>394</v>
      </c>
      <c r="I245" s="21" t="s">
        <v>68</v>
      </c>
      <c r="J245" s="30" t="s">
        <v>680</v>
      </c>
      <c r="K245" s="21" t="s">
        <v>94</v>
      </c>
      <c r="L245" s="35">
        <v>0</v>
      </c>
      <c r="M245" s="19">
        <v>142.51</v>
      </c>
      <c r="N245" s="42">
        <v>44706</v>
      </c>
      <c r="O245" s="30" t="s">
        <v>114</v>
      </c>
    </row>
    <row r="246" spans="2:15" s="30" customFormat="1" ht="30" x14ac:dyDescent="0.25">
      <c r="B246" s="30" t="s">
        <v>168</v>
      </c>
      <c r="C246" s="30" t="s">
        <v>6</v>
      </c>
      <c r="D246" s="30" t="s">
        <v>10</v>
      </c>
      <c r="E246" s="30" t="s">
        <v>298</v>
      </c>
      <c r="F246" s="11"/>
      <c r="G246" s="30" t="s">
        <v>94</v>
      </c>
      <c r="H246" s="30" t="s">
        <v>390</v>
      </c>
      <c r="I246" s="21" t="s">
        <v>68</v>
      </c>
      <c r="J246" s="30" t="s">
        <v>748</v>
      </c>
      <c r="K246" s="21" t="s">
        <v>94</v>
      </c>
      <c r="L246" s="35">
        <v>0</v>
      </c>
      <c r="M246" s="19">
        <v>34.32</v>
      </c>
      <c r="N246" s="42">
        <v>44706</v>
      </c>
      <c r="O246" s="30" t="s">
        <v>114</v>
      </c>
    </row>
    <row r="247" spans="2:15" s="30" customFormat="1" ht="30" x14ac:dyDescent="0.25">
      <c r="B247" s="30" t="s">
        <v>168</v>
      </c>
      <c r="C247" s="30" t="s">
        <v>6</v>
      </c>
      <c r="D247" s="30" t="s">
        <v>10</v>
      </c>
      <c r="E247" s="30" t="s">
        <v>298</v>
      </c>
      <c r="F247" s="11"/>
      <c r="G247" s="30" t="s">
        <v>94</v>
      </c>
      <c r="H247" s="30" t="s">
        <v>390</v>
      </c>
      <c r="I247" s="21" t="s">
        <v>68</v>
      </c>
      <c r="J247" s="30" t="s">
        <v>749</v>
      </c>
      <c r="K247" s="21" t="s">
        <v>94</v>
      </c>
      <c r="L247" s="35">
        <v>0</v>
      </c>
      <c r="M247" s="19">
        <f>15.12*4.2</f>
        <v>63.503999999999998</v>
      </c>
      <c r="N247" s="42">
        <v>44706</v>
      </c>
      <c r="O247" s="30" t="s">
        <v>114</v>
      </c>
    </row>
    <row r="248" spans="2:15" s="30" customFormat="1" ht="30" x14ac:dyDescent="0.25">
      <c r="B248" s="30" t="s">
        <v>168</v>
      </c>
      <c r="C248" s="30" t="s">
        <v>6</v>
      </c>
      <c r="D248" s="30" t="s">
        <v>10</v>
      </c>
      <c r="E248" s="30" t="s">
        <v>298</v>
      </c>
      <c r="F248" s="11"/>
      <c r="G248" s="30" t="s">
        <v>94</v>
      </c>
      <c r="H248" s="30" t="s">
        <v>390</v>
      </c>
      <c r="I248" s="21" t="s">
        <v>68</v>
      </c>
      <c r="J248" s="30" t="s">
        <v>750</v>
      </c>
      <c r="K248" s="21" t="s">
        <v>94</v>
      </c>
      <c r="L248" s="35">
        <v>0</v>
      </c>
      <c r="M248" s="19">
        <f>13.14*3.5</f>
        <v>45.99</v>
      </c>
      <c r="N248" s="42">
        <v>44706</v>
      </c>
      <c r="O248" s="30" t="s">
        <v>114</v>
      </c>
    </row>
    <row r="249" spans="2:15" s="30" customFormat="1" ht="30" x14ac:dyDescent="0.25">
      <c r="B249" s="30" t="s">
        <v>168</v>
      </c>
      <c r="C249" s="30" t="s">
        <v>6</v>
      </c>
      <c r="D249" s="30" t="s">
        <v>10</v>
      </c>
      <c r="E249" s="30" t="s">
        <v>298</v>
      </c>
      <c r="F249" s="11"/>
      <c r="G249" s="30" t="s">
        <v>94</v>
      </c>
      <c r="H249" s="30" t="s">
        <v>390</v>
      </c>
      <c r="I249" s="21" t="s">
        <v>68</v>
      </c>
      <c r="J249" s="30" t="s">
        <v>751</v>
      </c>
      <c r="K249" s="21" t="s">
        <v>94</v>
      </c>
      <c r="L249" s="35">
        <v>0</v>
      </c>
      <c r="M249" s="19">
        <f>2*4</f>
        <v>8</v>
      </c>
      <c r="N249" s="42">
        <v>44706</v>
      </c>
      <c r="O249" s="30" t="s">
        <v>114</v>
      </c>
    </row>
    <row r="250" spans="2:15" s="30" customFormat="1" ht="30" x14ac:dyDescent="0.25">
      <c r="B250" s="30" t="s">
        <v>168</v>
      </c>
      <c r="C250" s="30" t="s">
        <v>6</v>
      </c>
      <c r="D250" s="30" t="s">
        <v>10</v>
      </c>
      <c r="E250" s="30" t="s">
        <v>298</v>
      </c>
      <c r="F250" s="11"/>
      <c r="G250" s="30" t="s">
        <v>94</v>
      </c>
      <c r="H250" s="30" t="s">
        <v>390</v>
      </c>
      <c r="I250" s="21" t="s">
        <v>68</v>
      </c>
      <c r="J250" s="30" t="s">
        <v>752</v>
      </c>
      <c r="K250" s="21" t="s">
        <v>94</v>
      </c>
      <c r="L250" s="35">
        <v>0</v>
      </c>
      <c r="M250" s="19">
        <f>3*4</f>
        <v>12</v>
      </c>
      <c r="N250" s="42">
        <v>44706</v>
      </c>
      <c r="O250" s="30" t="s">
        <v>114</v>
      </c>
    </row>
    <row r="251" spans="2:15" s="30" customFormat="1" ht="30" x14ac:dyDescent="0.25">
      <c r="B251" s="30" t="s">
        <v>168</v>
      </c>
      <c r="C251" s="30" t="s">
        <v>6</v>
      </c>
      <c r="D251" s="30" t="s">
        <v>10</v>
      </c>
      <c r="E251" s="30" t="s">
        <v>298</v>
      </c>
      <c r="F251" s="11"/>
      <c r="G251" s="30" t="s">
        <v>94</v>
      </c>
      <c r="H251" s="30" t="s">
        <v>390</v>
      </c>
      <c r="I251" s="21" t="s">
        <v>68</v>
      </c>
      <c r="J251" s="30" t="s">
        <v>753</v>
      </c>
      <c r="K251" s="21" t="s">
        <v>94</v>
      </c>
      <c r="L251" s="35">
        <v>0</v>
      </c>
      <c r="M251" s="19">
        <f>(3.05*3.25)*2</f>
        <v>19.824999999999999</v>
      </c>
      <c r="N251" s="42">
        <v>44706</v>
      </c>
      <c r="O251" s="30" t="s">
        <v>114</v>
      </c>
    </row>
    <row r="252" spans="2:15" s="30" customFormat="1" ht="30" x14ac:dyDescent="0.25">
      <c r="B252" s="30" t="s">
        <v>168</v>
      </c>
      <c r="C252" s="30" t="s">
        <v>6</v>
      </c>
      <c r="D252" s="30" t="s">
        <v>10</v>
      </c>
      <c r="E252" s="30" t="s">
        <v>298</v>
      </c>
      <c r="F252" s="11"/>
      <c r="G252" s="30" t="s">
        <v>94</v>
      </c>
      <c r="H252" s="30" t="s">
        <v>390</v>
      </c>
      <c r="I252" s="21" t="s">
        <v>68</v>
      </c>
      <c r="J252" s="30" t="s">
        <v>754</v>
      </c>
      <c r="K252" s="21" t="s">
        <v>94</v>
      </c>
      <c r="L252" s="35">
        <v>0</v>
      </c>
      <c r="M252" s="19">
        <f>9.5*6.9</f>
        <v>65.55</v>
      </c>
      <c r="N252" s="42">
        <v>44706</v>
      </c>
      <c r="O252" s="30" t="s">
        <v>114</v>
      </c>
    </row>
    <row r="253" spans="2:15" s="30" customFormat="1" ht="30" x14ac:dyDescent="0.25">
      <c r="B253" s="30" t="s">
        <v>168</v>
      </c>
      <c r="C253" s="30" t="s">
        <v>6</v>
      </c>
      <c r="D253" s="30" t="s">
        <v>10</v>
      </c>
      <c r="E253" s="30" t="s">
        <v>298</v>
      </c>
      <c r="F253" s="11"/>
      <c r="G253" s="30" t="s">
        <v>94</v>
      </c>
      <c r="H253" s="30" t="s">
        <v>389</v>
      </c>
      <c r="I253" s="21" t="s">
        <v>68</v>
      </c>
      <c r="J253" s="30" t="s">
        <v>755</v>
      </c>
      <c r="K253" s="21" t="s">
        <v>94</v>
      </c>
      <c r="L253" s="35">
        <v>0</v>
      </c>
      <c r="M253" s="19">
        <v>265.38</v>
      </c>
      <c r="N253" s="42">
        <v>44706</v>
      </c>
      <c r="O253" s="30" t="s">
        <v>114</v>
      </c>
    </row>
    <row r="254" spans="2:15" s="30" customFormat="1" ht="30" x14ac:dyDescent="0.25">
      <c r="B254" s="30" t="s">
        <v>168</v>
      </c>
      <c r="C254" s="30" t="s">
        <v>6</v>
      </c>
      <c r="D254" s="30" t="s">
        <v>10</v>
      </c>
      <c r="E254" s="30" t="s">
        <v>298</v>
      </c>
      <c r="F254" s="11"/>
      <c r="G254" s="30" t="s">
        <v>94</v>
      </c>
      <c r="H254" s="30" t="s">
        <v>23</v>
      </c>
      <c r="I254" s="21" t="s">
        <v>68</v>
      </c>
      <c r="J254" s="30" t="s">
        <v>684</v>
      </c>
      <c r="K254" s="21" t="s">
        <v>94</v>
      </c>
      <c r="L254" s="35">
        <v>0</v>
      </c>
      <c r="M254" s="19">
        <v>35.270000000000003</v>
      </c>
      <c r="N254" s="42">
        <v>44706</v>
      </c>
      <c r="O254" s="30" t="s">
        <v>114</v>
      </c>
    </row>
    <row r="255" spans="2:15" s="30" customFormat="1" ht="30" x14ac:dyDescent="0.25">
      <c r="B255" s="30" t="s">
        <v>168</v>
      </c>
      <c r="C255" s="30" t="s">
        <v>6</v>
      </c>
      <c r="D255" s="30" t="s">
        <v>10</v>
      </c>
      <c r="E255" s="30" t="s">
        <v>298</v>
      </c>
      <c r="F255" s="11"/>
      <c r="G255" s="30" t="s">
        <v>94</v>
      </c>
      <c r="H255" s="30" t="s">
        <v>193</v>
      </c>
      <c r="I255" s="21" t="s">
        <v>68</v>
      </c>
      <c r="J255" s="30" t="s">
        <v>756</v>
      </c>
      <c r="K255" s="21" t="s">
        <v>94</v>
      </c>
      <c r="L255" s="35">
        <v>0</v>
      </c>
      <c r="M255" s="19">
        <v>8700.64</v>
      </c>
      <c r="N255" s="42">
        <v>44706</v>
      </c>
      <c r="O255" s="30" t="s">
        <v>114</v>
      </c>
    </row>
    <row r="256" spans="2:15" s="30" customFormat="1" ht="30" x14ac:dyDescent="0.25">
      <c r="B256" s="30" t="s">
        <v>168</v>
      </c>
      <c r="C256" s="30" t="s">
        <v>6</v>
      </c>
      <c r="D256" s="30" t="s">
        <v>10</v>
      </c>
      <c r="E256" s="30" t="s">
        <v>298</v>
      </c>
      <c r="F256" s="11"/>
      <c r="G256" s="30" t="s">
        <v>94</v>
      </c>
      <c r="H256" s="30" t="s">
        <v>394</v>
      </c>
      <c r="I256" s="21" t="s">
        <v>68</v>
      </c>
      <c r="J256" s="30" t="s">
        <v>757</v>
      </c>
      <c r="K256" s="21" t="s">
        <v>94</v>
      </c>
      <c r="L256" s="35">
        <v>0</v>
      </c>
      <c r="M256" s="19">
        <v>9679</v>
      </c>
      <c r="N256" s="42">
        <v>44706</v>
      </c>
      <c r="O256" s="30" t="s">
        <v>114</v>
      </c>
    </row>
    <row r="257" spans="2:15" s="30" customFormat="1" ht="30" x14ac:dyDescent="0.25">
      <c r="B257" s="30" t="s">
        <v>168</v>
      </c>
      <c r="C257" s="30" t="s">
        <v>6</v>
      </c>
      <c r="D257" s="30" t="s">
        <v>10</v>
      </c>
      <c r="E257" s="30" t="s">
        <v>298</v>
      </c>
      <c r="F257" s="11"/>
      <c r="G257" s="30" t="s">
        <v>94</v>
      </c>
      <c r="H257" s="30" t="s">
        <v>394</v>
      </c>
      <c r="I257" s="21" t="s">
        <v>68</v>
      </c>
      <c r="J257" s="30" t="s">
        <v>758</v>
      </c>
      <c r="K257" s="21" t="s">
        <v>94</v>
      </c>
      <c r="L257" s="35">
        <v>0</v>
      </c>
      <c r="M257" s="19">
        <v>4667</v>
      </c>
      <c r="N257" s="42">
        <v>44706</v>
      </c>
      <c r="O257" s="30" t="s">
        <v>114</v>
      </c>
    </row>
    <row r="258" spans="2:15" s="30" customFormat="1" ht="30" x14ac:dyDescent="0.25">
      <c r="B258" s="30" t="s">
        <v>168</v>
      </c>
      <c r="C258" s="30" t="s">
        <v>6</v>
      </c>
      <c r="D258" s="30" t="s">
        <v>10</v>
      </c>
      <c r="E258" s="30" t="s">
        <v>298</v>
      </c>
      <c r="F258" s="11"/>
      <c r="G258" s="30" t="s">
        <v>94</v>
      </c>
      <c r="H258" s="30" t="s">
        <v>24</v>
      </c>
      <c r="I258" s="21" t="s">
        <v>68</v>
      </c>
      <c r="J258" s="30" t="s">
        <v>759</v>
      </c>
      <c r="K258" s="21" t="s">
        <v>94</v>
      </c>
      <c r="L258" s="35">
        <v>28</v>
      </c>
      <c r="M258" s="19">
        <v>15321.29</v>
      </c>
      <c r="N258" s="42">
        <v>44706</v>
      </c>
      <c r="O258" s="30" t="s">
        <v>114</v>
      </c>
    </row>
    <row r="259" spans="2:15" s="30" customFormat="1" ht="30" x14ac:dyDescent="0.25">
      <c r="B259" s="30" t="s">
        <v>168</v>
      </c>
      <c r="C259" s="30" t="s">
        <v>6</v>
      </c>
      <c r="D259" s="30" t="s">
        <v>10</v>
      </c>
      <c r="E259" s="30" t="s">
        <v>298</v>
      </c>
      <c r="F259" s="11"/>
      <c r="G259" s="30" t="s">
        <v>94</v>
      </c>
      <c r="H259" s="30" t="s">
        <v>24</v>
      </c>
      <c r="I259" s="21" t="s">
        <v>68</v>
      </c>
      <c r="J259" s="30" t="s">
        <v>760</v>
      </c>
      <c r="K259" s="21" t="s">
        <v>94</v>
      </c>
      <c r="L259" s="35">
        <v>20</v>
      </c>
      <c r="M259" s="19">
        <v>1216</v>
      </c>
      <c r="N259" s="42">
        <v>44706</v>
      </c>
      <c r="O259" s="30" t="s">
        <v>114</v>
      </c>
    </row>
    <row r="260" spans="2:15" x14ac:dyDescent="0.25">
      <c r="B260" s="30"/>
      <c r="C260" s="30"/>
      <c r="D260" s="30"/>
      <c r="E260" s="30"/>
      <c r="F260" s="11"/>
      <c r="G260" s="11"/>
      <c r="H260" s="30"/>
      <c r="I260" s="21"/>
      <c r="J260" s="21"/>
      <c r="K260" s="21"/>
      <c r="L260" s="66"/>
      <c r="M260" s="238">
        <f>SUBTOTAL(109,M22:M259)</f>
        <v>56889.548999999992</v>
      </c>
      <c r="N260" s="68"/>
      <c r="O260" s="30"/>
    </row>
    <row r="261" spans="2:15" x14ac:dyDescent="0.25">
      <c r="I261" s="13"/>
      <c r="K261" s="30"/>
      <c r="L261" s="35"/>
      <c r="M261" s="39"/>
      <c r="N261" s="40"/>
    </row>
    <row r="262" spans="2:15" x14ac:dyDescent="0.25">
      <c r="I262" s="13"/>
      <c r="K262" s="30"/>
      <c r="L262" s="35"/>
      <c r="M262" s="39"/>
      <c r="N262" s="40"/>
    </row>
    <row r="263" spans="2:15" x14ac:dyDescent="0.25">
      <c r="I263" s="13"/>
      <c r="K263" s="30"/>
      <c r="L263" s="35"/>
      <c r="M263" s="39"/>
      <c r="N263" s="40"/>
    </row>
    <row r="264" spans="2:15" x14ac:dyDescent="0.25">
      <c r="I264" s="13"/>
      <c r="K264" s="30"/>
      <c r="L264" s="35"/>
      <c r="M264" s="39"/>
      <c r="N264" s="40"/>
    </row>
    <row r="265" spans="2:15" x14ac:dyDescent="0.25">
      <c r="I265" s="13"/>
      <c r="K265" s="30"/>
      <c r="L265" s="35"/>
      <c r="M265" s="39"/>
      <c r="N265" s="40"/>
    </row>
    <row r="266" spans="2:15" x14ac:dyDescent="0.25">
      <c r="I266" s="13"/>
      <c r="K266" s="30"/>
      <c r="L266" s="35"/>
      <c r="M266" s="39"/>
      <c r="N266" s="40"/>
    </row>
    <row r="267" spans="2:15" x14ac:dyDescent="0.25">
      <c r="I267" s="13"/>
      <c r="K267" s="30"/>
      <c r="L267" s="35"/>
      <c r="M267" s="39"/>
      <c r="N267" s="40"/>
    </row>
    <row r="268" spans="2:15" x14ac:dyDescent="0.25">
      <c r="I268" s="13"/>
      <c r="K268" s="30"/>
      <c r="L268" s="35"/>
      <c r="M268" s="39"/>
      <c r="N268" s="40"/>
    </row>
    <row r="269" spans="2:15" x14ac:dyDescent="0.25">
      <c r="I269" s="13"/>
      <c r="K269" s="30"/>
      <c r="L269" s="35"/>
      <c r="M269" s="39"/>
      <c r="N269" s="40"/>
    </row>
    <row r="270" spans="2:15" x14ac:dyDescent="0.25">
      <c r="I270" s="13"/>
      <c r="K270" s="30"/>
      <c r="L270" s="35"/>
      <c r="M270" s="39"/>
      <c r="N270" s="40"/>
    </row>
    <row r="271" spans="2:15" x14ac:dyDescent="0.25">
      <c r="I271" s="13"/>
      <c r="K271" s="30"/>
      <c r="L271" s="35"/>
      <c r="M271" s="39"/>
      <c r="N271" s="40"/>
    </row>
    <row r="272" spans="2:15" x14ac:dyDescent="0.25">
      <c r="I272" s="13"/>
      <c r="K272" s="30"/>
      <c r="L272" s="35"/>
      <c r="M272" s="39"/>
      <c r="N272" s="40"/>
    </row>
    <row r="273" spans="9:14" x14ac:dyDescent="0.25">
      <c r="I273" s="13"/>
      <c r="K273" s="30"/>
      <c r="L273" s="35"/>
      <c r="M273" s="39"/>
      <c r="N273" s="40"/>
    </row>
    <row r="274" spans="9:14" x14ac:dyDescent="0.25">
      <c r="I274" s="13"/>
      <c r="K274" s="30"/>
      <c r="L274" s="35"/>
      <c r="M274" s="39"/>
      <c r="N274" s="40"/>
    </row>
    <row r="275" spans="9:14" x14ac:dyDescent="0.25">
      <c r="I275" s="13"/>
      <c r="K275" s="30"/>
      <c r="L275" s="35"/>
      <c r="M275" s="39"/>
      <c r="N275" s="40"/>
    </row>
    <row r="276" spans="9:14" x14ac:dyDescent="0.25">
      <c r="I276" s="13"/>
      <c r="K276" s="30"/>
      <c r="L276" s="35"/>
      <c r="M276" s="39"/>
      <c r="N276" s="40"/>
    </row>
    <row r="277" spans="9:14" x14ac:dyDescent="0.25">
      <c r="I277" s="13"/>
      <c r="K277" s="30"/>
      <c r="L277" s="41"/>
      <c r="M277" s="39"/>
      <c r="N277" s="40"/>
    </row>
    <row r="278" spans="9:14" x14ac:dyDescent="0.25">
      <c r="I278" s="13"/>
      <c r="K278" s="30"/>
      <c r="L278" s="41"/>
      <c r="M278" s="39"/>
      <c r="N278" s="40"/>
    </row>
    <row r="279" spans="9:14" x14ac:dyDescent="0.25">
      <c r="I279" s="13"/>
      <c r="K279" s="30"/>
      <c r="L279" s="41"/>
      <c r="M279" s="39"/>
      <c r="N279" s="40"/>
    </row>
    <row r="280" spans="9:14" x14ac:dyDescent="0.25">
      <c r="I280" s="13"/>
      <c r="K280" s="30"/>
      <c r="L280" s="41"/>
      <c r="M280" s="39"/>
      <c r="N280" s="40"/>
    </row>
    <row r="281" spans="9:14" x14ac:dyDescent="0.25">
      <c r="I281" s="13"/>
      <c r="K281" s="30"/>
      <c r="L281" s="41"/>
      <c r="M281" s="39"/>
      <c r="N281" s="40"/>
    </row>
    <row r="282" spans="9:14" x14ac:dyDescent="0.25">
      <c r="I282" s="13"/>
      <c r="K282" s="30"/>
      <c r="L282" s="41"/>
      <c r="M282" s="39"/>
      <c r="N282" s="40"/>
    </row>
    <row r="283" spans="9:14" x14ac:dyDescent="0.25">
      <c r="I283" s="13"/>
      <c r="K283" s="30"/>
      <c r="L283" s="41"/>
      <c r="M283" s="39"/>
      <c r="N283" s="40"/>
    </row>
    <row r="284" spans="9:14" x14ac:dyDescent="0.25">
      <c r="I284" s="13"/>
      <c r="K284" s="30"/>
      <c r="L284" s="41"/>
      <c r="M284" s="39"/>
      <c r="N284" s="40"/>
    </row>
    <row r="285" spans="9:14" x14ac:dyDescent="0.25">
      <c r="I285" s="13"/>
      <c r="K285" s="30"/>
      <c r="L285" s="41"/>
      <c r="M285" s="39"/>
      <c r="N285" s="40"/>
    </row>
    <row r="286" spans="9:14" x14ac:dyDescent="0.25">
      <c r="I286" s="13"/>
      <c r="K286" s="30"/>
      <c r="L286" s="41"/>
      <c r="M286" s="39"/>
      <c r="N286" s="40"/>
    </row>
    <row r="287" spans="9:14" x14ac:dyDescent="0.25">
      <c r="I287" s="13"/>
      <c r="K287" s="30"/>
      <c r="L287" s="41"/>
      <c r="M287" s="39"/>
      <c r="N287" s="40"/>
    </row>
    <row r="288" spans="9:14" x14ac:dyDescent="0.25">
      <c r="I288" s="13"/>
      <c r="K288" s="30"/>
      <c r="L288" s="41"/>
      <c r="M288" s="39"/>
      <c r="N288" s="40"/>
    </row>
    <row r="289" spans="9:14" x14ac:dyDescent="0.25">
      <c r="I289" s="13"/>
      <c r="K289" s="30"/>
      <c r="L289" s="41"/>
      <c r="M289" s="39"/>
      <c r="N289" s="40"/>
    </row>
    <row r="290" spans="9:14" x14ac:dyDescent="0.25">
      <c r="I290" s="13"/>
      <c r="K290" s="30"/>
      <c r="L290" s="41"/>
      <c r="M290" s="39"/>
      <c r="N290" s="40"/>
    </row>
    <row r="291" spans="9:14" x14ac:dyDescent="0.25">
      <c r="I291" s="13"/>
      <c r="K291" s="30"/>
      <c r="L291" s="41"/>
      <c r="M291" s="39"/>
      <c r="N291" s="40"/>
    </row>
    <row r="292" spans="9:14" x14ac:dyDescent="0.25">
      <c r="I292" s="13"/>
      <c r="K292" s="30"/>
      <c r="L292" s="41"/>
      <c r="M292" s="39"/>
      <c r="N292" s="40"/>
    </row>
    <row r="293" spans="9:14" x14ac:dyDescent="0.25">
      <c r="I293" s="13"/>
      <c r="K293" s="30"/>
      <c r="L293" s="41"/>
      <c r="M293" s="39"/>
      <c r="N293" s="40"/>
    </row>
    <row r="294" spans="9:14" x14ac:dyDescent="0.25">
      <c r="I294" s="13"/>
      <c r="K294" s="30"/>
      <c r="L294" s="41"/>
      <c r="M294" s="39"/>
      <c r="N294" s="40"/>
    </row>
    <row r="295" spans="9:14" x14ac:dyDescent="0.25">
      <c r="I295" s="13"/>
      <c r="K295" s="30"/>
      <c r="L295" s="41"/>
      <c r="M295" s="39"/>
      <c r="N295" s="40"/>
    </row>
    <row r="296" spans="9:14" x14ac:dyDescent="0.25">
      <c r="I296" s="13"/>
      <c r="K296" s="30"/>
      <c r="L296" s="41"/>
      <c r="M296" s="39"/>
      <c r="N296" s="40"/>
    </row>
    <row r="297" spans="9:14" x14ac:dyDescent="0.25">
      <c r="I297" s="13"/>
      <c r="K297" s="30"/>
      <c r="L297" s="41"/>
      <c r="M297" s="39"/>
      <c r="N297" s="40"/>
    </row>
    <row r="298" spans="9:14" x14ac:dyDescent="0.25">
      <c r="I298" s="13"/>
      <c r="K298" s="30"/>
      <c r="L298" s="41"/>
      <c r="M298" s="39"/>
      <c r="N298" s="40"/>
    </row>
    <row r="299" spans="9:14" x14ac:dyDescent="0.25">
      <c r="I299" s="13"/>
      <c r="K299" s="30"/>
      <c r="L299" s="41"/>
      <c r="M299" s="39"/>
      <c r="N299" s="40"/>
    </row>
    <row r="300" spans="9:14" x14ac:dyDescent="0.25">
      <c r="I300" s="13"/>
      <c r="K300" s="30"/>
      <c r="L300" s="41"/>
      <c r="M300" s="39"/>
      <c r="N300" s="40"/>
    </row>
    <row r="301" spans="9:14" x14ac:dyDescent="0.25">
      <c r="I301" s="13"/>
      <c r="K301" s="30"/>
      <c r="L301" s="41"/>
      <c r="M301" s="39"/>
      <c r="N301" s="40"/>
    </row>
    <row r="302" spans="9:14" x14ac:dyDescent="0.25">
      <c r="I302" s="13"/>
      <c r="K302" s="30"/>
      <c r="L302" s="41"/>
      <c r="M302" s="39"/>
      <c r="N302" s="40"/>
    </row>
    <row r="303" spans="9:14" x14ac:dyDescent="0.25">
      <c r="I303" s="13"/>
      <c r="K303" s="30"/>
      <c r="L303" s="41"/>
      <c r="M303" s="39"/>
      <c r="N303" s="40"/>
    </row>
    <row r="304" spans="9:14" x14ac:dyDescent="0.25">
      <c r="I304" s="13"/>
      <c r="K304" s="30"/>
      <c r="L304" s="41"/>
      <c r="M304" s="39"/>
      <c r="N304" s="40"/>
    </row>
    <row r="305" spans="9:14" x14ac:dyDescent="0.25">
      <c r="I305" s="13"/>
      <c r="K305" s="30"/>
      <c r="L305" s="41"/>
      <c r="M305" s="39"/>
      <c r="N305" s="40"/>
    </row>
    <row r="306" spans="9:14" x14ac:dyDescent="0.25">
      <c r="I306" s="13"/>
      <c r="K306" s="30"/>
      <c r="L306" s="41"/>
      <c r="M306" s="39"/>
      <c r="N306" s="40"/>
    </row>
    <row r="307" spans="9:14" x14ac:dyDescent="0.25">
      <c r="I307" s="13"/>
      <c r="K307" s="30"/>
      <c r="L307" s="41"/>
      <c r="M307" s="39"/>
      <c r="N307" s="40"/>
    </row>
    <row r="308" spans="9:14" x14ac:dyDescent="0.25">
      <c r="I308" s="13"/>
      <c r="K308" s="30"/>
      <c r="L308" s="41"/>
      <c r="M308" s="39"/>
      <c r="N308" s="40"/>
    </row>
    <row r="309" spans="9:14" x14ac:dyDescent="0.25">
      <c r="I309" s="13"/>
      <c r="K309" s="30"/>
      <c r="L309" s="41"/>
      <c r="M309" s="39"/>
      <c r="N309" s="40"/>
    </row>
    <row r="310" spans="9:14" x14ac:dyDescent="0.25">
      <c r="I310" s="13"/>
      <c r="K310" s="30"/>
      <c r="L310" s="41"/>
      <c r="M310" s="39"/>
      <c r="N310" s="40"/>
    </row>
    <row r="311" spans="9:14" x14ac:dyDescent="0.25">
      <c r="I311" s="13"/>
      <c r="K311" s="30"/>
      <c r="L311" s="41"/>
      <c r="M311" s="39"/>
      <c r="N311" s="40"/>
    </row>
    <row r="312" spans="9:14" x14ac:dyDescent="0.25">
      <c r="I312" s="13"/>
      <c r="K312" s="30"/>
      <c r="L312" s="41"/>
      <c r="M312" s="39"/>
      <c r="N312" s="40"/>
    </row>
    <row r="313" spans="9:14" x14ac:dyDescent="0.25">
      <c r="I313" s="13"/>
      <c r="K313" s="30"/>
      <c r="L313" s="41"/>
      <c r="M313" s="39"/>
      <c r="N313" s="40"/>
    </row>
    <row r="314" spans="9:14" x14ac:dyDescent="0.25">
      <c r="I314" s="13"/>
      <c r="K314" s="30"/>
      <c r="L314" s="41"/>
      <c r="M314" s="39"/>
      <c r="N314" s="40"/>
    </row>
    <row r="315" spans="9:14" x14ac:dyDescent="0.25">
      <c r="I315" s="13"/>
      <c r="K315" s="30"/>
      <c r="L315" s="41"/>
      <c r="M315" s="39"/>
      <c r="N315" s="40"/>
    </row>
    <row r="316" spans="9:14" x14ac:dyDescent="0.25">
      <c r="I316" s="13"/>
      <c r="K316" s="30"/>
      <c r="L316" s="41"/>
      <c r="M316" s="39"/>
      <c r="N316" s="40"/>
    </row>
    <row r="317" spans="9:14" x14ac:dyDescent="0.25">
      <c r="I317" s="13"/>
      <c r="K317" s="30"/>
      <c r="L317" s="41"/>
      <c r="M317" s="39"/>
      <c r="N317" s="40"/>
    </row>
    <row r="318" spans="9:14" x14ac:dyDescent="0.25">
      <c r="I318" s="13"/>
      <c r="K318" s="30"/>
      <c r="L318" s="41"/>
      <c r="M318" s="39"/>
      <c r="N318" s="40"/>
    </row>
    <row r="319" spans="9:14" x14ac:dyDescent="0.25">
      <c r="I319" s="13"/>
      <c r="K319" s="30"/>
      <c r="L319" s="41"/>
      <c r="M319" s="39"/>
      <c r="N319" s="40"/>
    </row>
    <row r="320" spans="9:14" x14ac:dyDescent="0.25">
      <c r="I320" s="13"/>
      <c r="K320" s="30"/>
      <c r="L320" s="41"/>
      <c r="M320" s="39"/>
      <c r="N320" s="40"/>
    </row>
    <row r="321" spans="9:14" x14ac:dyDescent="0.25">
      <c r="I321" s="13"/>
      <c r="K321" s="30"/>
      <c r="L321" s="41"/>
      <c r="M321" s="39"/>
      <c r="N321" s="40"/>
    </row>
    <row r="322" spans="9:14" x14ac:dyDescent="0.25">
      <c r="I322" s="13"/>
      <c r="K322" s="30"/>
      <c r="L322" s="41"/>
      <c r="M322" s="39"/>
      <c r="N322" s="40"/>
    </row>
    <row r="323" spans="9:14" x14ac:dyDescent="0.25">
      <c r="I323" s="13"/>
      <c r="K323" s="30"/>
      <c r="L323" s="41"/>
      <c r="M323" s="39"/>
      <c r="N323" s="40"/>
    </row>
    <row r="324" spans="9:14" x14ac:dyDescent="0.25">
      <c r="I324" s="13"/>
      <c r="K324" s="30"/>
      <c r="L324" s="41"/>
      <c r="M324" s="39"/>
      <c r="N324" s="40"/>
    </row>
    <row r="325" spans="9:14" x14ac:dyDescent="0.25">
      <c r="I325" s="13"/>
      <c r="K325" s="30"/>
      <c r="L325" s="41"/>
      <c r="M325" s="39"/>
      <c r="N325" s="40"/>
    </row>
    <row r="326" spans="9:14" x14ac:dyDescent="0.25">
      <c r="I326" s="13"/>
      <c r="K326" s="30"/>
      <c r="L326" s="41"/>
      <c r="M326" s="39"/>
      <c r="N326" s="40"/>
    </row>
    <row r="327" spans="9:14" x14ac:dyDescent="0.25">
      <c r="I327" s="13"/>
      <c r="K327" s="30"/>
      <c r="L327" s="41"/>
      <c r="M327" s="39"/>
      <c r="N327" s="40"/>
    </row>
    <row r="328" spans="9:14" x14ac:dyDescent="0.25">
      <c r="I328" s="13"/>
      <c r="K328" s="30"/>
      <c r="L328" s="41"/>
      <c r="M328" s="39"/>
      <c r="N328" s="40"/>
    </row>
    <row r="329" spans="9:14" x14ac:dyDescent="0.25">
      <c r="I329" s="13"/>
      <c r="K329" s="30"/>
      <c r="L329" s="41"/>
      <c r="M329" s="39"/>
      <c r="N329" s="40"/>
    </row>
    <row r="330" spans="9:14" x14ac:dyDescent="0.25">
      <c r="I330" s="13"/>
      <c r="K330" s="30"/>
      <c r="L330" s="41"/>
      <c r="M330" s="39"/>
      <c r="N330" s="40"/>
    </row>
    <row r="331" spans="9:14" x14ac:dyDescent="0.25">
      <c r="I331" s="13"/>
      <c r="K331" s="30"/>
      <c r="L331" s="41"/>
      <c r="M331" s="39"/>
      <c r="N331" s="40"/>
    </row>
    <row r="332" spans="9:14" x14ac:dyDescent="0.25">
      <c r="I332" s="13"/>
      <c r="K332" s="30"/>
      <c r="L332" s="41"/>
      <c r="M332" s="39"/>
      <c r="N332" s="40"/>
    </row>
    <row r="333" spans="9:14" x14ac:dyDescent="0.25">
      <c r="I333" s="13"/>
      <c r="K333" s="30"/>
      <c r="L333" s="41"/>
      <c r="M333" s="39"/>
      <c r="N333" s="40"/>
    </row>
    <row r="334" spans="9:14" x14ac:dyDescent="0.25">
      <c r="I334" s="13"/>
      <c r="K334" s="30"/>
      <c r="L334" s="41"/>
      <c r="M334" s="39"/>
      <c r="N334" s="40"/>
    </row>
    <row r="335" spans="9:14" x14ac:dyDescent="0.25">
      <c r="I335" s="13"/>
      <c r="K335" s="30"/>
      <c r="L335" s="41"/>
      <c r="M335" s="39"/>
      <c r="N335" s="40"/>
    </row>
    <row r="336" spans="9:14" x14ac:dyDescent="0.25">
      <c r="I336" s="13"/>
      <c r="K336" s="30"/>
      <c r="L336" s="41"/>
      <c r="M336" s="39"/>
      <c r="N336" s="40"/>
    </row>
    <row r="337" spans="9:14" x14ac:dyDescent="0.25">
      <c r="I337" s="13"/>
      <c r="K337" s="30"/>
      <c r="L337" s="41"/>
      <c r="M337" s="39"/>
      <c r="N337" s="40"/>
    </row>
    <row r="338" spans="9:14" x14ac:dyDescent="0.25">
      <c r="I338" s="13"/>
      <c r="K338" s="30"/>
      <c r="L338" s="41"/>
      <c r="M338" s="39"/>
      <c r="N338" s="40"/>
    </row>
    <row r="339" spans="9:14" x14ac:dyDescent="0.25">
      <c r="I339" s="13"/>
      <c r="K339" s="30"/>
      <c r="L339" s="41"/>
      <c r="M339" s="39"/>
      <c r="N339" s="40"/>
    </row>
    <row r="340" spans="9:14" x14ac:dyDescent="0.25">
      <c r="I340" s="13"/>
      <c r="K340" s="30"/>
      <c r="L340" s="41"/>
      <c r="M340" s="39"/>
      <c r="N340" s="40"/>
    </row>
    <row r="341" spans="9:14" x14ac:dyDescent="0.25">
      <c r="I341" s="13"/>
      <c r="K341" s="30"/>
      <c r="L341" s="41"/>
      <c r="M341" s="39"/>
      <c r="N341" s="40"/>
    </row>
    <row r="342" spans="9:14" x14ac:dyDescent="0.25">
      <c r="I342" s="13"/>
      <c r="K342" s="30"/>
      <c r="L342" s="41"/>
      <c r="M342" s="39"/>
      <c r="N342" s="40"/>
    </row>
    <row r="343" spans="9:14" x14ac:dyDescent="0.25">
      <c r="I343" s="13"/>
      <c r="L343" s="41"/>
      <c r="M343" s="39"/>
      <c r="N343" s="40"/>
    </row>
    <row r="344" spans="9:14" x14ac:dyDescent="0.25">
      <c r="I344" s="13"/>
      <c r="L344" s="41"/>
      <c r="M344" s="39"/>
      <c r="N344" s="40"/>
    </row>
    <row r="345" spans="9:14" x14ac:dyDescent="0.25">
      <c r="I345" s="13"/>
      <c r="L345" s="41"/>
      <c r="M345" s="39"/>
      <c r="N345" s="40"/>
    </row>
    <row r="346" spans="9:14" x14ac:dyDescent="0.25">
      <c r="I346" s="13"/>
      <c r="L346" s="41"/>
      <c r="M346" s="39"/>
      <c r="N346" s="40"/>
    </row>
    <row r="347" spans="9:14" x14ac:dyDescent="0.25">
      <c r="I347" s="13"/>
      <c r="L347" s="41"/>
      <c r="M347" s="39"/>
      <c r="N347" s="40"/>
    </row>
    <row r="348" spans="9:14" x14ac:dyDescent="0.25">
      <c r="I348" s="13"/>
      <c r="L348" s="41"/>
      <c r="M348" s="39"/>
      <c r="N348" s="40"/>
    </row>
    <row r="349" spans="9:14" x14ac:dyDescent="0.25">
      <c r="I349" s="13"/>
      <c r="L349" s="41"/>
      <c r="M349" s="39"/>
      <c r="N349" s="40"/>
    </row>
    <row r="350" spans="9:14" x14ac:dyDescent="0.25">
      <c r="I350" s="13"/>
      <c r="L350" s="41"/>
      <c r="M350" s="39"/>
      <c r="N350" s="40"/>
    </row>
    <row r="351" spans="9:14" x14ac:dyDescent="0.25">
      <c r="I351" s="13"/>
      <c r="L351" s="41"/>
      <c r="M351" s="39"/>
      <c r="N351" s="40"/>
    </row>
    <row r="352" spans="9:14" x14ac:dyDescent="0.25">
      <c r="I352" s="13"/>
      <c r="L352" s="41"/>
      <c r="M352" s="39"/>
      <c r="N352" s="40"/>
    </row>
    <row r="353" spans="9:14" x14ac:dyDescent="0.25">
      <c r="I353" s="13"/>
      <c r="L353" s="41"/>
      <c r="M353" s="39"/>
      <c r="N353" s="40"/>
    </row>
    <row r="354" spans="9:14" x14ac:dyDescent="0.25">
      <c r="I354" s="13"/>
      <c r="L354" s="41"/>
      <c r="M354" s="39"/>
      <c r="N354" s="40"/>
    </row>
    <row r="355" spans="9:14" x14ac:dyDescent="0.25">
      <c r="I355" s="13"/>
      <c r="L355" s="41"/>
      <c r="M355" s="39"/>
      <c r="N355" s="40"/>
    </row>
    <row r="356" spans="9:14" x14ac:dyDescent="0.25">
      <c r="I356" s="13"/>
      <c r="L356" s="41"/>
      <c r="M356" s="39"/>
      <c r="N356" s="40"/>
    </row>
    <row r="357" spans="9:14" x14ac:dyDescent="0.25">
      <c r="I357" s="13"/>
      <c r="L357" s="41"/>
      <c r="M357" s="39"/>
      <c r="N357" s="40"/>
    </row>
    <row r="358" spans="9:14" x14ac:dyDescent="0.25">
      <c r="I358" s="13"/>
      <c r="L358" s="41"/>
      <c r="M358" s="39"/>
      <c r="N358" s="40"/>
    </row>
    <row r="359" spans="9:14" x14ac:dyDescent="0.25">
      <c r="I359" s="13"/>
      <c r="L359" s="41"/>
      <c r="M359" s="39"/>
      <c r="N359" s="40"/>
    </row>
    <row r="360" spans="9:14" x14ac:dyDescent="0.25">
      <c r="I360" s="13"/>
      <c r="L360" s="41"/>
      <c r="M360" s="39"/>
      <c r="N360" s="40"/>
    </row>
    <row r="361" spans="9:14" x14ac:dyDescent="0.25">
      <c r="I361" s="13"/>
      <c r="L361" s="41"/>
      <c r="M361" s="39"/>
      <c r="N361" s="40"/>
    </row>
    <row r="362" spans="9:14" x14ac:dyDescent="0.25">
      <c r="I362" s="13"/>
      <c r="L362" s="41"/>
      <c r="M362" s="39"/>
      <c r="N362" s="40"/>
    </row>
    <row r="363" spans="9:14" x14ac:dyDescent="0.25">
      <c r="I363" s="13"/>
      <c r="L363" s="41"/>
      <c r="M363" s="39"/>
      <c r="N363" s="40"/>
    </row>
    <row r="364" spans="9:14" x14ac:dyDescent="0.25">
      <c r="I364" s="13"/>
      <c r="L364" s="41"/>
      <c r="M364" s="39"/>
      <c r="N364" s="40"/>
    </row>
    <row r="365" spans="9:14" x14ac:dyDescent="0.25">
      <c r="I365" s="13"/>
      <c r="L365" s="41"/>
      <c r="M365" s="39"/>
      <c r="N365" s="40"/>
    </row>
    <row r="366" spans="9:14" x14ac:dyDescent="0.25">
      <c r="I366" s="13"/>
      <c r="L366" s="41"/>
      <c r="M366" s="39"/>
      <c r="N366" s="40"/>
    </row>
    <row r="367" spans="9:14" x14ac:dyDescent="0.25">
      <c r="I367" s="13"/>
      <c r="L367" s="41"/>
      <c r="M367" s="39"/>
      <c r="N367" s="40"/>
    </row>
    <row r="368" spans="9:14" x14ac:dyDescent="0.25">
      <c r="I368" s="13"/>
      <c r="L368" s="41"/>
      <c r="M368" s="39"/>
      <c r="N368" s="40"/>
    </row>
    <row r="369" spans="9:14" x14ac:dyDescent="0.25">
      <c r="I369" s="13"/>
      <c r="L369" s="41"/>
      <c r="M369" s="39"/>
      <c r="N369" s="40"/>
    </row>
    <row r="370" spans="9:14" x14ac:dyDescent="0.25">
      <c r="I370" s="13"/>
      <c r="L370" s="41"/>
      <c r="M370" s="39"/>
      <c r="N370" s="40"/>
    </row>
    <row r="371" spans="9:14" x14ac:dyDescent="0.25">
      <c r="I371" s="13"/>
      <c r="L371" s="41"/>
      <c r="M371" s="39"/>
      <c r="N371" s="40"/>
    </row>
    <row r="372" spans="9:14" x14ac:dyDescent="0.25">
      <c r="I372" s="13"/>
      <c r="L372" s="41"/>
      <c r="M372" s="39"/>
      <c r="N372" s="40"/>
    </row>
    <row r="373" spans="9:14" x14ac:dyDescent="0.25">
      <c r="I373" s="13"/>
      <c r="L373" s="41"/>
      <c r="M373" s="39"/>
      <c r="N373" s="40"/>
    </row>
    <row r="374" spans="9:14" x14ac:dyDescent="0.25">
      <c r="I374" s="13"/>
      <c r="L374" s="41"/>
      <c r="M374" s="39"/>
      <c r="N374" s="40"/>
    </row>
    <row r="375" spans="9:14" x14ac:dyDescent="0.25">
      <c r="I375" s="13"/>
      <c r="L375" s="41"/>
      <c r="M375" s="39"/>
      <c r="N375" s="40"/>
    </row>
    <row r="376" spans="9:14" x14ac:dyDescent="0.25">
      <c r="I376" s="13"/>
      <c r="L376" s="41"/>
      <c r="M376" s="39"/>
      <c r="N376" s="40"/>
    </row>
    <row r="377" spans="9:14" x14ac:dyDescent="0.25">
      <c r="I377" s="13"/>
      <c r="L377" s="41"/>
      <c r="M377" s="39"/>
      <c r="N377" s="40"/>
    </row>
    <row r="378" spans="9:14" x14ac:dyDescent="0.25">
      <c r="I378" s="13"/>
      <c r="L378" s="41"/>
      <c r="M378" s="39"/>
      <c r="N378" s="40"/>
    </row>
    <row r="379" spans="9:14" x14ac:dyDescent="0.25">
      <c r="I379" s="13"/>
      <c r="L379" s="41"/>
      <c r="M379" s="39"/>
      <c r="N379" s="40"/>
    </row>
    <row r="380" spans="9:14" x14ac:dyDescent="0.25">
      <c r="I380" s="13"/>
      <c r="L380" s="41"/>
      <c r="M380" s="39"/>
      <c r="N380" s="40"/>
    </row>
    <row r="381" spans="9:14" x14ac:dyDescent="0.25">
      <c r="I381" s="13"/>
      <c r="L381" s="41"/>
      <c r="M381" s="39"/>
      <c r="N381" s="40"/>
    </row>
    <row r="382" spans="9:14" x14ac:dyDescent="0.25">
      <c r="I382" s="13"/>
      <c r="L382" s="41"/>
      <c r="M382" s="39"/>
      <c r="N382" s="40"/>
    </row>
    <row r="383" spans="9:14" x14ac:dyDescent="0.25">
      <c r="I383" s="13"/>
      <c r="L383" s="41"/>
      <c r="M383" s="39"/>
      <c r="N383" s="40"/>
    </row>
    <row r="384" spans="9:14" x14ac:dyDescent="0.25">
      <c r="I384" s="13"/>
      <c r="L384" s="41"/>
      <c r="M384" s="39"/>
      <c r="N384" s="40"/>
    </row>
    <row r="385" spans="9:14" x14ac:dyDescent="0.25">
      <c r="I385" s="13"/>
      <c r="L385" s="41"/>
      <c r="M385" s="39"/>
      <c r="N385" s="40"/>
    </row>
    <row r="386" spans="9:14" x14ac:dyDescent="0.25">
      <c r="I386" s="13"/>
      <c r="L386" s="41"/>
      <c r="M386" s="39"/>
      <c r="N386" s="40"/>
    </row>
    <row r="387" spans="9:14" x14ac:dyDescent="0.25">
      <c r="I387" s="13"/>
      <c r="L387" s="41"/>
      <c r="M387" s="39"/>
      <c r="N387" s="40"/>
    </row>
    <row r="388" spans="9:14" x14ac:dyDescent="0.25">
      <c r="I388" s="13"/>
      <c r="L388" s="41"/>
      <c r="M388" s="39"/>
      <c r="N388" s="40"/>
    </row>
    <row r="389" spans="9:14" x14ac:dyDescent="0.25">
      <c r="I389" s="13"/>
      <c r="L389" s="41"/>
      <c r="M389" s="39"/>
      <c r="N389" s="40"/>
    </row>
    <row r="390" spans="9:14" x14ac:dyDescent="0.25">
      <c r="I390" s="13"/>
      <c r="L390" s="41"/>
      <c r="M390" s="39"/>
      <c r="N390" s="40"/>
    </row>
    <row r="391" spans="9:14" x14ac:dyDescent="0.25">
      <c r="I391" s="13"/>
      <c r="L391" s="41"/>
      <c r="M391" s="39"/>
      <c r="N391" s="40"/>
    </row>
    <row r="392" spans="9:14" x14ac:dyDescent="0.25">
      <c r="I392" s="13"/>
      <c r="L392" s="41"/>
      <c r="M392" s="39"/>
      <c r="N392" s="40"/>
    </row>
    <row r="393" spans="9:14" x14ac:dyDescent="0.25">
      <c r="I393" s="13"/>
      <c r="L393" s="41"/>
      <c r="M393" s="39"/>
      <c r="N393" s="40"/>
    </row>
    <row r="394" spans="9:14" x14ac:dyDescent="0.25">
      <c r="I394" s="13"/>
      <c r="L394" s="41"/>
      <c r="M394" s="39"/>
      <c r="N394" s="40"/>
    </row>
    <row r="395" spans="9:14" x14ac:dyDescent="0.25">
      <c r="I395" s="13"/>
      <c r="L395" s="41"/>
      <c r="M395" s="39"/>
      <c r="N395" s="40"/>
    </row>
    <row r="396" spans="9:14" x14ac:dyDescent="0.25">
      <c r="L396" s="41"/>
      <c r="M396" s="39"/>
      <c r="N396" s="40"/>
    </row>
    <row r="397" spans="9:14" x14ac:dyDescent="0.25">
      <c r="L397" s="41"/>
      <c r="M397" s="39"/>
      <c r="N397" s="40"/>
    </row>
    <row r="398" spans="9:14" x14ac:dyDescent="0.25">
      <c r="L398" s="41"/>
      <c r="M398" s="39"/>
      <c r="N398" s="40"/>
    </row>
    <row r="399" spans="9:14" x14ac:dyDescent="0.25">
      <c r="L399" s="41"/>
      <c r="M399" s="39"/>
      <c r="N399" s="40"/>
    </row>
    <row r="400" spans="9:14" x14ac:dyDescent="0.25">
      <c r="L400" s="41"/>
      <c r="M400" s="39"/>
      <c r="N400" s="40"/>
    </row>
    <row r="401" spans="12:14" x14ac:dyDescent="0.25">
      <c r="L401" s="41"/>
      <c r="M401" s="39"/>
      <c r="N401" s="40"/>
    </row>
    <row r="402" spans="12:14" x14ac:dyDescent="0.25">
      <c r="L402" s="41"/>
      <c r="M402" s="39"/>
      <c r="N402" s="40"/>
    </row>
    <row r="403" spans="12:14" x14ac:dyDescent="0.25">
      <c r="L403" s="41"/>
      <c r="M403" s="39"/>
      <c r="N403" s="40"/>
    </row>
    <row r="404" spans="12:14" x14ac:dyDescent="0.25">
      <c r="L404" s="41"/>
      <c r="M404" s="39"/>
      <c r="N404" s="40"/>
    </row>
    <row r="405" spans="12:14" x14ac:dyDescent="0.25">
      <c r="L405" s="41"/>
      <c r="M405" s="39"/>
      <c r="N405" s="40"/>
    </row>
    <row r="406" spans="12:14" x14ac:dyDescent="0.25">
      <c r="L406" s="41"/>
      <c r="M406" s="39"/>
      <c r="N406" s="40"/>
    </row>
    <row r="407" spans="12:14" x14ac:dyDescent="0.25">
      <c r="L407" s="41"/>
      <c r="M407" s="39"/>
      <c r="N407" s="40"/>
    </row>
  </sheetData>
  <mergeCells count="1">
    <mergeCell ref="B1:L20"/>
  </mergeCells>
  <dataValidations count="6">
    <dataValidation type="list" allowBlank="1" showInputMessage="1" showErrorMessage="1" sqref="I261:I407 I22:I259" xr:uid="{00000000-0002-0000-0600-000000000000}">
      <formula1>ASIGNACIÓN</formula1>
    </dataValidation>
    <dataValidation type="list" allowBlank="1" showInputMessage="1" showErrorMessage="1" sqref="D261:D407 G261:G407 D22:D259" xr:uid="{00000000-0002-0000-0600-000001000000}">
      <formula1>TENENCIA</formula1>
    </dataValidation>
    <dataValidation type="list" allowBlank="1" showInputMessage="1" showErrorMessage="1" sqref="H261:H407 B261:C407 C22:C259" xr:uid="{00000000-0002-0000-0600-000002000000}">
      <formula1>TIPO_DE_ÁREA</formula1>
    </dataValidation>
    <dataValidation type="list" allowBlank="1" showInputMessage="1" showErrorMessage="1" sqref="E261:F407 F22:F259" xr:uid="{00000000-0002-0000-0600-000003000000}">
      <formula1>UBICACIÓN</formula1>
    </dataValidation>
    <dataValidation type="list" allowBlank="1" showInputMessage="1" showErrorMessage="1" sqref="K22:K259" xr:uid="{00000000-0002-0000-0600-000004000000}">
      <formula1>FUNCIÓN_ESPECÍFICA</formula1>
    </dataValidation>
    <dataValidation type="list" allowBlank="1" showInputMessage="1" showErrorMessage="1" sqref="O22:O259" xr:uid="{00000000-0002-0000-0600-000005000000}">
      <formula1>Acceso</formula1>
    </dataValidation>
  </dataValidations>
  <pageMargins left="0.31496062992125984" right="0.31496062992125984" top="0.35433070866141736" bottom="0.35433070866141736" header="0.31496062992125984" footer="0.31496062992125984"/>
  <pageSetup scale="80" orientation="landscape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6000000}">
          <x14:formula1>
            <xm:f>Listas!$H$4:$H$34</xm:f>
          </x14:formula1>
          <xm:sqref>H22:H259</xm:sqref>
        </x14:dataValidation>
        <x14:dataValidation type="list" allowBlank="1" showInputMessage="1" showErrorMessage="1" xr:uid="{00000000-0002-0000-0600-000007000000}">
          <x14:formula1>
            <xm:f>'C:\Users\Tec Planeacion\Downloads\[Tabla Estadistica Infraestructura 2022 ok (1).xlsx]Hoja2'!#REF!</xm:f>
          </x14:formula1>
          <xm:sqref>B22:B259</xm:sqref>
        </x14:dataValidation>
        <x14:dataValidation type="list" allowBlank="1" showInputMessage="1" showErrorMessage="1" xr:uid="{00000000-0002-0000-0600-000008000000}">
          <x14:formula1>
            <xm:f>Listas!$J$4:$J$13</xm:f>
          </x14:formula1>
          <xm:sqref>G22:G259</xm:sqref>
        </x14:dataValidation>
        <x14:dataValidation type="list" allowBlank="1" showInputMessage="1" showErrorMessage="1" xr:uid="{47FFC8B3-B18D-4740-A679-B80497C5F413}">
          <x14:formula1>
            <xm:f>Listas!$F$4:$F$22</xm:f>
          </x14:formula1>
          <xm:sqref>E22:E259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108"/>
  <sheetViews>
    <sheetView workbookViewId="0">
      <selection activeCell="H20" sqref="H20"/>
    </sheetView>
  </sheetViews>
  <sheetFormatPr baseColWidth="10" defaultRowHeight="15" x14ac:dyDescent="0.25"/>
  <cols>
    <col min="1" max="1" width="26" style="177" bestFit="1" customWidth="1"/>
    <col min="2" max="2" width="29.7109375" style="177" bestFit="1" customWidth="1"/>
    <col min="3" max="3" width="7.85546875" style="177" bestFit="1" customWidth="1"/>
    <col min="4" max="4" width="8.85546875" style="177" bestFit="1" customWidth="1"/>
    <col min="5" max="5" width="12.42578125" style="177" bestFit="1" customWidth="1"/>
    <col min="6" max="6" width="3.42578125" customWidth="1"/>
  </cols>
  <sheetData>
    <row r="3" spans="1:5" x14ac:dyDescent="0.25">
      <c r="A3" s="273" t="s">
        <v>891</v>
      </c>
      <c r="B3" s="273"/>
      <c r="C3" s="273"/>
      <c r="D3" s="273"/>
      <c r="E3" s="273"/>
    </row>
    <row r="4" spans="1:5" x14ac:dyDescent="0.25">
      <c r="A4" s="178" t="s">
        <v>887</v>
      </c>
      <c r="B4" s="179" t="s">
        <v>879</v>
      </c>
      <c r="C4" s="178" t="s">
        <v>880</v>
      </c>
      <c r="D4" s="178" t="s">
        <v>874</v>
      </c>
      <c r="E4" s="178" t="s">
        <v>871</v>
      </c>
    </row>
    <row r="5" spans="1:5" x14ac:dyDescent="0.25">
      <c r="A5" s="186" t="s">
        <v>17</v>
      </c>
      <c r="B5" s="195" t="s">
        <v>881</v>
      </c>
      <c r="C5" s="180">
        <v>16</v>
      </c>
      <c r="D5" s="180">
        <v>57</v>
      </c>
      <c r="E5" s="180">
        <v>450.11</v>
      </c>
    </row>
    <row r="6" spans="1:5" x14ac:dyDescent="0.25">
      <c r="A6" s="186" t="s">
        <v>17</v>
      </c>
      <c r="B6" s="195" t="s">
        <v>895</v>
      </c>
      <c r="C6" s="180">
        <v>1</v>
      </c>
      <c r="D6" s="180">
        <v>1500</v>
      </c>
      <c r="E6" s="231">
        <v>982</v>
      </c>
    </row>
    <row r="7" spans="1:5" x14ac:dyDescent="0.25">
      <c r="A7" s="186" t="s">
        <v>17</v>
      </c>
      <c r="B7" s="195" t="s">
        <v>873</v>
      </c>
      <c r="C7" s="180">
        <v>1</v>
      </c>
      <c r="D7" s="180">
        <v>30</v>
      </c>
      <c r="E7" s="192">
        <v>56.3</v>
      </c>
    </row>
    <row r="8" spans="1:5" x14ac:dyDescent="0.25">
      <c r="A8" s="186" t="s">
        <v>17</v>
      </c>
      <c r="B8" s="195" t="s">
        <v>883</v>
      </c>
      <c r="C8" s="180">
        <v>3</v>
      </c>
      <c r="D8" s="180">
        <v>52</v>
      </c>
      <c r="E8" s="192">
        <v>116.55</v>
      </c>
    </row>
    <row r="9" spans="1:5" x14ac:dyDescent="0.25">
      <c r="A9" s="186" t="s">
        <v>17</v>
      </c>
      <c r="B9" s="195" t="s">
        <v>884</v>
      </c>
      <c r="C9" s="180">
        <v>6</v>
      </c>
      <c r="D9" s="180">
        <v>14</v>
      </c>
      <c r="E9" s="192">
        <v>46</v>
      </c>
    </row>
    <row r="10" spans="1:5" x14ac:dyDescent="0.25">
      <c r="A10" s="186" t="s">
        <v>17</v>
      </c>
      <c r="B10" s="195" t="s">
        <v>193</v>
      </c>
      <c r="C10" s="180">
        <v>1</v>
      </c>
      <c r="D10" s="180">
        <v>50</v>
      </c>
      <c r="E10" s="192">
        <v>3138.69</v>
      </c>
    </row>
    <row r="11" spans="1:5" x14ac:dyDescent="0.25">
      <c r="A11" s="186" t="s">
        <v>17</v>
      </c>
      <c r="B11" s="195" t="s">
        <v>886</v>
      </c>
      <c r="C11" s="180"/>
      <c r="D11" s="180"/>
      <c r="E11" s="192">
        <v>466.33</v>
      </c>
    </row>
    <row r="12" spans="1:5" s="8" customFormat="1" x14ac:dyDescent="0.25">
      <c r="A12" s="199"/>
      <c r="B12" s="200" t="s">
        <v>885</v>
      </c>
      <c r="C12" s="201"/>
      <c r="D12" s="201"/>
      <c r="E12" s="202">
        <f>SUM(E5:E11)</f>
        <v>5255.98</v>
      </c>
    </row>
    <row r="14" spans="1:5" ht="15" customHeight="1" x14ac:dyDescent="0.25">
      <c r="A14" s="273" t="s">
        <v>891</v>
      </c>
      <c r="B14" s="273"/>
      <c r="C14" s="273"/>
      <c r="D14" s="273"/>
      <c r="E14" s="273"/>
    </row>
    <row r="15" spans="1:5" x14ac:dyDescent="0.25">
      <c r="A15" s="178" t="s">
        <v>887</v>
      </c>
      <c r="B15" s="179" t="s">
        <v>879</v>
      </c>
      <c r="C15" s="178" t="s">
        <v>880</v>
      </c>
      <c r="D15" s="178" t="s">
        <v>874</v>
      </c>
      <c r="E15" s="178" t="s">
        <v>871</v>
      </c>
    </row>
    <row r="16" spans="1:5" x14ac:dyDescent="0.25">
      <c r="A16" s="180" t="s">
        <v>15</v>
      </c>
      <c r="B16" s="181" t="s">
        <v>872</v>
      </c>
      <c r="C16" s="182">
        <v>7</v>
      </c>
      <c r="D16" s="183">
        <v>44.285714285714285</v>
      </c>
      <c r="E16" s="182">
        <v>364.15</v>
      </c>
    </row>
    <row r="17" spans="1:5" x14ac:dyDescent="0.25">
      <c r="A17" s="180" t="s">
        <v>15</v>
      </c>
      <c r="B17" s="181" t="s">
        <v>396</v>
      </c>
      <c r="C17" s="180">
        <v>3</v>
      </c>
      <c r="D17" s="184">
        <v>39</v>
      </c>
      <c r="E17" s="180">
        <v>150.01000000000002</v>
      </c>
    </row>
    <row r="18" spans="1:5" x14ac:dyDescent="0.25">
      <c r="A18" s="186" t="s">
        <v>15</v>
      </c>
      <c r="B18" s="181" t="s">
        <v>393</v>
      </c>
      <c r="C18" s="185">
        <v>1</v>
      </c>
      <c r="D18" s="187">
        <v>30</v>
      </c>
      <c r="E18" s="188">
        <v>47.13</v>
      </c>
    </row>
    <row r="19" spans="1:5" x14ac:dyDescent="0.25">
      <c r="A19" s="186" t="s">
        <v>15</v>
      </c>
      <c r="B19" s="186" t="s">
        <v>30</v>
      </c>
      <c r="C19" s="180">
        <v>1</v>
      </c>
      <c r="D19" s="193">
        <v>10</v>
      </c>
      <c r="E19" s="192">
        <v>11.07</v>
      </c>
    </row>
    <row r="20" spans="1:5" x14ac:dyDescent="0.25">
      <c r="A20" s="186" t="s">
        <v>15</v>
      </c>
      <c r="B20" s="195" t="s">
        <v>881</v>
      </c>
      <c r="C20" s="180">
        <v>13</v>
      </c>
      <c r="D20" s="180">
        <v>39</v>
      </c>
      <c r="E20" s="180">
        <v>352.4</v>
      </c>
    </row>
    <row r="21" spans="1:5" x14ac:dyDescent="0.25">
      <c r="A21" s="186" t="s">
        <v>15</v>
      </c>
      <c r="B21" s="195" t="s">
        <v>882</v>
      </c>
      <c r="C21" s="180">
        <v>1</v>
      </c>
      <c r="D21" s="180">
        <v>20</v>
      </c>
      <c r="E21" s="192">
        <v>30.38</v>
      </c>
    </row>
    <row r="22" spans="1:5" x14ac:dyDescent="0.25">
      <c r="A22" s="186" t="s">
        <v>15</v>
      </c>
      <c r="B22" s="180" t="s">
        <v>27</v>
      </c>
      <c r="C22" s="180">
        <v>2</v>
      </c>
      <c r="D22" s="180">
        <v>40</v>
      </c>
      <c r="E22" s="192">
        <v>51.73</v>
      </c>
    </row>
    <row r="23" spans="1:5" x14ac:dyDescent="0.25">
      <c r="A23" s="186" t="s">
        <v>15</v>
      </c>
      <c r="B23" s="180" t="s">
        <v>886</v>
      </c>
      <c r="C23" s="180"/>
      <c r="D23" s="180"/>
      <c r="E23" s="192">
        <v>367.04</v>
      </c>
    </row>
    <row r="24" spans="1:5" s="8" customFormat="1" x14ac:dyDescent="0.25">
      <c r="A24" s="199"/>
      <c r="B24" s="200" t="s">
        <v>885</v>
      </c>
      <c r="C24" s="201"/>
      <c r="D24" s="201"/>
      <c r="E24" s="202">
        <f>SUM(E16:E23)</f>
        <v>1373.91</v>
      </c>
    </row>
    <row r="25" spans="1:5" x14ac:dyDescent="0.25">
      <c r="A25" s="196"/>
      <c r="B25" s="197"/>
    </row>
    <row r="27" spans="1:5" ht="15" customHeight="1" x14ac:dyDescent="0.25">
      <c r="A27" s="273" t="s">
        <v>891</v>
      </c>
      <c r="B27" s="273"/>
      <c r="C27" s="273"/>
      <c r="D27" s="273"/>
      <c r="E27" s="273"/>
    </row>
    <row r="28" spans="1:5" x14ac:dyDescent="0.25">
      <c r="A28" s="178" t="s">
        <v>887</v>
      </c>
      <c r="B28" s="179" t="s">
        <v>879</v>
      </c>
      <c r="C28" s="178" t="s">
        <v>880</v>
      </c>
      <c r="D28" s="178" t="s">
        <v>874</v>
      </c>
      <c r="E28" s="178" t="s">
        <v>871</v>
      </c>
    </row>
    <row r="29" spans="1:5" x14ac:dyDescent="0.25">
      <c r="A29" s="180" t="s">
        <v>16</v>
      </c>
      <c r="B29" s="181" t="s">
        <v>396</v>
      </c>
      <c r="C29" s="180">
        <v>1</v>
      </c>
      <c r="D29" s="184">
        <v>50</v>
      </c>
      <c r="E29" s="180">
        <v>86.05</v>
      </c>
    </row>
    <row r="30" spans="1:5" x14ac:dyDescent="0.25">
      <c r="A30" s="186" t="s">
        <v>16</v>
      </c>
      <c r="B30" s="186" t="s">
        <v>22</v>
      </c>
      <c r="C30" s="180">
        <v>1</v>
      </c>
      <c r="D30" s="191">
        <v>80</v>
      </c>
      <c r="E30" s="192">
        <v>110</v>
      </c>
    </row>
    <row r="31" spans="1:5" x14ac:dyDescent="0.25">
      <c r="A31" s="186" t="s">
        <v>16</v>
      </c>
      <c r="B31" s="195" t="s">
        <v>881</v>
      </c>
      <c r="C31" s="180">
        <v>4</v>
      </c>
      <c r="D31" s="180">
        <v>17</v>
      </c>
      <c r="E31" s="180">
        <v>169.03</v>
      </c>
    </row>
    <row r="32" spans="1:5" x14ac:dyDescent="0.25">
      <c r="A32" s="186" t="s">
        <v>16</v>
      </c>
      <c r="B32" s="195" t="s">
        <v>882</v>
      </c>
      <c r="C32" s="224">
        <v>8</v>
      </c>
      <c r="D32" s="224">
        <v>130</v>
      </c>
      <c r="E32" s="224">
        <v>427.82</v>
      </c>
    </row>
    <row r="33" spans="1:5" x14ac:dyDescent="0.25">
      <c r="A33" s="186" t="s">
        <v>16</v>
      </c>
      <c r="B33" s="195" t="s">
        <v>886</v>
      </c>
      <c r="C33" s="180"/>
      <c r="D33" s="180"/>
      <c r="E33" s="224">
        <v>438.24</v>
      </c>
    </row>
    <row r="34" spans="1:5" s="8" customFormat="1" x14ac:dyDescent="0.25">
      <c r="A34" s="199"/>
      <c r="B34" s="200" t="s">
        <v>885</v>
      </c>
      <c r="C34" s="201"/>
      <c r="D34" s="201"/>
      <c r="E34" s="201">
        <f>SUM(E29:E33)</f>
        <v>1231.1400000000001</v>
      </c>
    </row>
    <row r="35" spans="1:5" x14ac:dyDescent="0.25">
      <c r="A35" s="196"/>
      <c r="B35" s="197"/>
    </row>
    <row r="37" spans="1:5" ht="15" customHeight="1" x14ac:dyDescent="0.25">
      <c r="A37" s="273" t="s">
        <v>891</v>
      </c>
      <c r="B37" s="273"/>
      <c r="C37" s="273"/>
      <c r="D37" s="273"/>
      <c r="E37" s="273"/>
    </row>
    <row r="38" spans="1:5" x14ac:dyDescent="0.25">
      <c r="A38" s="178" t="s">
        <v>887</v>
      </c>
      <c r="B38" s="179" t="s">
        <v>879</v>
      </c>
      <c r="C38" s="178" t="s">
        <v>880</v>
      </c>
      <c r="D38" s="178" t="s">
        <v>874</v>
      </c>
      <c r="E38" s="178" t="s">
        <v>871</v>
      </c>
    </row>
    <row r="39" spans="1:5" x14ac:dyDescent="0.25">
      <c r="A39" s="180" t="s">
        <v>14</v>
      </c>
      <c r="B39" s="181" t="s">
        <v>872</v>
      </c>
      <c r="C39" s="180">
        <v>19</v>
      </c>
      <c r="D39" s="184">
        <v>31.263157894736842</v>
      </c>
      <c r="E39" s="180">
        <v>1133.4500000000003</v>
      </c>
    </row>
    <row r="40" spans="1:5" x14ac:dyDescent="0.25">
      <c r="A40" s="186" t="s">
        <v>14</v>
      </c>
      <c r="B40" s="181" t="s">
        <v>393</v>
      </c>
      <c r="C40" s="185">
        <v>2</v>
      </c>
      <c r="D40" s="185">
        <v>34</v>
      </c>
      <c r="E40" s="189">
        <v>191.74</v>
      </c>
    </row>
    <row r="41" spans="1:5" x14ac:dyDescent="0.25">
      <c r="A41" s="186" t="s">
        <v>14</v>
      </c>
      <c r="B41" s="195" t="s">
        <v>881</v>
      </c>
      <c r="C41" s="180">
        <v>21</v>
      </c>
      <c r="D41" s="180">
        <v>110</v>
      </c>
      <c r="E41" s="180">
        <v>453.22</v>
      </c>
    </row>
    <row r="42" spans="1:5" x14ac:dyDescent="0.25">
      <c r="A42" s="186" t="s">
        <v>14</v>
      </c>
      <c r="B42" s="195" t="s">
        <v>873</v>
      </c>
      <c r="C42" s="180">
        <v>1</v>
      </c>
      <c r="D42" s="180">
        <v>25</v>
      </c>
      <c r="E42" s="192">
        <v>37.090000000000003</v>
      </c>
    </row>
    <row r="43" spans="1:5" x14ac:dyDescent="0.25">
      <c r="A43" s="186" t="s">
        <v>14</v>
      </c>
      <c r="B43" s="195" t="s">
        <v>882</v>
      </c>
      <c r="C43" s="180">
        <v>7</v>
      </c>
      <c r="D43" s="180">
        <v>106</v>
      </c>
      <c r="E43" s="180">
        <v>3034.81</v>
      </c>
    </row>
    <row r="44" spans="1:5" x14ac:dyDescent="0.25">
      <c r="A44" s="186" t="s">
        <v>14</v>
      </c>
      <c r="B44" s="195" t="s">
        <v>27</v>
      </c>
      <c r="C44" s="194">
        <v>1</v>
      </c>
      <c r="D44" s="194">
        <v>5</v>
      </c>
      <c r="E44" s="194">
        <v>21.78</v>
      </c>
    </row>
    <row r="45" spans="1:5" x14ac:dyDescent="0.25">
      <c r="A45" s="186" t="s">
        <v>14</v>
      </c>
      <c r="B45" s="195" t="s">
        <v>117</v>
      </c>
      <c r="C45" s="194">
        <v>1</v>
      </c>
      <c r="D45" s="194">
        <v>20</v>
      </c>
      <c r="E45" s="194">
        <v>43.62</v>
      </c>
    </row>
    <row r="46" spans="1:5" x14ac:dyDescent="0.25">
      <c r="A46" s="186" t="s">
        <v>14</v>
      </c>
      <c r="B46" s="195" t="s">
        <v>21</v>
      </c>
      <c r="C46" s="194">
        <v>1</v>
      </c>
      <c r="D46" s="194">
        <v>6</v>
      </c>
      <c r="E46" s="194">
        <v>27.63</v>
      </c>
    </row>
    <row r="47" spans="1:5" x14ac:dyDescent="0.25">
      <c r="A47" s="186" t="s">
        <v>14</v>
      </c>
      <c r="B47" s="195" t="s">
        <v>888</v>
      </c>
      <c r="C47" s="194">
        <v>6</v>
      </c>
      <c r="D47" s="194">
        <v>12</v>
      </c>
      <c r="E47" s="194">
        <v>43.85</v>
      </c>
    </row>
    <row r="48" spans="1:5" x14ac:dyDescent="0.25">
      <c r="A48" s="186" t="s">
        <v>14</v>
      </c>
      <c r="B48" s="195" t="s">
        <v>886</v>
      </c>
      <c r="C48" s="194"/>
      <c r="D48" s="194"/>
      <c r="E48" s="194">
        <v>1029.94</v>
      </c>
    </row>
    <row r="49" spans="1:5" s="8" customFormat="1" x14ac:dyDescent="0.25">
      <c r="A49" s="201"/>
      <c r="B49" s="200" t="s">
        <v>885</v>
      </c>
      <c r="C49" s="201"/>
      <c r="D49" s="205"/>
      <c r="E49" s="202">
        <f>SUM(E39:E48)</f>
        <v>6017.130000000001</v>
      </c>
    </row>
    <row r="51" spans="1:5" ht="15" customHeight="1" x14ac:dyDescent="0.25">
      <c r="A51" s="273" t="s">
        <v>891</v>
      </c>
      <c r="B51" s="273"/>
      <c r="C51" s="273"/>
      <c r="D51" s="273"/>
      <c r="E51" s="273"/>
    </row>
    <row r="52" spans="1:5" x14ac:dyDescent="0.25">
      <c r="A52" s="178" t="s">
        <v>887</v>
      </c>
      <c r="B52" s="179" t="s">
        <v>879</v>
      </c>
      <c r="C52" s="178" t="s">
        <v>880</v>
      </c>
      <c r="D52" s="178" t="s">
        <v>874</v>
      </c>
      <c r="E52" s="178" t="s">
        <v>871</v>
      </c>
    </row>
    <row r="53" spans="1:5" x14ac:dyDescent="0.25">
      <c r="A53" s="180" t="s">
        <v>877</v>
      </c>
      <c r="B53" s="181" t="s">
        <v>872</v>
      </c>
      <c r="C53" s="180">
        <v>15</v>
      </c>
      <c r="D53" s="184">
        <v>41.133333333333333</v>
      </c>
      <c r="E53" s="180">
        <v>728.93</v>
      </c>
    </row>
    <row r="54" spans="1:5" x14ac:dyDescent="0.25">
      <c r="A54" s="180" t="s">
        <v>877</v>
      </c>
      <c r="B54" s="181" t="s">
        <v>396</v>
      </c>
      <c r="C54" s="180">
        <v>1</v>
      </c>
      <c r="D54" s="184">
        <v>16</v>
      </c>
      <c r="E54" s="180">
        <v>59.41</v>
      </c>
    </row>
    <row r="55" spans="1:5" x14ac:dyDescent="0.25">
      <c r="A55" s="186" t="s">
        <v>297</v>
      </c>
      <c r="B55" s="181" t="s">
        <v>393</v>
      </c>
      <c r="C55" s="185">
        <v>3</v>
      </c>
      <c r="D55" s="187">
        <v>13</v>
      </c>
      <c r="E55" s="188">
        <v>115.58</v>
      </c>
    </row>
    <row r="56" spans="1:5" x14ac:dyDescent="0.25">
      <c r="A56" s="186" t="s">
        <v>297</v>
      </c>
      <c r="B56" s="186" t="s">
        <v>30</v>
      </c>
      <c r="C56" s="180">
        <v>1</v>
      </c>
      <c r="D56" s="193">
        <v>330</v>
      </c>
      <c r="E56" s="192">
        <v>663.15</v>
      </c>
    </row>
    <row r="57" spans="1:5" x14ac:dyDescent="0.25">
      <c r="A57" s="186" t="s">
        <v>297</v>
      </c>
      <c r="B57" s="195" t="s">
        <v>881</v>
      </c>
      <c r="C57" s="180">
        <v>28</v>
      </c>
      <c r="D57" s="180">
        <v>105</v>
      </c>
      <c r="E57" s="180">
        <v>460.21</v>
      </c>
    </row>
    <row r="58" spans="1:5" x14ac:dyDescent="0.25">
      <c r="A58" s="186" t="s">
        <v>297</v>
      </c>
      <c r="B58" s="195" t="s">
        <v>873</v>
      </c>
      <c r="C58" s="180">
        <v>1</v>
      </c>
      <c r="D58" s="180">
        <v>93</v>
      </c>
      <c r="E58" s="180">
        <v>234.1</v>
      </c>
    </row>
    <row r="59" spans="1:5" x14ac:dyDescent="0.25">
      <c r="A59" s="186" t="s">
        <v>297</v>
      </c>
      <c r="B59" s="195" t="s">
        <v>882</v>
      </c>
      <c r="C59" s="180">
        <v>3</v>
      </c>
      <c r="D59" s="180">
        <v>63</v>
      </c>
      <c r="E59" s="180">
        <v>261.24</v>
      </c>
    </row>
    <row r="60" spans="1:5" x14ac:dyDescent="0.25">
      <c r="A60" s="186" t="s">
        <v>297</v>
      </c>
      <c r="B60" s="195" t="s">
        <v>27</v>
      </c>
      <c r="C60" s="180">
        <v>1</v>
      </c>
      <c r="D60" s="193">
        <v>50</v>
      </c>
      <c r="E60" s="192">
        <v>84.17</v>
      </c>
    </row>
    <row r="61" spans="1:5" x14ac:dyDescent="0.25">
      <c r="A61" s="186" t="s">
        <v>297</v>
      </c>
      <c r="B61" s="195" t="s">
        <v>117</v>
      </c>
      <c r="C61" s="180">
        <v>1</v>
      </c>
      <c r="D61" s="193">
        <v>3</v>
      </c>
      <c r="E61" s="192">
        <v>10.57</v>
      </c>
    </row>
    <row r="62" spans="1:5" x14ac:dyDescent="0.25">
      <c r="A62" s="186" t="s">
        <v>297</v>
      </c>
      <c r="B62" s="195" t="s">
        <v>21</v>
      </c>
      <c r="C62" s="180">
        <v>6</v>
      </c>
      <c r="D62" s="193">
        <v>120</v>
      </c>
      <c r="E62" s="192">
        <v>271.52999999999997</v>
      </c>
    </row>
    <row r="63" spans="1:5" x14ac:dyDescent="0.25">
      <c r="A63" s="186" t="s">
        <v>297</v>
      </c>
      <c r="B63" s="195" t="s">
        <v>886</v>
      </c>
      <c r="C63" s="180"/>
      <c r="D63" s="193"/>
      <c r="E63" s="206">
        <v>719.78</v>
      </c>
    </row>
    <row r="64" spans="1:5" s="8" customFormat="1" x14ac:dyDescent="0.25">
      <c r="A64" s="199"/>
      <c r="B64" s="200" t="s">
        <v>885</v>
      </c>
      <c r="C64" s="201"/>
      <c r="D64" s="201"/>
      <c r="E64" s="201">
        <f>SUM(E53:E63)</f>
        <v>3608.67</v>
      </c>
    </row>
    <row r="66" spans="1:5" ht="15" customHeight="1" x14ac:dyDescent="0.25">
      <c r="A66" s="273" t="s">
        <v>891</v>
      </c>
      <c r="B66" s="273"/>
      <c r="C66" s="273"/>
      <c r="D66" s="273"/>
      <c r="E66" s="273"/>
    </row>
    <row r="67" spans="1:5" x14ac:dyDescent="0.25">
      <c r="A67" s="178" t="s">
        <v>887</v>
      </c>
      <c r="B67" s="179" t="s">
        <v>879</v>
      </c>
      <c r="C67" s="178" t="s">
        <v>880</v>
      </c>
      <c r="D67" s="178" t="s">
        <v>874</v>
      </c>
      <c r="E67" s="178" t="s">
        <v>871</v>
      </c>
    </row>
    <row r="68" spans="1:5" x14ac:dyDescent="0.25">
      <c r="A68" s="180" t="s">
        <v>18</v>
      </c>
      <c r="B68" s="181" t="s">
        <v>872</v>
      </c>
      <c r="C68" s="180">
        <v>42</v>
      </c>
      <c r="D68" s="184">
        <v>25.571428571428573</v>
      </c>
      <c r="E68" s="180">
        <v>2183.17</v>
      </c>
    </row>
    <row r="69" spans="1:5" x14ac:dyDescent="0.25">
      <c r="A69" s="180" t="s">
        <v>18</v>
      </c>
      <c r="B69" s="181" t="s">
        <v>396</v>
      </c>
      <c r="C69" s="180">
        <v>9</v>
      </c>
      <c r="D69" s="184">
        <v>39</v>
      </c>
      <c r="E69" s="180">
        <v>719.99999999999989</v>
      </c>
    </row>
    <row r="70" spans="1:5" x14ac:dyDescent="0.25">
      <c r="A70" s="186" t="s">
        <v>18</v>
      </c>
      <c r="B70" s="186" t="s">
        <v>22</v>
      </c>
      <c r="C70" s="180">
        <v>2</v>
      </c>
      <c r="D70" s="193">
        <v>408</v>
      </c>
      <c r="E70" s="192">
        <v>537</v>
      </c>
    </row>
    <row r="71" spans="1:5" x14ac:dyDescent="0.25">
      <c r="A71" s="186" t="s">
        <v>18</v>
      </c>
      <c r="B71" s="195" t="s">
        <v>881</v>
      </c>
      <c r="C71" s="180">
        <v>19</v>
      </c>
      <c r="D71" s="180">
        <v>92</v>
      </c>
      <c r="E71" s="180">
        <v>459.07</v>
      </c>
    </row>
    <row r="72" spans="1:5" x14ac:dyDescent="0.25">
      <c r="A72" s="186" t="s">
        <v>18</v>
      </c>
      <c r="B72" s="195" t="s">
        <v>873</v>
      </c>
      <c r="C72" s="180">
        <v>2</v>
      </c>
      <c r="D72" s="180">
        <v>30</v>
      </c>
      <c r="E72" s="180">
        <v>16.920000000000002</v>
      </c>
    </row>
    <row r="73" spans="1:5" x14ac:dyDescent="0.25">
      <c r="A73" s="186" t="s">
        <v>18</v>
      </c>
      <c r="B73" s="195" t="s">
        <v>882</v>
      </c>
      <c r="C73" s="180">
        <v>3</v>
      </c>
      <c r="D73" s="180">
        <v>81</v>
      </c>
      <c r="E73" s="180">
        <v>629.79</v>
      </c>
    </row>
    <row r="74" spans="1:5" x14ac:dyDescent="0.25">
      <c r="A74" s="186" t="s">
        <v>18</v>
      </c>
      <c r="B74" s="180" t="s">
        <v>27</v>
      </c>
      <c r="C74" s="180">
        <v>1</v>
      </c>
      <c r="D74" s="193">
        <v>31</v>
      </c>
      <c r="E74" s="192">
        <v>63.63</v>
      </c>
    </row>
    <row r="75" spans="1:5" x14ac:dyDescent="0.25">
      <c r="A75" s="186" t="s">
        <v>18</v>
      </c>
      <c r="B75" s="186" t="s">
        <v>21</v>
      </c>
      <c r="C75" s="180">
        <v>3</v>
      </c>
      <c r="D75" s="193">
        <v>55</v>
      </c>
      <c r="E75" s="192">
        <v>149.44</v>
      </c>
    </row>
    <row r="76" spans="1:5" x14ac:dyDescent="0.25">
      <c r="A76" s="186" t="s">
        <v>18</v>
      </c>
      <c r="B76" s="195" t="s">
        <v>193</v>
      </c>
      <c r="C76" s="180">
        <v>1</v>
      </c>
      <c r="D76" s="193">
        <v>38</v>
      </c>
      <c r="E76" s="192">
        <v>472.39</v>
      </c>
    </row>
    <row r="77" spans="1:5" x14ac:dyDescent="0.25">
      <c r="A77" s="186" t="s">
        <v>18</v>
      </c>
      <c r="B77" s="195" t="s">
        <v>886</v>
      </c>
      <c r="C77" s="180"/>
      <c r="D77" s="180"/>
      <c r="E77" s="180">
        <v>4222.17</v>
      </c>
    </row>
    <row r="78" spans="1:5" s="8" customFormat="1" x14ac:dyDescent="0.25">
      <c r="A78" s="199"/>
      <c r="B78" s="200" t="s">
        <v>885</v>
      </c>
      <c r="C78" s="201"/>
      <c r="D78" s="201"/>
      <c r="E78" s="201">
        <f>SUM(E68:E77)</f>
        <v>9453.5800000000017</v>
      </c>
    </row>
    <row r="80" spans="1:5" ht="15" customHeight="1" x14ac:dyDescent="0.25">
      <c r="A80" s="273" t="s">
        <v>891</v>
      </c>
      <c r="B80" s="273"/>
      <c r="C80" s="273"/>
      <c r="D80" s="273"/>
      <c r="E80" s="273"/>
    </row>
    <row r="81" spans="1:5" x14ac:dyDescent="0.25">
      <c r="A81" s="178" t="s">
        <v>887</v>
      </c>
      <c r="B81" s="179" t="s">
        <v>879</v>
      </c>
      <c r="C81" s="178" t="s">
        <v>880</v>
      </c>
      <c r="D81" s="178" t="s">
        <v>874</v>
      </c>
      <c r="E81" s="178" t="s">
        <v>871</v>
      </c>
    </row>
    <row r="82" spans="1:5" x14ac:dyDescent="0.25">
      <c r="A82" s="180" t="s">
        <v>878</v>
      </c>
      <c r="B82" s="181" t="s">
        <v>393</v>
      </c>
      <c r="C82" s="185">
        <v>1</v>
      </c>
      <c r="D82" s="185">
        <v>51</v>
      </c>
      <c r="E82" s="186">
        <v>156.06</v>
      </c>
    </row>
    <row r="83" spans="1:5" x14ac:dyDescent="0.25">
      <c r="A83" s="180" t="s">
        <v>878</v>
      </c>
      <c r="B83" s="186" t="s">
        <v>22</v>
      </c>
      <c r="C83" s="180">
        <v>2</v>
      </c>
      <c r="D83" s="193">
        <v>30</v>
      </c>
      <c r="E83" s="194">
        <v>186.92000000000002</v>
      </c>
    </row>
    <row r="84" spans="1:5" x14ac:dyDescent="0.25">
      <c r="A84" s="180" t="s">
        <v>878</v>
      </c>
      <c r="B84" s="186" t="s">
        <v>796</v>
      </c>
      <c r="C84" s="180">
        <v>1</v>
      </c>
      <c r="D84" s="193">
        <v>41</v>
      </c>
      <c r="E84" s="194">
        <v>99.4</v>
      </c>
    </row>
    <row r="85" spans="1:5" x14ac:dyDescent="0.25">
      <c r="A85" s="180" t="s">
        <v>878</v>
      </c>
      <c r="B85" s="195" t="s">
        <v>881</v>
      </c>
      <c r="C85" s="180">
        <v>13</v>
      </c>
      <c r="D85" s="180"/>
      <c r="E85" s="180">
        <v>280.75</v>
      </c>
    </row>
    <row r="86" spans="1:5" x14ac:dyDescent="0.25">
      <c r="A86" s="180" t="s">
        <v>878</v>
      </c>
      <c r="B86" s="195" t="s">
        <v>873</v>
      </c>
      <c r="C86" s="180">
        <v>2</v>
      </c>
      <c r="D86" s="180">
        <v>254</v>
      </c>
      <c r="E86" s="180">
        <v>441.64</v>
      </c>
    </row>
    <row r="87" spans="1:5" x14ac:dyDescent="0.25">
      <c r="A87" s="180" t="s">
        <v>878</v>
      </c>
      <c r="B87" s="195" t="s">
        <v>882</v>
      </c>
      <c r="C87" s="180">
        <v>6</v>
      </c>
      <c r="D87" s="180"/>
      <c r="E87" s="180">
        <v>20007.97</v>
      </c>
    </row>
    <row r="88" spans="1:5" x14ac:dyDescent="0.25">
      <c r="A88" s="180" t="s">
        <v>878</v>
      </c>
      <c r="B88" s="181" t="s">
        <v>872</v>
      </c>
      <c r="C88" s="180">
        <v>31</v>
      </c>
      <c r="D88" s="184">
        <v>40.548387096774192</v>
      </c>
      <c r="E88" s="180">
        <v>3167.0199999999995</v>
      </c>
    </row>
    <row r="89" spans="1:5" x14ac:dyDescent="0.25">
      <c r="A89" s="185" t="s">
        <v>878</v>
      </c>
      <c r="B89" s="186" t="s">
        <v>396</v>
      </c>
      <c r="C89" s="185">
        <v>2</v>
      </c>
      <c r="D89" s="187">
        <v>44</v>
      </c>
      <c r="E89" s="185">
        <v>202.35</v>
      </c>
    </row>
    <row r="90" spans="1:5" x14ac:dyDescent="0.25">
      <c r="A90" s="185" t="s">
        <v>878</v>
      </c>
      <c r="B90" s="186" t="s">
        <v>117</v>
      </c>
      <c r="C90" s="180">
        <v>1</v>
      </c>
      <c r="D90" s="193">
        <v>13</v>
      </c>
      <c r="E90" s="194">
        <v>38.11</v>
      </c>
    </row>
    <row r="91" spans="1:5" x14ac:dyDescent="0.25">
      <c r="A91" s="185" t="s">
        <v>878</v>
      </c>
      <c r="B91" s="186" t="s">
        <v>21</v>
      </c>
      <c r="C91" s="185">
        <v>13</v>
      </c>
      <c r="D91" s="187">
        <v>40</v>
      </c>
      <c r="E91" s="185">
        <v>342.63</v>
      </c>
    </row>
    <row r="92" spans="1:5" x14ac:dyDescent="0.25">
      <c r="A92" s="185" t="s">
        <v>878</v>
      </c>
      <c r="B92" s="195" t="s">
        <v>193</v>
      </c>
      <c r="C92" s="185"/>
      <c r="D92" s="187"/>
      <c r="E92" s="185">
        <v>8700.64</v>
      </c>
    </row>
    <row r="93" spans="1:5" x14ac:dyDescent="0.25">
      <c r="A93" s="185" t="s">
        <v>878</v>
      </c>
      <c r="B93" s="195" t="s">
        <v>886</v>
      </c>
      <c r="C93" s="185"/>
      <c r="D93" s="187"/>
      <c r="E93" s="185">
        <v>23266.06</v>
      </c>
    </row>
    <row r="94" spans="1:5" s="8" customFormat="1" x14ac:dyDescent="0.25">
      <c r="A94" s="203"/>
      <c r="B94" s="200" t="s">
        <v>885</v>
      </c>
      <c r="C94" s="203"/>
      <c r="D94" s="204"/>
      <c r="E94" s="203">
        <f>SUM(E82:E93)</f>
        <v>56889.55</v>
      </c>
    </row>
    <row r="96" spans="1:5" ht="15" customHeight="1" x14ac:dyDescent="0.25">
      <c r="A96" s="273" t="s">
        <v>891</v>
      </c>
      <c r="B96" s="273"/>
      <c r="C96" s="273"/>
      <c r="D96" s="273"/>
      <c r="E96" s="273"/>
    </row>
    <row r="97" spans="1:5" x14ac:dyDescent="0.25">
      <c r="A97" s="178" t="s">
        <v>887</v>
      </c>
      <c r="B97" s="179" t="s">
        <v>879</v>
      </c>
      <c r="C97" s="178" t="s">
        <v>880</v>
      </c>
      <c r="D97" s="178" t="s">
        <v>874</v>
      </c>
      <c r="E97" s="178" t="s">
        <v>871</v>
      </c>
    </row>
    <row r="98" spans="1:5" x14ac:dyDescent="0.25">
      <c r="A98" s="180" t="s">
        <v>20</v>
      </c>
      <c r="B98" s="181" t="s">
        <v>872</v>
      </c>
      <c r="C98" s="180">
        <v>7</v>
      </c>
      <c r="D98" s="184">
        <v>33.714285714285715</v>
      </c>
      <c r="E98" s="180">
        <v>329.95</v>
      </c>
    </row>
    <row r="99" spans="1:5" x14ac:dyDescent="0.25">
      <c r="A99" s="186" t="s">
        <v>20</v>
      </c>
      <c r="B99" s="181" t="s">
        <v>393</v>
      </c>
      <c r="C99" s="185">
        <v>2</v>
      </c>
      <c r="D99" s="185">
        <v>13</v>
      </c>
      <c r="E99" s="190">
        <v>48.5</v>
      </c>
    </row>
    <row r="100" spans="1:5" x14ac:dyDescent="0.25">
      <c r="A100" s="186" t="s">
        <v>20</v>
      </c>
      <c r="B100" s="189" t="s">
        <v>313</v>
      </c>
      <c r="C100" s="180">
        <v>1</v>
      </c>
      <c r="D100" s="191">
        <v>11</v>
      </c>
      <c r="E100" s="192">
        <v>23.53</v>
      </c>
    </row>
    <row r="101" spans="1:5" x14ac:dyDescent="0.25">
      <c r="A101" s="186" t="s">
        <v>20</v>
      </c>
      <c r="B101" s="195" t="s">
        <v>881</v>
      </c>
      <c r="C101" s="180">
        <v>2</v>
      </c>
      <c r="D101" s="180">
        <v>6</v>
      </c>
      <c r="E101" s="180">
        <v>31.56</v>
      </c>
    </row>
    <row r="102" spans="1:5" x14ac:dyDescent="0.25">
      <c r="A102" s="186" t="s">
        <v>20</v>
      </c>
      <c r="B102" s="195" t="s">
        <v>873</v>
      </c>
      <c r="C102" s="180">
        <v>1</v>
      </c>
      <c r="D102" s="180">
        <v>42</v>
      </c>
      <c r="E102" s="180">
        <v>73.28</v>
      </c>
    </row>
    <row r="103" spans="1:5" x14ac:dyDescent="0.25">
      <c r="A103" s="186" t="s">
        <v>20</v>
      </c>
      <c r="B103" s="195" t="s">
        <v>882</v>
      </c>
      <c r="C103" s="180">
        <v>2</v>
      </c>
      <c r="D103" s="180"/>
      <c r="E103" s="180">
        <v>221.24</v>
      </c>
    </row>
    <row r="104" spans="1:5" x14ac:dyDescent="0.25">
      <c r="A104" s="186" t="s">
        <v>20</v>
      </c>
      <c r="B104" s="186" t="s">
        <v>21</v>
      </c>
      <c r="C104" s="180">
        <v>1</v>
      </c>
      <c r="D104" s="191">
        <v>8</v>
      </c>
      <c r="E104" s="192">
        <v>46.7</v>
      </c>
    </row>
    <row r="105" spans="1:5" x14ac:dyDescent="0.25">
      <c r="A105" s="186" t="s">
        <v>20</v>
      </c>
      <c r="B105" s="180" t="s">
        <v>886</v>
      </c>
      <c r="C105" s="180"/>
      <c r="D105" s="180"/>
      <c r="E105" s="180">
        <v>180.27</v>
      </c>
    </row>
    <row r="106" spans="1:5" s="8" customFormat="1" x14ac:dyDescent="0.25">
      <c r="A106" s="201"/>
      <c r="B106" s="200" t="s">
        <v>885</v>
      </c>
      <c r="C106" s="201"/>
      <c r="D106" s="201"/>
      <c r="E106" s="201">
        <f>SUM(E98:E105)</f>
        <v>955.03000000000009</v>
      </c>
    </row>
    <row r="108" spans="1:5" x14ac:dyDescent="0.25">
      <c r="B108" s="212" t="s">
        <v>871</v>
      </c>
      <c r="C108" s="270">
        <f>E12+E24+E34+E49+E64+E78+E94+E106</f>
        <v>84784.99</v>
      </c>
      <c r="D108" s="271"/>
      <c r="E108" s="272"/>
    </row>
  </sheetData>
  <autoFilter ref="A4:E4" xr:uid="{00000000-0009-0000-0000-000007000000}">
    <sortState ref="A5:E48">
      <sortCondition ref="A4"/>
    </sortState>
  </autoFilter>
  <mergeCells count="9">
    <mergeCell ref="C108:E108"/>
    <mergeCell ref="A80:E80"/>
    <mergeCell ref="A96:E96"/>
    <mergeCell ref="A3:E3"/>
    <mergeCell ref="A14:E14"/>
    <mergeCell ref="A27:E27"/>
    <mergeCell ref="A37:E37"/>
    <mergeCell ref="A51:E51"/>
    <mergeCell ref="A66:E66"/>
  </mergeCells>
  <dataValidations count="1">
    <dataValidation type="list" allowBlank="1" showInputMessage="1" showErrorMessage="1" sqref="A32:A35 A39:A48 A98:A105 A82:A94 A53:A64 A68:A78" xr:uid="{00000000-0002-0000-0700-000000000000}">
      <formula1>UBICACIÓN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Listas!$H$4:$H$34</xm:f>
          </x14:formula1>
          <xm:sqref>B53:B56 B39:B43 B35 B45:B46 B61:B62 B104 B75 B32 B90:B91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1"/>
  <sheetViews>
    <sheetView topLeftCell="A2" zoomScale="86" zoomScaleNormal="86" workbookViewId="0">
      <selection activeCell="Z6" sqref="Z6"/>
    </sheetView>
  </sheetViews>
  <sheetFormatPr baseColWidth="10" defaultRowHeight="15" x14ac:dyDescent="0.25"/>
  <cols>
    <col min="1" max="1" width="28.28515625" style="211" customWidth="1"/>
    <col min="2" max="2" width="7.7109375" style="177" customWidth="1"/>
    <col min="3" max="3" width="5.42578125" style="177" customWidth="1"/>
    <col min="4" max="5" width="7.7109375" style="177" customWidth="1"/>
    <col min="6" max="6" width="5.140625" style="177" bestFit="1" customWidth="1"/>
    <col min="7" max="7" width="7.85546875" style="177" bestFit="1" customWidth="1"/>
    <col min="8" max="8" width="7.7109375" style="177" customWidth="1"/>
    <col min="9" max="9" width="5.140625" style="177" bestFit="1" customWidth="1"/>
    <col min="10" max="10" width="7.85546875" style="177" bestFit="1" customWidth="1"/>
    <col min="11" max="11" width="6" style="177" bestFit="1" customWidth="1"/>
    <col min="12" max="12" width="8.85546875" style="177" bestFit="1" customWidth="1"/>
    <col min="13" max="13" width="7.85546875" style="177" bestFit="1" customWidth="1"/>
    <col min="14" max="14" width="7.7109375" style="177" customWidth="1"/>
    <col min="15" max="15" width="5.140625" style="177" bestFit="1" customWidth="1"/>
    <col min="16" max="16" width="10.7109375" style="177" customWidth="1"/>
    <col min="17" max="17" width="7.7109375" style="177" customWidth="1"/>
    <col min="18" max="18" width="4.85546875" style="177" customWidth="1"/>
    <col min="19" max="19" width="8" style="177" bestFit="1" customWidth="1"/>
    <col min="20" max="20" width="7.7109375" style="177" customWidth="1"/>
    <col min="21" max="21" width="5.140625" style="177" bestFit="1" customWidth="1"/>
    <col min="22" max="22" width="9" style="177" bestFit="1" customWidth="1"/>
    <col min="23" max="23" width="7.7109375" style="177" customWidth="1"/>
    <col min="24" max="24" width="5.140625" style="177" bestFit="1" customWidth="1"/>
    <col min="25" max="25" width="8.28515625" style="177" customWidth="1"/>
    <col min="26" max="26" width="7.7109375" style="177" customWidth="1"/>
    <col min="27" max="28" width="11.42578125" style="177"/>
  </cols>
  <sheetData>
    <row r="1" spans="1:29" ht="26.25" customHeight="1" x14ac:dyDescent="0.25">
      <c r="A1" s="274" t="s">
        <v>892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</row>
    <row r="3" spans="1:29" s="3" customFormat="1" ht="30.75" customHeight="1" x14ac:dyDescent="0.25">
      <c r="A3" s="278" t="s">
        <v>879</v>
      </c>
      <c r="B3" s="276" t="s">
        <v>894</v>
      </c>
      <c r="C3" s="276"/>
      <c r="D3" s="276"/>
      <c r="E3" s="275" t="s">
        <v>15</v>
      </c>
      <c r="F3" s="275"/>
      <c r="G3" s="275"/>
      <c r="H3" s="280" t="s">
        <v>16</v>
      </c>
      <c r="I3" s="280"/>
      <c r="J3" s="280"/>
      <c r="K3" s="276" t="s">
        <v>14</v>
      </c>
      <c r="L3" s="276"/>
      <c r="M3" s="276"/>
      <c r="N3" s="275" t="s">
        <v>877</v>
      </c>
      <c r="O3" s="275"/>
      <c r="P3" s="275"/>
      <c r="Q3" s="276" t="s">
        <v>18</v>
      </c>
      <c r="R3" s="276"/>
      <c r="S3" s="276"/>
      <c r="T3" s="275" t="s">
        <v>878</v>
      </c>
      <c r="U3" s="275"/>
      <c r="V3" s="275"/>
      <c r="W3" s="275" t="s">
        <v>20</v>
      </c>
      <c r="X3" s="275"/>
      <c r="Y3" s="275"/>
      <c r="Z3" s="277" t="s">
        <v>885</v>
      </c>
      <c r="AA3" s="277"/>
      <c r="AB3" s="277"/>
    </row>
    <row r="4" spans="1:29" s="79" customFormat="1" ht="27" customHeight="1" x14ac:dyDescent="0.25">
      <c r="A4" s="279"/>
      <c r="B4" s="178" t="s">
        <v>875</v>
      </c>
      <c r="C4" s="178" t="s">
        <v>890</v>
      </c>
      <c r="D4" s="178" t="s">
        <v>871</v>
      </c>
      <c r="E4" s="178" t="s">
        <v>875</v>
      </c>
      <c r="F4" s="178" t="s">
        <v>890</v>
      </c>
      <c r="G4" s="178" t="s">
        <v>871</v>
      </c>
      <c r="H4" s="223" t="s">
        <v>875</v>
      </c>
      <c r="I4" s="223" t="s">
        <v>890</v>
      </c>
      <c r="J4" s="223" t="s">
        <v>871</v>
      </c>
      <c r="K4" s="178" t="s">
        <v>875</v>
      </c>
      <c r="L4" s="178" t="s">
        <v>890</v>
      </c>
      <c r="M4" s="178" t="s">
        <v>871</v>
      </c>
      <c r="N4" s="178" t="s">
        <v>875</v>
      </c>
      <c r="O4" s="178" t="s">
        <v>890</v>
      </c>
      <c r="P4" s="178" t="s">
        <v>871</v>
      </c>
      <c r="Q4" s="178" t="s">
        <v>875</v>
      </c>
      <c r="R4" s="178" t="s">
        <v>890</v>
      </c>
      <c r="S4" s="178" t="s">
        <v>871</v>
      </c>
      <c r="T4" s="178" t="s">
        <v>875</v>
      </c>
      <c r="U4" s="178" t="s">
        <v>890</v>
      </c>
      <c r="V4" s="178" t="s">
        <v>871</v>
      </c>
      <c r="W4" s="178" t="s">
        <v>875</v>
      </c>
      <c r="X4" s="178" t="s">
        <v>890</v>
      </c>
      <c r="Y4" s="178" t="s">
        <v>871</v>
      </c>
      <c r="Z4" s="207" t="s">
        <v>875</v>
      </c>
      <c r="AA4" s="207" t="s">
        <v>874</v>
      </c>
      <c r="AB4" s="207" t="s">
        <v>871</v>
      </c>
    </row>
    <row r="5" spans="1:29" ht="28.5" customHeight="1" x14ac:dyDescent="0.25">
      <c r="A5" s="182" t="s">
        <v>872</v>
      </c>
      <c r="B5" s="178"/>
      <c r="C5" s="178"/>
      <c r="D5" s="178"/>
      <c r="E5" s="182">
        <v>7</v>
      </c>
      <c r="F5" s="183">
        <v>44.285714285714285</v>
      </c>
      <c r="G5" s="182">
        <v>364.15</v>
      </c>
      <c r="H5" s="223"/>
      <c r="I5" s="223"/>
      <c r="J5" s="223"/>
      <c r="K5" s="181">
        <v>19</v>
      </c>
      <c r="L5" s="213">
        <v>31.263157894736842</v>
      </c>
      <c r="M5" s="181">
        <v>1133.4500000000003</v>
      </c>
      <c r="N5" s="181">
        <v>15</v>
      </c>
      <c r="O5" s="213">
        <v>41.133333333333333</v>
      </c>
      <c r="P5" s="181">
        <v>728.93</v>
      </c>
      <c r="Q5" s="181">
        <v>42</v>
      </c>
      <c r="R5" s="213">
        <v>25.571428571428573</v>
      </c>
      <c r="S5" s="181">
        <v>2183.17</v>
      </c>
      <c r="T5" s="181">
        <v>33</v>
      </c>
      <c r="U5" s="213">
        <v>40.548387096774192</v>
      </c>
      <c r="V5" s="181">
        <v>3167.0199999999995</v>
      </c>
      <c r="W5" s="181">
        <v>7</v>
      </c>
      <c r="X5" s="213">
        <v>33.714285714285715</v>
      </c>
      <c r="Y5" s="181">
        <v>329.95</v>
      </c>
      <c r="Z5" s="214">
        <f>B5+E5+H5+K5+N5+Q5+T5+W5</f>
        <v>123</v>
      </c>
      <c r="AA5" s="215">
        <f>(C5+F5+I5+L5+O5+R5+U5+X5)/6</f>
        <v>36.086051149378825</v>
      </c>
      <c r="AB5" s="214">
        <f t="shared" ref="AB5" si="0">D5+G5+J5+M5+P5+S5+V5+Y5</f>
        <v>7906.67</v>
      </c>
      <c r="AC5" s="221" t="s">
        <v>889</v>
      </c>
    </row>
    <row r="6" spans="1:29" ht="28.5" customHeight="1" x14ac:dyDescent="0.25">
      <c r="A6" s="182" t="s">
        <v>396</v>
      </c>
      <c r="B6" s="178"/>
      <c r="C6" s="178"/>
      <c r="D6" s="178"/>
      <c r="E6" s="181">
        <v>3</v>
      </c>
      <c r="F6" s="213">
        <v>39</v>
      </c>
      <c r="G6" s="181">
        <v>150.01000000000002</v>
      </c>
      <c r="H6" s="224">
        <v>1</v>
      </c>
      <c r="I6" s="225">
        <v>50</v>
      </c>
      <c r="J6" s="224">
        <v>86.05</v>
      </c>
      <c r="K6" s="178"/>
      <c r="L6" s="178"/>
      <c r="M6" s="178"/>
      <c r="N6" s="181">
        <v>1</v>
      </c>
      <c r="O6" s="213">
        <v>16</v>
      </c>
      <c r="P6" s="181">
        <v>59.41</v>
      </c>
      <c r="Q6" s="181">
        <v>9</v>
      </c>
      <c r="R6" s="213">
        <v>39</v>
      </c>
      <c r="S6" s="181">
        <v>719.99999999999989</v>
      </c>
      <c r="T6" s="186">
        <v>2</v>
      </c>
      <c r="U6" s="216">
        <v>44</v>
      </c>
      <c r="V6" s="186">
        <v>202.35</v>
      </c>
      <c r="W6" s="178"/>
      <c r="X6" s="178"/>
      <c r="Y6" s="178"/>
      <c r="Z6" s="214">
        <f t="shared" ref="Z6:Z19" si="1">B6+E6+H6+K6+N6+Q6+T6+W6</f>
        <v>16</v>
      </c>
      <c r="AA6" s="215">
        <f>(C6+F6+I6+L6+O6+R6+U6+X6)/5</f>
        <v>37.6</v>
      </c>
      <c r="AB6" s="214">
        <f t="shared" ref="AB6:AB18" si="2">D6+G6+J6+M6+P6+S6+V6+Y6</f>
        <v>1217.82</v>
      </c>
      <c r="AC6" s="221" t="s">
        <v>889</v>
      </c>
    </row>
    <row r="7" spans="1:29" ht="28.5" customHeight="1" x14ac:dyDescent="0.25">
      <c r="A7" s="182" t="s">
        <v>393</v>
      </c>
      <c r="B7" s="181"/>
      <c r="C7" s="181"/>
      <c r="D7" s="181"/>
      <c r="E7" s="186">
        <v>1</v>
      </c>
      <c r="F7" s="216">
        <v>30</v>
      </c>
      <c r="G7" s="188">
        <v>47.13</v>
      </c>
      <c r="H7" s="224"/>
      <c r="I7" s="224"/>
      <c r="J7" s="224"/>
      <c r="K7" s="186">
        <v>2</v>
      </c>
      <c r="L7" s="186">
        <v>34</v>
      </c>
      <c r="M7" s="189">
        <v>191.74</v>
      </c>
      <c r="N7" s="186">
        <v>3</v>
      </c>
      <c r="O7" s="216">
        <v>13</v>
      </c>
      <c r="P7" s="188">
        <v>115.58</v>
      </c>
      <c r="Q7" s="181"/>
      <c r="R7" s="181"/>
      <c r="S7" s="181"/>
      <c r="T7" s="186">
        <v>1</v>
      </c>
      <c r="U7" s="186">
        <v>51</v>
      </c>
      <c r="V7" s="186">
        <v>156.06</v>
      </c>
      <c r="W7" s="186">
        <v>2</v>
      </c>
      <c r="X7" s="186">
        <v>13</v>
      </c>
      <c r="Y7" s="217">
        <v>48.5</v>
      </c>
      <c r="Z7" s="214">
        <f t="shared" si="1"/>
        <v>9</v>
      </c>
      <c r="AA7" s="215">
        <f t="shared" ref="AA7:AA18" si="3">C7+F7+I7+L7+O7+R7+U7+X7</f>
        <v>141</v>
      </c>
      <c r="AB7" s="214">
        <f t="shared" si="2"/>
        <v>559.01</v>
      </c>
    </row>
    <row r="8" spans="1:29" ht="28.5" customHeight="1" x14ac:dyDescent="0.25">
      <c r="A8" s="189" t="s">
        <v>22</v>
      </c>
      <c r="B8" s="181">
        <v>1</v>
      </c>
      <c r="C8" s="181">
        <v>1500</v>
      </c>
      <c r="D8" s="230">
        <v>982</v>
      </c>
      <c r="E8" s="181"/>
      <c r="F8" s="181"/>
      <c r="G8" s="181"/>
      <c r="H8" s="224">
        <v>1</v>
      </c>
      <c r="I8" s="226">
        <v>80</v>
      </c>
      <c r="J8" s="227">
        <v>110</v>
      </c>
      <c r="K8" s="181"/>
      <c r="L8" s="181"/>
      <c r="M8" s="181"/>
      <c r="N8" s="181"/>
      <c r="O8" s="181"/>
      <c r="P8" s="181"/>
      <c r="Q8" s="181">
        <v>2</v>
      </c>
      <c r="R8" s="193">
        <v>408</v>
      </c>
      <c r="S8" s="192">
        <v>537</v>
      </c>
      <c r="T8" s="181">
        <v>2</v>
      </c>
      <c r="U8" s="193">
        <v>30</v>
      </c>
      <c r="V8" s="194">
        <v>186.92000000000002</v>
      </c>
      <c r="W8" s="181"/>
      <c r="X8" s="181"/>
      <c r="Y8" s="181"/>
      <c r="Z8" s="214">
        <f t="shared" si="1"/>
        <v>6</v>
      </c>
      <c r="AA8" s="215">
        <f t="shared" si="3"/>
        <v>2018</v>
      </c>
      <c r="AB8" s="214">
        <f t="shared" si="2"/>
        <v>1815.92</v>
      </c>
    </row>
    <row r="9" spans="1:29" ht="28.5" customHeight="1" x14ac:dyDescent="0.25">
      <c r="A9" s="208" t="s">
        <v>881</v>
      </c>
      <c r="B9" s="181">
        <v>16</v>
      </c>
      <c r="C9" s="181">
        <v>57</v>
      </c>
      <c r="D9" s="181">
        <v>450.11</v>
      </c>
      <c r="E9" s="181">
        <v>13</v>
      </c>
      <c r="F9" s="181">
        <v>39</v>
      </c>
      <c r="G9" s="181">
        <v>352.4</v>
      </c>
      <c r="H9" s="224">
        <v>4</v>
      </c>
      <c r="I9" s="224">
        <v>17</v>
      </c>
      <c r="J9" s="224">
        <v>169.03</v>
      </c>
      <c r="K9" s="181">
        <v>21</v>
      </c>
      <c r="L9" s="181">
        <v>110</v>
      </c>
      <c r="M9" s="181">
        <v>453.22</v>
      </c>
      <c r="N9" s="181">
        <v>28</v>
      </c>
      <c r="O9" s="181">
        <v>105</v>
      </c>
      <c r="P9" s="181">
        <v>460.21</v>
      </c>
      <c r="Q9" s="181">
        <v>19</v>
      </c>
      <c r="R9" s="181">
        <v>92</v>
      </c>
      <c r="S9" s="181">
        <v>459.07</v>
      </c>
      <c r="T9" s="181">
        <v>13</v>
      </c>
      <c r="U9" s="181"/>
      <c r="V9" s="181">
        <v>280.75</v>
      </c>
      <c r="W9" s="181">
        <v>2</v>
      </c>
      <c r="X9" s="181">
        <v>6</v>
      </c>
      <c r="Y9" s="181">
        <v>31.56</v>
      </c>
      <c r="Z9" s="214">
        <f t="shared" si="1"/>
        <v>116</v>
      </c>
      <c r="AA9" s="215">
        <f t="shared" si="3"/>
        <v>426</v>
      </c>
      <c r="AB9" s="214">
        <f t="shared" si="2"/>
        <v>2656.35</v>
      </c>
    </row>
    <row r="10" spans="1:29" ht="28.5" customHeight="1" x14ac:dyDescent="0.25">
      <c r="A10" s="189" t="s">
        <v>30</v>
      </c>
      <c r="B10" s="181"/>
      <c r="C10" s="181"/>
      <c r="D10" s="181"/>
      <c r="E10" s="181">
        <v>1</v>
      </c>
      <c r="F10" s="193">
        <v>10</v>
      </c>
      <c r="G10" s="192">
        <v>11.07</v>
      </c>
      <c r="H10" s="224"/>
      <c r="I10" s="224"/>
      <c r="J10" s="224"/>
      <c r="K10" s="181"/>
      <c r="L10" s="181"/>
      <c r="M10" s="181"/>
      <c r="N10" s="181">
        <v>1</v>
      </c>
      <c r="O10" s="193">
        <v>330</v>
      </c>
      <c r="P10" s="192">
        <v>663.15</v>
      </c>
      <c r="Q10" s="181"/>
      <c r="R10" s="181"/>
      <c r="S10" s="181"/>
      <c r="T10" s="181">
        <v>1</v>
      </c>
      <c r="U10" s="193">
        <v>41</v>
      </c>
      <c r="V10" s="194">
        <v>99.4</v>
      </c>
      <c r="W10" s="181">
        <v>1</v>
      </c>
      <c r="X10" s="191">
        <v>11</v>
      </c>
      <c r="Y10" s="192">
        <v>23.53</v>
      </c>
      <c r="Z10" s="214">
        <f t="shared" si="1"/>
        <v>4</v>
      </c>
      <c r="AA10" s="215">
        <f t="shared" si="3"/>
        <v>392</v>
      </c>
      <c r="AB10" s="214">
        <f t="shared" si="2"/>
        <v>797.15</v>
      </c>
    </row>
    <row r="11" spans="1:29" ht="28.5" customHeight="1" x14ac:dyDescent="0.25">
      <c r="A11" s="209" t="s">
        <v>27</v>
      </c>
      <c r="B11" s="181"/>
      <c r="C11" s="181"/>
      <c r="D11" s="192"/>
      <c r="E11" s="181">
        <v>2</v>
      </c>
      <c r="F11" s="181">
        <v>40</v>
      </c>
      <c r="G11" s="192">
        <v>51.73</v>
      </c>
      <c r="H11" s="224"/>
      <c r="I11" s="224"/>
      <c r="J11" s="224"/>
      <c r="K11" s="194">
        <v>1</v>
      </c>
      <c r="L11" s="194">
        <v>5</v>
      </c>
      <c r="M11" s="194">
        <v>21.78</v>
      </c>
      <c r="N11" s="181">
        <v>1</v>
      </c>
      <c r="O11" s="193">
        <v>50</v>
      </c>
      <c r="P11" s="192">
        <v>84.17</v>
      </c>
      <c r="Q11" s="181">
        <v>1</v>
      </c>
      <c r="R11" s="193">
        <v>31</v>
      </c>
      <c r="S11" s="192">
        <v>63.63</v>
      </c>
      <c r="T11" s="181"/>
      <c r="U11" s="181"/>
      <c r="V11" s="181"/>
      <c r="W11" s="181"/>
      <c r="X11" s="181"/>
      <c r="Y11" s="181"/>
      <c r="Z11" s="214">
        <f t="shared" si="1"/>
        <v>5</v>
      </c>
      <c r="AA11" s="215">
        <f t="shared" si="3"/>
        <v>126</v>
      </c>
      <c r="AB11" s="214">
        <f t="shared" si="2"/>
        <v>221.31</v>
      </c>
    </row>
    <row r="12" spans="1:29" ht="28.5" customHeight="1" x14ac:dyDescent="0.25">
      <c r="A12" s="208" t="s">
        <v>21</v>
      </c>
      <c r="B12" s="181"/>
      <c r="C12" s="181"/>
      <c r="D12" s="181"/>
      <c r="E12" s="181"/>
      <c r="F12" s="181"/>
      <c r="G12" s="181"/>
      <c r="H12" s="224"/>
      <c r="I12" s="224"/>
      <c r="J12" s="224"/>
      <c r="K12" s="194">
        <v>1</v>
      </c>
      <c r="L12" s="194">
        <v>6</v>
      </c>
      <c r="M12" s="194">
        <v>27.63</v>
      </c>
      <c r="N12" s="181">
        <v>6</v>
      </c>
      <c r="O12" s="193">
        <v>120</v>
      </c>
      <c r="P12" s="192">
        <v>271.52999999999997</v>
      </c>
      <c r="Q12" s="181">
        <v>3</v>
      </c>
      <c r="R12" s="193">
        <v>55</v>
      </c>
      <c r="S12" s="192">
        <v>149.44</v>
      </c>
      <c r="T12" s="186">
        <v>13</v>
      </c>
      <c r="U12" s="216">
        <v>40</v>
      </c>
      <c r="V12" s="186">
        <v>342.63</v>
      </c>
      <c r="W12" s="181">
        <v>1</v>
      </c>
      <c r="X12" s="191">
        <v>8</v>
      </c>
      <c r="Y12" s="192">
        <v>46.7</v>
      </c>
      <c r="Z12" s="214">
        <f t="shared" si="1"/>
        <v>24</v>
      </c>
      <c r="AA12" s="215">
        <f t="shared" si="3"/>
        <v>229</v>
      </c>
      <c r="AB12" s="214">
        <f t="shared" si="2"/>
        <v>837.93000000000006</v>
      </c>
    </row>
    <row r="13" spans="1:29" s="8" customFormat="1" ht="28.5" customHeight="1" x14ac:dyDescent="0.25">
      <c r="A13" s="208" t="s">
        <v>883</v>
      </c>
      <c r="B13" s="181">
        <v>3</v>
      </c>
      <c r="C13" s="181">
        <v>52</v>
      </c>
      <c r="D13" s="192">
        <v>116.55</v>
      </c>
      <c r="E13" s="218"/>
      <c r="F13" s="218"/>
      <c r="G13" s="218"/>
      <c r="H13" s="228"/>
      <c r="I13" s="228"/>
      <c r="J13" s="228"/>
      <c r="K13" s="194">
        <v>1</v>
      </c>
      <c r="L13" s="194">
        <v>20</v>
      </c>
      <c r="M13" s="194">
        <v>43.62</v>
      </c>
      <c r="N13" s="181">
        <v>1</v>
      </c>
      <c r="O13" s="193">
        <v>3</v>
      </c>
      <c r="P13" s="192">
        <v>10.57</v>
      </c>
      <c r="Q13" s="218"/>
      <c r="R13" s="218"/>
      <c r="S13" s="218"/>
      <c r="T13" s="181">
        <v>1</v>
      </c>
      <c r="U13" s="193">
        <v>13</v>
      </c>
      <c r="V13" s="194">
        <v>38.11</v>
      </c>
      <c r="W13" s="218"/>
      <c r="X13" s="218"/>
      <c r="Y13" s="218"/>
      <c r="Z13" s="214">
        <f t="shared" si="1"/>
        <v>6</v>
      </c>
      <c r="AA13" s="215">
        <f t="shared" si="3"/>
        <v>88</v>
      </c>
      <c r="AB13" s="214">
        <f t="shared" si="2"/>
        <v>208.84999999999997</v>
      </c>
    </row>
    <row r="14" spans="1:29" ht="28.5" customHeight="1" x14ac:dyDescent="0.25">
      <c r="A14" s="208" t="s">
        <v>884</v>
      </c>
      <c r="B14" s="181">
        <v>6</v>
      </c>
      <c r="C14" s="181">
        <v>14</v>
      </c>
      <c r="D14" s="192">
        <v>46</v>
      </c>
      <c r="E14" s="181"/>
      <c r="F14" s="181"/>
      <c r="G14" s="181"/>
      <c r="H14" s="224"/>
      <c r="I14" s="224"/>
      <c r="J14" s="224"/>
      <c r="K14" s="194">
        <v>6</v>
      </c>
      <c r="L14" s="194">
        <v>12</v>
      </c>
      <c r="M14" s="194">
        <v>43.85</v>
      </c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214">
        <f t="shared" si="1"/>
        <v>12</v>
      </c>
      <c r="AA14" s="215">
        <f t="shared" si="3"/>
        <v>26</v>
      </c>
      <c r="AB14" s="214">
        <f t="shared" si="2"/>
        <v>89.85</v>
      </c>
    </row>
    <row r="15" spans="1:29" ht="28.5" customHeight="1" x14ac:dyDescent="0.25">
      <c r="A15" s="208" t="s">
        <v>873</v>
      </c>
      <c r="B15" s="181">
        <v>1</v>
      </c>
      <c r="C15" s="181">
        <v>30</v>
      </c>
      <c r="D15" s="192">
        <v>56.3</v>
      </c>
      <c r="E15" s="181"/>
      <c r="F15" s="181"/>
      <c r="G15" s="181"/>
      <c r="H15" s="224"/>
      <c r="I15" s="224"/>
      <c r="J15" s="224"/>
      <c r="K15" s="181">
        <v>1</v>
      </c>
      <c r="L15" s="181">
        <v>25</v>
      </c>
      <c r="M15" s="192">
        <v>37.090000000000003</v>
      </c>
      <c r="N15" s="181">
        <v>1</v>
      </c>
      <c r="O15" s="181">
        <v>93</v>
      </c>
      <c r="P15" s="181">
        <v>234.1</v>
      </c>
      <c r="Q15" s="181">
        <v>2</v>
      </c>
      <c r="R15" s="181">
        <v>30</v>
      </c>
      <c r="S15" s="181">
        <v>16.920000000000002</v>
      </c>
      <c r="T15" s="181">
        <v>2</v>
      </c>
      <c r="U15" s="181">
        <v>254</v>
      </c>
      <c r="V15" s="181">
        <v>441.64</v>
      </c>
      <c r="W15" s="181">
        <v>1</v>
      </c>
      <c r="X15" s="181">
        <v>42</v>
      </c>
      <c r="Y15" s="181">
        <v>73.28</v>
      </c>
      <c r="Z15" s="214">
        <f t="shared" si="1"/>
        <v>8</v>
      </c>
      <c r="AA15" s="215">
        <f t="shared" si="3"/>
        <v>474</v>
      </c>
      <c r="AB15" s="214">
        <f t="shared" si="2"/>
        <v>859.32999999999993</v>
      </c>
    </row>
    <row r="16" spans="1:29" ht="28.5" customHeight="1" x14ac:dyDescent="0.25">
      <c r="A16" s="208" t="s">
        <v>882</v>
      </c>
      <c r="B16" s="181"/>
      <c r="C16" s="181"/>
      <c r="D16" s="181"/>
      <c r="E16" s="181">
        <v>1</v>
      </c>
      <c r="F16" s="181">
        <v>20</v>
      </c>
      <c r="G16" s="192">
        <v>30.38</v>
      </c>
      <c r="H16" s="224">
        <v>8</v>
      </c>
      <c r="I16" s="224">
        <v>130</v>
      </c>
      <c r="J16" s="224">
        <v>427.82</v>
      </c>
      <c r="K16" s="181">
        <v>7</v>
      </c>
      <c r="L16" s="181">
        <v>106</v>
      </c>
      <c r="M16" s="181">
        <v>3034.81</v>
      </c>
      <c r="N16" s="181">
        <v>3</v>
      </c>
      <c r="O16" s="181">
        <v>63</v>
      </c>
      <c r="P16" s="181">
        <v>261.24</v>
      </c>
      <c r="Q16" s="181">
        <v>3</v>
      </c>
      <c r="R16" s="181">
        <v>81</v>
      </c>
      <c r="S16" s="181">
        <v>629.79</v>
      </c>
      <c r="T16" s="181">
        <v>6</v>
      </c>
      <c r="U16" s="181"/>
      <c r="V16" s="181">
        <v>20007.97</v>
      </c>
      <c r="W16" s="181">
        <v>2</v>
      </c>
      <c r="X16" s="181"/>
      <c r="Y16" s="181">
        <v>221.24</v>
      </c>
      <c r="Z16" s="214">
        <f t="shared" si="1"/>
        <v>30</v>
      </c>
      <c r="AA16" s="215">
        <f t="shared" si="3"/>
        <v>400</v>
      </c>
      <c r="AB16" s="214">
        <f t="shared" si="2"/>
        <v>24613.250000000004</v>
      </c>
    </row>
    <row r="17" spans="1:28" ht="28.5" customHeight="1" x14ac:dyDescent="0.25">
      <c r="A17" s="208" t="s">
        <v>193</v>
      </c>
      <c r="B17" s="181">
        <v>1</v>
      </c>
      <c r="C17" s="181">
        <v>50</v>
      </c>
      <c r="D17" s="192">
        <v>3138.69</v>
      </c>
      <c r="E17" s="181"/>
      <c r="F17" s="181"/>
      <c r="G17" s="181"/>
      <c r="H17" s="224"/>
      <c r="I17" s="224"/>
      <c r="J17" s="224"/>
      <c r="K17" s="181"/>
      <c r="L17" s="181"/>
      <c r="M17" s="181"/>
      <c r="N17" s="181"/>
      <c r="O17" s="181"/>
      <c r="P17" s="181"/>
      <c r="Q17" s="181">
        <v>1</v>
      </c>
      <c r="R17" s="193">
        <v>38</v>
      </c>
      <c r="S17" s="192">
        <v>472.39</v>
      </c>
      <c r="T17" s="186"/>
      <c r="U17" s="216"/>
      <c r="V17" s="186">
        <v>8700.64</v>
      </c>
      <c r="W17" s="181"/>
      <c r="X17" s="181"/>
      <c r="Y17" s="181"/>
      <c r="Z17" s="214">
        <f t="shared" si="1"/>
        <v>2</v>
      </c>
      <c r="AA17" s="215">
        <f t="shared" si="3"/>
        <v>88</v>
      </c>
      <c r="AB17" s="214">
        <f t="shared" si="2"/>
        <v>12311.72</v>
      </c>
    </row>
    <row r="18" spans="1:28" ht="28.5" customHeight="1" x14ac:dyDescent="0.25">
      <c r="A18" s="208" t="s">
        <v>886</v>
      </c>
      <c r="B18" s="181"/>
      <c r="C18" s="181"/>
      <c r="D18" s="192">
        <v>466.33</v>
      </c>
      <c r="E18" s="181"/>
      <c r="F18" s="181"/>
      <c r="G18" s="192">
        <v>367.04</v>
      </c>
      <c r="H18" s="224"/>
      <c r="I18" s="224"/>
      <c r="J18" s="224">
        <v>438.24</v>
      </c>
      <c r="K18" s="194"/>
      <c r="L18" s="194"/>
      <c r="M18" s="194">
        <v>1029.94</v>
      </c>
      <c r="N18" s="181"/>
      <c r="O18" s="193"/>
      <c r="P18" s="206">
        <v>719.78</v>
      </c>
      <c r="Q18" s="181"/>
      <c r="R18" s="181"/>
      <c r="S18" s="181">
        <v>4222.17</v>
      </c>
      <c r="T18" s="186"/>
      <c r="U18" s="216"/>
      <c r="V18" s="186">
        <v>23266.06</v>
      </c>
      <c r="W18" s="181"/>
      <c r="X18" s="181"/>
      <c r="Y18" s="181">
        <v>180.27</v>
      </c>
      <c r="Z18" s="214">
        <f t="shared" si="1"/>
        <v>0</v>
      </c>
      <c r="AA18" s="215">
        <f t="shared" si="3"/>
        <v>0</v>
      </c>
      <c r="AB18" s="214">
        <f t="shared" si="2"/>
        <v>30689.83</v>
      </c>
    </row>
    <row r="19" spans="1:28" ht="15.75" x14ac:dyDescent="0.25">
      <c r="A19" s="210" t="s">
        <v>885</v>
      </c>
      <c r="B19" s="202">
        <f>SUM(B5:B18)</f>
        <v>28</v>
      </c>
      <c r="C19" s="218"/>
      <c r="D19" s="202">
        <f>SUM(D5:D18)</f>
        <v>5255.98</v>
      </c>
      <c r="E19" s="202">
        <f t="shared" ref="E19:Y19" si="4">SUM(E5:E18)</f>
        <v>28</v>
      </c>
      <c r="F19" s="202"/>
      <c r="G19" s="202">
        <f t="shared" si="4"/>
        <v>1373.91</v>
      </c>
      <c r="H19" s="229">
        <f t="shared" si="4"/>
        <v>14</v>
      </c>
      <c r="I19" s="229"/>
      <c r="J19" s="229">
        <f t="shared" si="4"/>
        <v>1231.1400000000001</v>
      </c>
      <c r="K19" s="202">
        <f t="shared" si="4"/>
        <v>59</v>
      </c>
      <c r="L19" s="202"/>
      <c r="M19" s="202">
        <f t="shared" si="4"/>
        <v>6017.130000000001</v>
      </c>
      <c r="N19" s="202">
        <f t="shared" si="4"/>
        <v>60</v>
      </c>
      <c r="O19" s="202"/>
      <c r="P19" s="202">
        <f t="shared" si="4"/>
        <v>3608.6699999999992</v>
      </c>
      <c r="Q19" s="202">
        <f t="shared" si="4"/>
        <v>82</v>
      </c>
      <c r="R19" s="202"/>
      <c r="S19" s="202">
        <f t="shared" si="4"/>
        <v>9453.5800000000017</v>
      </c>
      <c r="T19" s="202">
        <f t="shared" si="4"/>
        <v>74</v>
      </c>
      <c r="U19" s="202"/>
      <c r="V19" s="202">
        <f t="shared" si="4"/>
        <v>56889.55</v>
      </c>
      <c r="W19" s="202">
        <f t="shared" si="4"/>
        <v>16</v>
      </c>
      <c r="X19" s="202"/>
      <c r="Y19" s="202">
        <f t="shared" si="4"/>
        <v>955.03</v>
      </c>
      <c r="Z19" s="219">
        <f t="shared" si="1"/>
        <v>361</v>
      </c>
      <c r="AA19" s="220"/>
      <c r="AB19" s="240">
        <f>D19+G19+J19+M19+P19+S19+V19+Y19</f>
        <v>84784.99</v>
      </c>
    </row>
    <row r="20" spans="1:28" x14ac:dyDescent="0.25">
      <c r="P20" s="177">
        <v>299.02000000000004</v>
      </c>
      <c r="Z20" s="222"/>
    </row>
    <row r="21" spans="1:28" x14ac:dyDescent="0.25">
      <c r="N21" s="177" t="s">
        <v>893</v>
      </c>
      <c r="Q21" s="177">
        <v>47.17</v>
      </c>
    </row>
  </sheetData>
  <mergeCells count="11">
    <mergeCell ref="A1:AB1"/>
    <mergeCell ref="N3:P3"/>
    <mergeCell ref="Q3:S3"/>
    <mergeCell ref="T3:V3"/>
    <mergeCell ref="W3:Y3"/>
    <mergeCell ref="Z3:AB3"/>
    <mergeCell ref="A3:A4"/>
    <mergeCell ref="B3:D3"/>
    <mergeCell ref="E3:G3"/>
    <mergeCell ref="H3:J3"/>
    <mergeCell ref="K3:M3"/>
  </mergeCells>
  <dataValidations count="1">
    <dataValidation type="list" allowBlank="1" showInputMessage="1" showErrorMessage="1" sqref="K3 Q3 T3 W3" xr:uid="{00000000-0002-0000-0800-000000000000}">
      <formula1>UBICACIÓN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Listas!$H$4:$H$34</xm:f>
          </x14:formula1>
          <xm:sqref>A12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8"/>
  <sheetViews>
    <sheetView topLeftCell="A103" zoomScale="64" zoomScaleNormal="64" workbookViewId="0">
      <selection activeCell="F127" sqref="F127"/>
    </sheetView>
  </sheetViews>
  <sheetFormatPr baseColWidth="10" defaultRowHeight="15" x14ac:dyDescent="0.25"/>
  <cols>
    <col min="1" max="1" width="4" customWidth="1"/>
    <col min="2" max="2" width="10.140625" bestFit="1" customWidth="1"/>
    <col min="3" max="3" width="12.85546875" customWidth="1"/>
    <col min="5" max="5" width="31.5703125" bestFit="1" customWidth="1"/>
    <col min="6" max="6" width="30.85546875" style="79" customWidth="1"/>
    <col min="7" max="7" width="10.28515625" customWidth="1"/>
    <col min="8" max="9" width="8.28515625" customWidth="1"/>
  </cols>
  <sheetData>
    <row r="1" spans="1:11" x14ac:dyDescent="0.25">
      <c r="A1" s="8" t="s">
        <v>870</v>
      </c>
    </row>
    <row r="4" spans="1:11" s="78" customFormat="1" ht="27.75" x14ac:dyDescent="0.2">
      <c r="A4" s="88" t="s">
        <v>867</v>
      </c>
      <c r="B4" s="88" t="s">
        <v>4</v>
      </c>
      <c r="C4" s="88" t="s">
        <v>1</v>
      </c>
      <c r="D4" s="88" t="s">
        <v>108</v>
      </c>
      <c r="E4" s="88" t="s">
        <v>383</v>
      </c>
      <c r="F4" s="88" t="s">
        <v>2</v>
      </c>
      <c r="G4" s="88" t="s">
        <v>3</v>
      </c>
      <c r="H4" s="88" t="s">
        <v>866</v>
      </c>
      <c r="I4" s="169" t="s">
        <v>875</v>
      </c>
      <c r="J4" s="78" t="s">
        <v>874</v>
      </c>
      <c r="K4" s="88" t="s">
        <v>876</v>
      </c>
    </row>
    <row r="5" spans="1:11" s="77" customFormat="1" ht="12.75" x14ac:dyDescent="0.2">
      <c r="A5" s="127">
        <v>1</v>
      </c>
      <c r="B5" s="128" t="s">
        <v>11</v>
      </c>
      <c r="C5" s="128" t="s">
        <v>15</v>
      </c>
      <c r="D5" s="129" t="s">
        <v>261</v>
      </c>
      <c r="E5" s="130" t="s">
        <v>138</v>
      </c>
      <c r="F5" s="130" t="s">
        <v>32</v>
      </c>
      <c r="G5" s="131">
        <v>28</v>
      </c>
      <c r="H5" s="132">
        <v>32.74</v>
      </c>
      <c r="I5" s="170"/>
    </row>
    <row r="6" spans="1:11" s="77" customFormat="1" ht="12.75" x14ac:dyDescent="0.2">
      <c r="A6" s="127">
        <v>2</v>
      </c>
      <c r="B6" s="128" t="s">
        <v>11</v>
      </c>
      <c r="C6" s="128" t="s">
        <v>15</v>
      </c>
      <c r="D6" s="129" t="s">
        <v>141</v>
      </c>
      <c r="E6" s="130" t="s">
        <v>138</v>
      </c>
      <c r="F6" s="130" t="s">
        <v>32</v>
      </c>
      <c r="G6" s="131">
        <v>43</v>
      </c>
      <c r="H6" s="132">
        <v>55.89</v>
      </c>
      <c r="I6" s="170"/>
    </row>
    <row r="7" spans="1:11" s="77" customFormat="1" ht="12.75" x14ac:dyDescent="0.2">
      <c r="A7" s="127">
        <v>3</v>
      </c>
      <c r="B7" s="128" t="s">
        <v>11</v>
      </c>
      <c r="C7" s="128" t="s">
        <v>15</v>
      </c>
      <c r="D7" s="129" t="s">
        <v>140</v>
      </c>
      <c r="E7" s="130" t="s">
        <v>138</v>
      </c>
      <c r="F7" s="130" t="s">
        <v>32</v>
      </c>
      <c r="G7" s="131">
        <v>35</v>
      </c>
      <c r="H7" s="132">
        <v>37.630000000000003</v>
      </c>
      <c r="I7" s="170"/>
    </row>
    <row r="8" spans="1:11" s="77" customFormat="1" ht="12.75" x14ac:dyDescent="0.2">
      <c r="A8" s="127">
        <v>4</v>
      </c>
      <c r="B8" s="128" t="s">
        <v>11</v>
      </c>
      <c r="C8" s="128" t="s">
        <v>15</v>
      </c>
      <c r="D8" s="129" t="s">
        <v>144</v>
      </c>
      <c r="E8" s="130" t="s">
        <v>138</v>
      </c>
      <c r="F8" s="130" t="s">
        <v>32</v>
      </c>
      <c r="G8" s="131">
        <v>55</v>
      </c>
      <c r="H8" s="132">
        <v>57.91</v>
      </c>
      <c r="I8" s="170"/>
    </row>
    <row r="9" spans="1:11" s="77" customFormat="1" ht="12.75" x14ac:dyDescent="0.2">
      <c r="A9" s="127">
        <v>5</v>
      </c>
      <c r="B9" s="128" t="s">
        <v>11</v>
      </c>
      <c r="C9" s="128" t="s">
        <v>15</v>
      </c>
      <c r="D9" s="129" t="s">
        <v>145</v>
      </c>
      <c r="E9" s="130" t="s">
        <v>138</v>
      </c>
      <c r="F9" s="130" t="s">
        <v>32</v>
      </c>
      <c r="G9" s="131">
        <v>55</v>
      </c>
      <c r="H9" s="132">
        <v>62.62</v>
      </c>
      <c r="I9" s="170"/>
    </row>
    <row r="10" spans="1:11" s="77" customFormat="1" ht="12.75" x14ac:dyDescent="0.2">
      <c r="A10" s="127">
        <v>6</v>
      </c>
      <c r="B10" s="128" t="s">
        <v>11</v>
      </c>
      <c r="C10" s="128" t="s">
        <v>15</v>
      </c>
      <c r="D10" s="129" t="s">
        <v>147</v>
      </c>
      <c r="E10" s="130" t="s">
        <v>138</v>
      </c>
      <c r="F10" s="130" t="s">
        <v>32</v>
      </c>
      <c r="G10" s="131">
        <v>40</v>
      </c>
      <c r="H10" s="132">
        <v>57.33</v>
      </c>
      <c r="I10" s="170"/>
    </row>
    <row r="11" spans="1:11" s="77" customFormat="1" ht="12.75" x14ac:dyDescent="0.2">
      <c r="A11" s="127">
        <v>7</v>
      </c>
      <c r="B11" s="128" t="s">
        <v>11</v>
      </c>
      <c r="C11" s="128" t="s">
        <v>15</v>
      </c>
      <c r="D11" s="129" t="s">
        <v>148</v>
      </c>
      <c r="E11" s="130" t="s">
        <v>138</v>
      </c>
      <c r="F11" s="130" t="s">
        <v>32</v>
      </c>
      <c r="G11" s="131">
        <v>54</v>
      </c>
      <c r="H11" s="132">
        <v>60.03</v>
      </c>
      <c r="I11" s="170">
        <v>7</v>
      </c>
      <c r="J11" s="168">
        <f>SUM(G5:G11)</f>
        <v>310</v>
      </c>
      <c r="K11" s="167">
        <f>SUM(H5:H11)</f>
        <v>364.15</v>
      </c>
    </row>
    <row r="12" spans="1:11" s="77" customFormat="1" ht="12.75" x14ac:dyDescent="0.2">
      <c r="A12" s="133">
        <v>8</v>
      </c>
      <c r="B12" s="134" t="s">
        <v>10</v>
      </c>
      <c r="C12" s="134" t="s">
        <v>14</v>
      </c>
      <c r="D12" s="135" t="s">
        <v>208</v>
      </c>
      <c r="E12" s="136" t="s">
        <v>265</v>
      </c>
      <c r="F12" s="136" t="s">
        <v>32</v>
      </c>
      <c r="G12" s="137">
        <v>16</v>
      </c>
      <c r="H12" s="138">
        <v>31.6</v>
      </c>
      <c r="I12" s="171"/>
    </row>
    <row r="13" spans="1:11" s="77" customFormat="1" ht="12.75" x14ac:dyDescent="0.2">
      <c r="A13" s="133">
        <v>9</v>
      </c>
      <c r="B13" s="134" t="s">
        <v>10</v>
      </c>
      <c r="C13" s="134" t="s">
        <v>14</v>
      </c>
      <c r="D13" s="135" t="s">
        <v>540</v>
      </c>
      <c r="E13" s="136" t="s">
        <v>138</v>
      </c>
      <c r="F13" s="136" t="s">
        <v>32</v>
      </c>
      <c r="G13" s="137">
        <v>22</v>
      </c>
      <c r="H13" s="138">
        <v>43.78</v>
      </c>
      <c r="I13" s="171"/>
    </row>
    <row r="14" spans="1:11" s="77" customFormat="1" ht="12.75" x14ac:dyDescent="0.2">
      <c r="A14" s="133">
        <v>10</v>
      </c>
      <c r="B14" s="134" t="s">
        <v>10</v>
      </c>
      <c r="C14" s="134" t="s">
        <v>14</v>
      </c>
      <c r="D14" s="135" t="s">
        <v>541</v>
      </c>
      <c r="E14" s="136" t="s">
        <v>138</v>
      </c>
      <c r="F14" s="136" t="s">
        <v>32</v>
      </c>
      <c r="G14" s="137">
        <v>26</v>
      </c>
      <c r="H14" s="138">
        <v>52.43</v>
      </c>
      <c r="I14" s="171"/>
    </row>
    <row r="15" spans="1:11" s="77" customFormat="1" ht="12.75" x14ac:dyDescent="0.2">
      <c r="A15" s="133">
        <v>11</v>
      </c>
      <c r="B15" s="134" t="s">
        <v>10</v>
      </c>
      <c r="C15" s="134" t="s">
        <v>14</v>
      </c>
      <c r="D15" s="135" t="s">
        <v>542</v>
      </c>
      <c r="E15" s="136" t="s">
        <v>138</v>
      </c>
      <c r="F15" s="136" t="s">
        <v>32</v>
      </c>
      <c r="G15" s="137">
        <v>25</v>
      </c>
      <c r="H15" s="138">
        <v>50.05</v>
      </c>
      <c r="I15" s="171"/>
    </row>
    <row r="16" spans="1:11" s="77" customFormat="1" ht="12.75" x14ac:dyDescent="0.2">
      <c r="A16" s="133">
        <v>12</v>
      </c>
      <c r="B16" s="134" t="s">
        <v>10</v>
      </c>
      <c r="C16" s="134" t="s">
        <v>14</v>
      </c>
      <c r="D16" s="135" t="s">
        <v>543</v>
      </c>
      <c r="E16" s="136" t="s">
        <v>138</v>
      </c>
      <c r="F16" s="136" t="s">
        <v>32</v>
      </c>
      <c r="G16" s="137">
        <v>27</v>
      </c>
      <c r="H16" s="138">
        <v>50</v>
      </c>
      <c r="I16" s="171"/>
    </row>
    <row r="17" spans="1:11" s="77" customFormat="1" ht="12.75" x14ac:dyDescent="0.2">
      <c r="A17" s="133">
        <v>13</v>
      </c>
      <c r="B17" s="134" t="s">
        <v>10</v>
      </c>
      <c r="C17" s="134" t="s">
        <v>14</v>
      </c>
      <c r="D17" s="135" t="s">
        <v>209</v>
      </c>
      <c r="E17" s="136" t="s">
        <v>803</v>
      </c>
      <c r="F17" s="136" t="s">
        <v>32</v>
      </c>
      <c r="G17" s="137">
        <v>32</v>
      </c>
      <c r="H17" s="138">
        <v>77.489999999999995</v>
      </c>
      <c r="I17" s="171"/>
    </row>
    <row r="18" spans="1:11" s="77" customFormat="1" ht="12.75" x14ac:dyDescent="0.2">
      <c r="A18" s="133">
        <v>14</v>
      </c>
      <c r="B18" s="134" t="s">
        <v>10</v>
      </c>
      <c r="C18" s="134" t="s">
        <v>14</v>
      </c>
      <c r="D18" s="135" t="s">
        <v>210</v>
      </c>
      <c r="E18" s="136" t="s">
        <v>803</v>
      </c>
      <c r="F18" s="136" t="s">
        <v>32</v>
      </c>
      <c r="G18" s="137">
        <v>32</v>
      </c>
      <c r="H18" s="138">
        <v>74.83</v>
      </c>
      <c r="I18" s="171"/>
    </row>
    <row r="19" spans="1:11" s="77" customFormat="1" ht="12.75" x14ac:dyDescent="0.2">
      <c r="A19" s="133">
        <v>15</v>
      </c>
      <c r="B19" s="134" t="s">
        <v>10</v>
      </c>
      <c r="C19" s="134" t="s">
        <v>14</v>
      </c>
      <c r="D19" s="135" t="s">
        <v>562</v>
      </c>
      <c r="E19" s="136" t="s">
        <v>138</v>
      </c>
      <c r="F19" s="136" t="s">
        <v>32</v>
      </c>
      <c r="G19" s="137">
        <v>64</v>
      </c>
      <c r="H19" s="138">
        <v>74.98</v>
      </c>
      <c r="I19" s="171"/>
    </row>
    <row r="20" spans="1:11" x14ac:dyDescent="0.25">
      <c r="A20" s="133">
        <v>16</v>
      </c>
      <c r="B20" s="134" t="s">
        <v>10</v>
      </c>
      <c r="C20" s="134" t="s">
        <v>14</v>
      </c>
      <c r="D20" s="135" t="s">
        <v>573</v>
      </c>
      <c r="E20" s="136" t="s">
        <v>138</v>
      </c>
      <c r="F20" s="136" t="s">
        <v>32</v>
      </c>
      <c r="G20" s="137">
        <v>30</v>
      </c>
      <c r="H20" s="138">
        <v>36.450000000000003</v>
      </c>
      <c r="I20" s="171"/>
    </row>
    <row r="21" spans="1:11" x14ac:dyDescent="0.25">
      <c r="A21" s="133">
        <v>17</v>
      </c>
      <c r="B21" s="134" t="s">
        <v>10</v>
      </c>
      <c r="C21" s="134" t="s">
        <v>14</v>
      </c>
      <c r="D21" s="135" t="s">
        <v>574</v>
      </c>
      <c r="E21" s="136" t="s">
        <v>227</v>
      </c>
      <c r="F21" s="136" t="s">
        <v>32</v>
      </c>
      <c r="G21" s="137">
        <v>24</v>
      </c>
      <c r="H21" s="138">
        <v>55.06</v>
      </c>
      <c r="I21" s="171"/>
    </row>
    <row r="22" spans="1:11" x14ac:dyDescent="0.25">
      <c r="A22" s="133">
        <v>18</v>
      </c>
      <c r="B22" s="134" t="s">
        <v>10</v>
      </c>
      <c r="C22" s="134" t="s">
        <v>14</v>
      </c>
      <c r="D22" s="135" t="s">
        <v>575</v>
      </c>
      <c r="E22" s="136" t="s">
        <v>227</v>
      </c>
      <c r="F22" s="136" t="s">
        <v>32</v>
      </c>
      <c r="G22" s="137">
        <v>30</v>
      </c>
      <c r="H22" s="138">
        <v>79.86</v>
      </c>
      <c r="I22" s="171"/>
    </row>
    <row r="23" spans="1:11" x14ac:dyDescent="0.25">
      <c r="A23" s="133">
        <v>19</v>
      </c>
      <c r="B23" s="134" t="s">
        <v>10</v>
      </c>
      <c r="C23" s="134" t="s">
        <v>14</v>
      </c>
      <c r="D23" s="135" t="s">
        <v>579</v>
      </c>
      <c r="E23" s="136" t="s">
        <v>149</v>
      </c>
      <c r="F23" s="136" t="s">
        <v>32</v>
      </c>
      <c r="G23" s="137">
        <v>32</v>
      </c>
      <c r="H23" s="138">
        <v>72.81</v>
      </c>
      <c r="I23" s="171"/>
    </row>
    <row r="24" spans="1:11" x14ac:dyDescent="0.25">
      <c r="A24" s="133">
        <v>20</v>
      </c>
      <c r="B24" s="134" t="s">
        <v>10</v>
      </c>
      <c r="C24" s="134" t="s">
        <v>14</v>
      </c>
      <c r="D24" s="135" t="s">
        <v>580</v>
      </c>
      <c r="E24" s="136" t="s">
        <v>149</v>
      </c>
      <c r="F24" s="136" t="s">
        <v>32</v>
      </c>
      <c r="G24" s="137">
        <v>40</v>
      </c>
      <c r="H24" s="138">
        <v>75.099999999999994</v>
      </c>
      <c r="I24" s="171"/>
    </row>
    <row r="25" spans="1:11" x14ac:dyDescent="0.25">
      <c r="A25" s="133">
        <v>21</v>
      </c>
      <c r="B25" s="134" t="s">
        <v>10</v>
      </c>
      <c r="C25" s="134" t="s">
        <v>14</v>
      </c>
      <c r="D25" s="135" t="s">
        <v>582</v>
      </c>
      <c r="E25" s="136" t="s">
        <v>138</v>
      </c>
      <c r="F25" s="136" t="s">
        <v>32</v>
      </c>
      <c r="G25" s="137">
        <v>38</v>
      </c>
      <c r="H25" s="138">
        <v>39.729999999999997</v>
      </c>
      <c r="I25" s="171"/>
    </row>
    <row r="26" spans="1:11" x14ac:dyDescent="0.25">
      <c r="A26" s="133">
        <v>22</v>
      </c>
      <c r="B26" s="134" t="s">
        <v>10</v>
      </c>
      <c r="C26" s="134" t="s">
        <v>14</v>
      </c>
      <c r="D26" s="135" t="s">
        <v>593</v>
      </c>
      <c r="E26" s="136" t="s">
        <v>138</v>
      </c>
      <c r="F26" s="136" t="s">
        <v>32</v>
      </c>
      <c r="G26" s="137">
        <v>30</v>
      </c>
      <c r="H26" s="138">
        <v>36.450000000000003</v>
      </c>
      <c r="I26" s="171"/>
    </row>
    <row r="27" spans="1:11" x14ac:dyDescent="0.25">
      <c r="A27" s="133">
        <v>23</v>
      </c>
      <c r="B27" s="134" t="s">
        <v>10</v>
      </c>
      <c r="C27" s="134" t="s">
        <v>14</v>
      </c>
      <c r="D27" s="135" t="s">
        <v>594</v>
      </c>
      <c r="E27" s="136" t="s">
        <v>149</v>
      </c>
      <c r="F27" s="136" t="s">
        <v>32</v>
      </c>
      <c r="G27" s="137">
        <v>24</v>
      </c>
      <c r="H27" s="138">
        <v>55.06</v>
      </c>
      <c r="I27" s="171"/>
    </row>
    <row r="28" spans="1:11" x14ac:dyDescent="0.25">
      <c r="A28" s="133">
        <v>24</v>
      </c>
      <c r="B28" s="134" t="s">
        <v>10</v>
      </c>
      <c r="C28" s="134" t="s">
        <v>14</v>
      </c>
      <c r="D28" s="135" t="s">
        <v>595</v>
      </c>
      <c r="E28" s="136" t="s">
        <v>149</v>
      </c>
      <c r="F28" s="136" t="s">
        <v>32</v>
      </c>
      <c r="G28" s="137">
        <v>30</v>
      </c>
      <c r="H28" s="138">
        <v>79.86</v>
      </c>
      <c r="I28" s="171"/>
    </row>
    <row r="29" spans="1:11" x14ac:dyDescent="0.25">
      <c r="A29" s="133">
        <v>25</v>
      </c>
      <c r="B29" s="134" t="s">
        <v>10</v>
      </c>
      <c r="C29" s="134" t="s">
        <v>14</v>
      </c>
      <c r="D29" s="135" t="s">
        <v>596</v>
      </c>
      <c r="E29" s="136" t="s">
        <v>149</v>
      </c>
      <c r="F29" s="136" t="s">
        <v>32</v>
      </c>
      <c r="G29" s="137">
        <v>32</v>
      </c>
      <c r="H29" s="138">
        <v>72.81</v>
      </c>
      <c r="I29" s="171"/>
    </row>
    <row r="30" spans="1:11" x14ac:dyDescent="0.25">
      <c r="A30" s="133">
        <v>26</v>
      </c>
      <c r="B30" s="134" t="s">
        <v>10</v>
      </c>
      <c r="C30" s="134" t="s">
        <v>14</v>
      </c>
      <c r="D30" s="135" t="s">
        <v>597</v>
      </c>
      <c r="E30" s="136" t="s">
        <v>138</v>
      </c>
      <c r="F30" s="136" t="s">
        <v>32</v>
      </c>
      <c r="G30" s="137">
        <v>40</v>
      </c>
      <c r="H30" s="138">
        <v>75.099999999999994</v>
      </c>
      <c r="I30" s="171">
        <v>19</v>
      </c>
      <c r="J30" s="9">
        <f>SUM(G12:G30)/19</f>
        <v>31.263157894736842</v>
      </c>
      <c r="K30" s="10">
        <f>SUM(H12:H30)</f>
        <v>1133.4500000000003</v>
      </c>
    </row>
    <row r="31" spans="1:11" x14ac:dyDescent="0.25">
      <c r="A31" s="139">
        <v>27</v>
      </c>
      <c r="B31" s="140" t="s">
        <v>10</v>
      </c>
      <c r="C31" s="140" t="s">
        <v>297</v>
      </c>
      <c r="D31" s="141" t="s">
        <v>552</v>
      </c>
      <c r="E31" s="142" t="s">
        <v>138</v>
      </c>
      <c r="F31" s="142" t="s">
        <v>32</v>
      </c>
      <c r="G31" s="143">
        <v>28</v>
      </c>
      <c r="H31" s="144">
        <v>40.33</v>
      </c>
      <c r="I31" s="172"/>
    </row>
    <row r="32" spans="1:11" x14ac:dyDescent="0.25">
      <c r="A32" s="139">
        <v>28</v>
      </c>
      <c r="B32" s="140" t="s">
        <v>10</v>
      </c>
      <c r="C32" s="140" t="s">
        <v>297</v>
      </c>
      <c r="D32" s="141" t="s">
        <v>553</v>
      </c>
      <c r="E32" s="142" t="s">
        <v>138</v>
      </c>
      <c r="F32" s="142" t="s">
        <v>32</v>
      </c>
      <c r="G32" s="143">
        <v>42</v>
      </c>
      <c r="H32" s="144">
        <v>63.57</v>
      </c>
      <c r="I32" s="172"/>
    </row>
    <row r="33" spans="1:11" x14ac:dyDescent="0.25">
      <c r="A33" s="139">
        <v>29</v>
      </c>
      <c r="B33" s="140" t="s">
        <v>10</v>
      </c>
      <c r="C33" s="140" t="s">
        <v>297</v>
      </c>
      <c r="D33" s="141" t="s">
        <v>554</v>
      </c>
      <c r="E33" s="142" t="s">
        <v>138</v>
      </c>
      <c r="F33" s="142" t="s">
        <v>32</v>
      </c>
      <c r="G33" s="143">
        <v>30</v>
      </c>
      <c r="H33" s="144">
        <v>38.020000000000003</v>
      </c>
      <c r="I33" s="172"/>
    </row>
    <row r="34" spans="1:11" x14ac:dyDescent="0.25">
      <c r="A34" s="139">
        <v>30</v>
      </c>
      <c r="B34" s="140" t="s">
        <v>10</v>
      </c>
      <c r="C34" s="140" t="s">
        <v>297</v>
      </c>
      <c r="D34" s="141" t="s">
        <v>555</v>
      </c>
      <c r="E34" s="142" t="s">
        <v>138</v>
      </c>
      <c r="F34" s="142" t="s">
        <v>32</v>
      </c>
      <c r="G34" s="143">
        <v>36</v>
      </c>
      <c r="H34" s="144">
        <v>34.590000000000003</v>
      </c>
      <c r="I34" s="172"/>
    </row>
    <row r="35" spans="1:11" x14ac:dyDescent="0.25">
      <c r="A35" s="139">
        <v>31</v>
      </c>
      <c r="B35" s="140" t="s">
        <v>10</v>
      </c>
      <c r="C35" s="140" t="s">
        <v>297</v>
      </c>
      <c r="D35" s="141" t="s">
        <v>556</v>
      </c>
      <c r="E35" s="142" t="s">
        <v>138</v>
      </c>
      <c r="F35" s="142" t="s">
        <v>32</v>
      </c>
      <c r="G35" s="143">
        <v>48</v>
      </c>
      <c r="H35" s="144">
        <v>55.03</v>
      </c>
      <c r="I35" s="172"/>
    </row>
    <row r="36" spans="1:11" x14ac:dyDescent="0.25">
      <c r="A36" s="139">
        <v>32</v>
      </c>
      <c r="B36" s="140" t="s">
        <v>10</v>
      </c>
      <c r="C36" s="140" t="s">
        <v>297</v>
      </c>
      <c r="D36" s="141" t="s">
        <v>557</v>
      </c>
      <c r="E36" s="142" t="s">
        <v>138</v>
      </c>
      <c r="F36" s="142" t="s">
        <v>32</v>
      </c>
      <c r="G36" s="143">
        <v>48</v>
      </c>
      <c r="H36" s="144">
        <v>49.99</v>
      </c>
      <c r="I36" s="172"/>
    </row>
    <row r="37" spans="1:11" x14ac:dyDescent="0.25">
      <c r="A37" s="139">
        <v>33</v>
      </c>
      <c r="B37" s="140" t="s">
        <v>10</v>
      </c>
      <c r="C37" s="140" t="s">
        <v>297</v>
      </c>
      <c r="D37" s="141" t="s">
        <v>558</v>
      </c>
      <c r="E37" s="142" t="s">
        <v>138</v>
      </c>
      <c r="F37" s="142" t="s">
        <v>32</v>
      </c>
      <c r="G37" s="143">
        <v>48</v>
      </c>
      <c r="H37" s="144">
        <v>49.5</v>
      </c>
      <c r="I37" s="172"/>
    </row>
    <row r="38" spans="1:11" x14ac:dyDescent="0.25">
      <c r="A38" s="139">
        <v>34</v>
      </c>
      <c r="B38" s="140" t="s">
        <v>10</v>
      </c>
      <c r="C38" s="140" t="s">
        <v>297</v>
      </c>
      <c r="D38" s="141" t="s">
        <v>559</v>
      </c>
      <c r="E38" s="142" t="s">
        <v>138</v>
      </c>
      <c r="F38" s="142" t="s">
        <v>32</v>
      </c>
      <c r="G38" s="143">
        <v>45</v>
      </c>
      <c r="H38" s="144">
        <v>50.13</v>
      </c>
      <c r="I38" s="172"/>
    </row>
    <row r="39" spans="1:11" x14ac:dyDescent="0.25">
      <c r="A39" s="139">
        <v>35</v>
      </c>
      <c r="B39" s="140" t="s">
        <v>10</v>
      </c>
      <c r="C39" s="140" t="s">
        <v>297</v>
      </c>
      <c r="D39" s="141" t="s">
        <v>583</v>
      </c>
      <c r="E39" s="142" t="s">
        <v>149</v>
      </c>
      <c r="F39" s="142" t="s">
        <v>32</v>
      </c>
      <c r="G39" s="143">
        <v>45</v>
      </c>
      <c r="H39" s="144">
        <v>63.47</v>
      </c>
      <c r="I39" s="172"/>
    </row>
    <row r="40" spans="1:11" x14ac:dyDescent="0.25">
      <c r="A40" s="139">
        <v>36</v>
      </c>
      <c r="B40" s="140" t="s">
        <v>10</v>
      </c>
      <c r="C40" s="140" t="s">
        <v>297</v>
      </c>
      <c r="D40" s="141" t="s">
        <v>578</v>
      </c>
      <c r="E40" s="142" t="s">
        <v>138</v>
      </c>
      <c r="F40" s="142" t="s">
        <v>32</v>
      </c>
      <c r="G40" s="143">
        <v>28</v>
      </c>
      <c r="H40" s="144">
        <v>38.020000000000003</v>
      </c>
      <c r="I40" s="172"/>
    </row>
    <row r="41" spans="1:11" x14ac:dyDescent="0.25">
      <c r="A41" s="139">
        <v>37</v>
      </c>
      <c r="B41" s="140" t="s">
        <v>10</v>
      </c>
      <c r="C41" s="140" t="s">
        <v>297</v>
      </c>
      <c r="D41" s="141" t="s">
        <v>584</v>
      </c>
      <c r="E41" s="142" t="s">
        <v>138</v>
      </c>
      <c r="F41" s="142" t="s">
        <v>32</v>
      </c>
      <c r="G41" s="143">
        <v>30</v>
      </c>
      <c r="H41" s="144">
        <v>41.63</v>
      </c>
      <c r="I41" s="172"/>
    </row>
    <row r="42" spans="1:11" x14ac:dyDescent="0.25">
      <c r="A42" s="139">
        <v>38</v>
      </c>
      <c r="B42" s="140" t="s">
        <v>10</v>
      </c>
      <c r="C42" s="140" t="s">
        <v>297</v>
      </c>
      <c r="D42" s="141" t="s">
        <v>585</v>
      </c>
      <c r="E42" s="142" t="s">
        <v>138</v>
      </c>
      <c r="F42" s="142" t="s">
        <v>32</v>
      </c>
      <c r="G42" s="143">
        <v>48</v>
      </c>
      <c r="H42" s="144">
        <v>55.03</v>
      </c>
      <c r="I42" s="172"/>
    </row>
    <row r="43" spans="1:11" x14ac:dyDescent="0.25">
      <c r="A43" s="139">
        <v>39</v>
      </c>
      <c r="B43" s="140" t="s">
        <v>10</v>
      </c>
      <c r="C43" s="140" t="s">
        <v>297</v>
      </c>
      <c r="D43" s="141" t="s">
        <v>587</v>
      </c>
      <c r="E43" s="142" t="s">
        <v>138</v>
      </c>
      <c r="F43" s="142" t="s">
        <v>32</v>
      </c>
      <c r="G43" s="143">
        <v>48</v>
      </c>
      <c r="H43" s="144">
        <v>49.99</v>
      </c>
      <c r="I43" s="172"/>
    </row>
    <row r="44" spans="1:11" x14ac:dyDescent="0.25">
      <c r="A44" s="139">
        <v>40</v>
      </c>
      <c r="B44" s="140" t="s">
        <v>10</v>
      </c>
      <c r="C44" s="140" t="s">
        <v>297</v>
      </c>
      <c r="D44" s="141" t="s">
        <v>588</v>
      </c>
      <c r="E44" s="142" t="s">
        <v>138</v>
      </c>
      <c r="F44" s="142" t="s">
        <v>32</v>
      </c>
      <c r="G44" s="143">
        <v>48</v>
      </c>
      <c r="H44" s="144">
        <v>49.5</v>
      </c>
      <c r="I44" s="172"/>
    </row>
    <row r="45" spans="1:11" x14ac:dyDescent="0.25">
      <c r="A45" s="139">
        <v>41</v>
      </c>
      <c r="B45" s="140" t="s">
        <v>10</v>
      </c>
      <c r="C45" s="140" t="s">
        <v>297</v>
      </c>
      <c r="D45" s="141" t="s">
        <v>589</v>
      </c>
      <c r="E45" s="142" t="s">
        <v>138</v>
      </c>
      <c r="F45" s="142" t="s">
        <v>32</v>
      </c>
      <c r="G45" s="143">
        <v>45</v>
      </c>
      <c r="H45" s="144">
        <v>50.13</v>
      </c>
      <c r="I45" s="172">
        <v>15</v>
      </c>
      <c r="J45" s="9">
        <f>SUM(G31:G45)/15</f>
        <v>41.133333333333333</v>
      </c>
      <c r="K45" s="10">
        <f>SUM(H31:H45)</f>
        <v>728.93</v>
      </c>
    </row>
    <row r="46" spans="1:11" x14ac:dyDescent="0.25">
      <c r="A46" s="145">
        <v>42</v>
      </c>
      <c r="B46" s="146" t="s">
        <v>10</v>
      </c>
      <c r="C46" s="146" t="s">
        <v>18</v>
      </c>
      <c r="D46" s="147">
        <v>101</v>
      </c>
      <c r="E46" s="148" t="s">
        <v>149</v>
      </c>
      <c r="F46" s="148" t="s">
        <v>32</v>
      </c>
      <c r="G46" s="149">
        <v>36</v>
      </c>
      <c r="H46" s="150">
        <v>128</v>
      </c>
      <c r="I46" s="173"/>
    </row>
    <row r="47" spans="1:11" x14ac:dyDescent="0.25">
      <c r="A47" s="145">
        <v>43</v>
      </c>
      <c r="B47" s="146" t="s">
        <v>10</v>
      </c>
      <c r="C47" s="146" t="s">
        <v>18</v>
      </c>
      <c r="D47" s="147">
        <v>301</v>
      </c>
      <c r="E47" s="148" t="s">
        <v>138</v>
      </c>
      <c r="F47" s="148" t="s">
        <v>32</v>
      </c>
      <c r="G47" s="149">
        <v>25</v>
      </c>
      <c r="H47" s="150">
        <v>64.599999999999994</v>
      </c>
      <c r="I47" s="173"/>
    </row>
    <row r="48" spans="1:11" x14ac:dyDescent="0.25">
      <c r="A48" s="145">
        <v>44</v>
      </c>
      <c r="B48" s="146" t="s">
        <v>10</v>
      </c>
      <c r="C48" s="146" t="s">
        <v>18</v>
      </c>
      <c r="D48" s="147">
        <v>401</v>
      </c>
      <c r="E48" s="148" t="s">
        <v>138</v>
      </c>
      <c r="F48" s="148" t="s">
        <v>32</v>
      </c>
      <c r="G48" s="149">
        <v>25</v>
      </c>
      <c r="H48" s="150">
        <v>64.599999999999994</v>
      </c>
      <c r="I48" s="173"/>
    </row>
    <row r="49" spans="1:9" x14ac:dyDescent="0.25">
      <c r="A49" s="145">
        <v>45</v>
      </c>
      <c r="B49" s="146" t="s">
        <v>10</v>
      </c>
      <c r="C49" s="146" t="s">
        <v>18</v>
      </c>
      <c r="D49" s="147">
        <v>402</v>
      </c>
      <c r="E49" s="148" t="s">
        <v>138</v>
      </c>
      <c r="F49" s="148" t="s">
        <v>32</v>
      </c>
      <c r="G49" s="149">
        <v>44</v>
      </c>
      <c r="H49" s="150">
        <v>88.64</v>
      </c>
      <c r="I49" s="173"/>
    </row>
    <row r="50" spans="1:9" x14ac:dyDescent="0.25">
      <c r="A50" s="145">
        <v>46</v>
      </c>
      <c r="B50" s="146" t="s">
        <v>10</v>
      </c>
      <c r="C50" s="146" t="s">
        <v>18</v>
      </c>
      <c r="D50" s="147">
        <v>403</v>
      </c>
      <c r="E50" s="148" t="s">
        <v>138</v>
      </c>
      <c r="F50" s="148" t="s">
        <v>32</v>
      </c>
      <c r="G50" s="149">
        <v>41</v>
      </c>
      <c r="H50" s="150">
        <v>83.35</v>
      </c>
      <c r="I50" s="173"/>
    </row>
    <row r="51" spans="1:9" x14ac:dyDescent="0.25">
      <c r="A51" s="145">
        <v>47</v>
      </c>
      <c r="B51" s="146" t="s">
        <v>10</v>
      </c>
      <c r="C51" s="146" t="s">
        <v>18</v>
      </c>
      <c r="D51" s="147">
        <v>406</v>
      </c>
      <c r="E51" s="148" t="s">
        <v>149</v>
      </c>
      <c r="F51" s="148" t="s">
        <v>32</v>
      </c>
      <c r="G51" s="149">
        <v>45</v>
      </c>
      <c r="H51" s="150">
        <v>112.74</v>
      </c>
      <c r="I51" s="173"/>
    </row>
    <row r="52" spans="1:9" x14ac:dyDescent="0.25">
      <c r="A52" s="145">
        <v>48</v>
      </c>
      <c r="B52" s="146" t="s">
        <v>10</v>
      </c>
      <c r="C52" s="146" t="s">
        <v>18</v>
      </c>
      <c r="D52" s="147">
        <v>407</v>
      </c>
      <c r="E52" s="148" t="s">
        <v>138</v>
      </c>
      <c r="F52" s="148" t="s">
        <v>32</v>
      </c>
      <c r="G52" s="149">
        <v>24</v>
      </c>
      <c r="H52" s="150">
        <v>48.03</v>
      </c>
      <c r="I52" s="173"/>
    </row>
    <row r="53" spans="1:9" x14ac:dyDescent="0.25">
      <c r="A53" s="145">
        <v>49</v>
      </c>
      <c r="B53" s="146" t="s">
        <v>10</v>
      </c>
      <c r="C53" s="146" t="s">
        <v>18</v>
      </c>
      <c r="D53" s="147">
        <v>408</v>
      </c>
      <c r="E53" s="148" t="s">
        <v>138</v>
      </c>
      <c r="F53" s="148" t="s">
        <v>32</v>
      </c>
      <c r="G53" s="149">
        <v>22</v>
      </c>
      <c r="H53" s="150">
        <v>44.5</v>
      </c>
      <c r="I53" s="173"/>
    </row>
    <row r="54" spans="1:9" x14ac:dyDescent="0.25">
      <c r="A54" s="145">
        <v>50</v>
      </c>
      <c r="B54" s="146" t="s">
        <v>10</v>
      </c>
      <c r="C54" s="146" t="s">
        <v>18</v>
      </c>
      <c r="D54" s="147">
        <v>409</v>
      </c>
      <c r="E54" s="148" t="s">
        <v>138</v>
      </c>
      <c r="F54" s="148" t="s">
        <v>32</v>
      </c>
      <c r="G54" s="149">
        <v>21</v>
      </c>
      <c r="H54" s="150">
        <v>43.7</v>
      </c>
      <c r="I54" s="173"/>
    </row>
    <row r="55" spans="1:9" x14ac:dyDescent="0.25">
      <c r="A55" s="145">
        <v>51</v>
      </c>
      <c r="B55" s="146" t="s">
        <v>10</v>
      </c>
      <c r="C55" s="146" t="s">
        <v>18</v>
      </c>
      <c r="D55" s="147">
        <v>410</v>
      </c>
      <c r="E55" s="148" t="s">
        <v>138</v>
      </c>
      <c r="F55" s="148" t="s">
        <v>32</v>
      </c>
      <c r="G55" s="149">
        <v>21</v>
      </c>
      <c r="H55" s="150">
        <v>41.87</v>
      </c>
      <c r="I55" s="173"/>
    </row>
    <row r="56" spans="1:9" x14ac:dyDescent="0.25">
      <c r="A56" s="145">
        <v>52</v>
      </c>
      <c r="B56" s="146" t="s">
        <v>10</v>
      </c>
      <c r="C56" s="146" t="s">
        <v>18</v>
      </c>
      <c r="D56" s="147">
        <v>501</v>
      </c>
      <c r="E56" s="148" t="s">
        <v>138</v>
      </c>
      <c r="F56" s="148" t="s">
        <v>32</v>
      </c>
      <c r="G56" s="149">
        <v>25</v>
      </c>
      <c r="H56" s="150">
        <v>47.9</v>
      </c>
      <c r="I56" s="173"/>
    </row>
    <row r="57" spans="1:9" x14ac:dyDescent="0.25">
      <c r="A57" s="145">
        <v>53</v>
      </c>
      <c r="B57" s="146" t="s">
        <v>10</v>
      </c>
      <c r="C57" s="146" t="s">
        <v>18</v>
      </c>
      <c r="D57" s="147">
        <v>502</v>
      </c>
      <c r="E57" s="148" t="s">
        <v>138</v>
      </c>
      <c r="F57" s="148" t="s">
        <v>32</v>
      </c>
      <c r="G57" s="149">
        <v>25</v>
      </c>
      <c r="H57" s="150">
        <v>42</v>
      </c>
      <c r="I57" s="173"/>
    </row>
    <row r="58" spans="1:9" x14ac:dyDescent="0.25">
      <c r="A58" s="145">
        <v>54</v>
      </c>
      <c r="B58" s="146" t="s">
        <v>10</v>
      </c>
      <c r="C58" s="146" t="s">
        <v>18</v>
      </c>
      <c r="D58" s="147">
        <v>503</v>
      </c>
      <c r="E58" s="148" t="s">
        <v>138</v>
      </c>
      <c r="F58" s="148" t="s">
        <v>32</v>
      </c>
      <c r="G58" s="149">
        <v>25</v>
      </c>
      <c r="H58" s="150">
        <v>48.73</v>
      </c>
      <c r="I58" s="173"/>
    </row>
    <row r="59" spans="1:9" x14ac:dyDescent="0.25">
      <c r="A59" s="145">
        <v>55</v>
      </c>
      <c r="B59" s="146" t="s">
        <v>10</v>
      </c>
      <c r="C59" s="146" t="s">
        <v>18</v>
      </c>
      <c r="D59" s="147">
        <v>504</v>
      </c>
      <c r="E59" s="148" t="s">
        <v>138</v>
      </c>
      <c r="F59" s="148" t="s">
        <v>32</v>
      </c>
      <c r="G59" s="149">
        <v>25</v>
      </c>
      <c r="H59" s="150">
        <v>48.81</v>
      </c>
      <c r="I59" s="173"/>
    </row>
    <row r="60" spans="1:9" x14ac:dyDescent="0.25">
      <c r="A60" s="145">
        <v>56</v>
      </c>
      <c r="B60" s="146" t="s">
        <v>10</v>
      </c>
      <c r="C60" s="146" t="s">
        <v>18</v>
      </c>
      <c r="D60" s="147">
        <v>505</v>
      </c>
      <c r="E60" s="148" t="s">
        <v>138</v>
      </c>
      <c r="F60" s="148" t="s">
        <v>32</v>
      </c>
      <c r="G60" s="149">
        <v>25</v>
      </c>
      <c r="H60" s="150">
        <v>48.73</v>
      </c>
      <c r="I60" s="173"/>
    </row>
    <row r="61" spans="1:9" x14ac:dyDescent="0.25">
      <c r="A61" s="145">
        <v>57</v>
      </c>
      <c r="B61" s="146" t="s">
        <v>10</v>
      </c>
      <c r="C61" s="146" t="s">
        <v>18</v>
      </c>
      <c r="D61" s="147">
        <v>506</v>
      </c>
      <c r="E61" s="148" t="s">
        <v>138</v>
      </c>
      <c r="F61" s="148" t="s">
        <v>32</v>
      </c>
      <c r="G61" s="149">
        <v>25</v>
      </c>
      <c r="H61" s="150">
        <v>48.64</v>
      </c>
      <c r="I61" s="173"/>
    </row>
    <row r="62" spans="1:9" x14ac:dyDescent="0.25">
      <c r="A62" s="145">
        <v>58</v>
      </c>
      <c r="B62" s="146" t="s">
        <v>10</v>
      </c>
      <c r="C62" s="146" t="s">
        <v>18</v>
      </c>
      <c r="D62" s="147">
        <v>507</v>
      </c>
      <c r="E62" s="148" t="s">
        <v>138</v>
      </c>
      <c r="F62" s="148" t="s">
        <v>32</v>
      </c>
      <c r="G62" s="149">
        <v>25</v>
      </c>
      <c r="H62" s="150">
        <v>47.38</v>
      </c>
      <c r="I62" s="173"/>
    </row>
    <row r="63" spans="1:9" x14ac:dyDescent="0.25">
      <c r="A63" s="145">
        <v>59</v>
      </c>
      <c r="B63" s="146" t="s">
        <v>10</v>
      </c>
      <c r="C63" s="146" t="s">
        <v>18</v>
      </c>
      <c r="D63" s="147">
        <v>508</v>
      </c>
      <c r="E63" s="148" t="s">
        <v>138</v>
      </c>
      <c r="F63" s="148" t="s">
        <v>32</v>
      </c>
      <c r="G63" s="149">
        <v>26</v>
      </c>
      <c r="H63" s="150">
        <v>51.77</v>
      </c>
      <c r="I63" s="173"/>
    </row>
    <row r="64" spans="1:9" x14ac:dyDescent="0.25">
      <c r="A64" s="145">
        <v>60</v>
      </c>
      <c r="B64" s="146" t="s">
        <v>10</v>
      </c>
      <c r="C64" s="146" t="s">
        <v>18</v>
      </c>
      <c r="D64" s="147">
        <v>509</v>
      </c>
      <c r="E64" s="148" t="s">
        <v>138</v>
      </c>
      <c r="F64" s="148" t="s">
        <v>32</v>
      </c>
      <c r="G64" s="149">
        <v>26</v>
      </c>
      <c r="H64" s="150">
        <v>51.27</v>
      </c>
      <c r="I64" s="173"/>
    </row>
    <row r="65" spans="1:9" x14ac:dyDescent="0.25">
      <c r="A65" s="145">
        <v>61</v>
      </c>
      <c r="B65" s="146" t="s">
        <v>10</v>
      </c>
      <c r="C65" s="146" t="s">
        <v>18</v>
      </c>
      <c r="D65" s="147">
        <v>510</v>
      </c>
      <c r="E65" s="148" t="s">
        <v>138</v>
      </c>
      <c r="F65" s="148" t="s">
        <v>32</v>
      </c>
      <c r="G65" s="149">
        <v>25</v>
      </c>
      <c r="H65" s="150">
        <v>47.05</v>
      </c>
      <c r="I65" s="173"/>
    </row>
    <row r="66" spans="1:9" x14ac:dyDescent="0.25">
      <c r="A66" s="145">
        <v>62</v>
      </c>
      <c r="B66" s="146" t="s">
        <v>10</v>
      </c>
      <c r="C66" s="146" t="s">
        <v>18</v>
      </c>
      <c r="D66" s="147">
        <v>511</v>
      </c>
      <c r="E66" s="148" t="s">
        <v>138</v>
      </c>
      <c r="F66" s="148" t="s">
        <v>32</v>
      </c>
      <c r="G66" s="149">
        <v>25</v>
      </c>
      <c r="H66" s="150">
        <v>43.98</v>
      </c>
      <c r="I66" s="173"/>
    </row>
    <row r="67" spans="1:9" x14ac:dyDescent="0.25">
      <c r="A67" s="145">
        <v>63</v>
      </c>
      <c r="B67" s="146" t="s">
        <v>10</v>
      </c>
      <c r="C67" s="146" t="s">
        <v>18</v>
      </c>
      <c r="D67" s="147">
        <v>512</v>
      </c>
      <c r="E67" s="148" t="s">
        <v>138</v>
      </c>
      <c r="F67" s="148" t="s">
        <v>32</v>
      </c>
      <c r="G67" s="149">
        <v>25</v>
      </c>
      <c r="H67" s="150">
        <v>44.63</v>
      </c>
      <c r="I67" s="173"/>
    </row>
    <row r="68" spans="1:9" x14ac:dyDescent="0.25">
      <c r="A68" s="145">
        <v>64</v>
      </c>
      <c r="B68" s="146" t="s">
        <v>10</v>
      </c>
      <c r="C68" s="146" t="s">
        <v>18</v>
      </c>
      <c r="D68" s="147">
        <v>513</v>
      </c>
      <c r="E68" s="148" t="s">
        <v>138</v>
      </c>
      <c r="F68" s="148" t="s">
        <v>32</v>
      </c>
      <c r="G68" s="149">
        <v>20</v>
      </c>
      <c r="H68" s="150">
        <v>40.340000000000003</v>
      </c>
      <c r="I68" s="173"/>
    </row>
    <row r="69" spans="1:9" x14ac:dyDescent="0.25">
      <c r="A69" s="145">
        <v>65</v>
      </c>
      <c r="B69" s="146" t="s">
        <v>10</v>
      </c>
      <c r="C69" s="146" t="s">
        <v>18</v>
      </c>
      <c r="D69" s="147">
        <v>514</v>
      </c>
      <c r="E69" s="148" t="s">
        <v>138</v>
      </c>
      <c r="F69" s="148" t="s">
        <v>32</v>
      </c>
      <c r="G69" s="149">
        <v>19</v>
      </c>
      <c r="H69" s="150">
        <v>38.450000000000003</v>
      </c>
      <c r="I69" s="173"/>
    </row>
    <row r="70" spans="1:9" x14ac:dyDescent="0.25">
      <c r="A70" s="145">
        <v>66</v>
      </c>
      <c r="B70" s="146" t="s">
        <v>10</v>
      </c>
      <c r="C70" s="146" t="s">
        <v>18</v>
      </c>
      <c r="D70" s="147">
        <v>515</v>
      </c>
      <c r="E70" s="148" t="s">
        <v>138</v>
      </c>
      <c r="F70" s="148" t="s">
        <v>32</v>
      </c>
      <c r="G70" s="149">
        <v>19</v>
      </c>
      <c r="H70" s="150">
        <v>37.46</v>
      </c>
      <c r="I70" s="173"/>
    </row>
    <row r="71" spans="1:9" x14ac:dyDescent="0.25">
      <c r="A71" s="145">
        <v>67</v>
      </c>
      <c r="B71" s="146" t="s">
        <v>10</v>
      </c>
      <c r="C71" s="146" t="s">
        <v>18</v>
      </c>
      <c r="D71" s="147">
        <v>516</v>
      </c>
      <c r="E71" s="148" t="s">
        <v>138</v>
      </c>
      <c r="F71" s="148" t="s">
        <v>32</v>
      </c>
      <c r="G71" s="149">
        <v>25</v>
      </c>
      <c r="H71" s="150">
        <v>44.43</v>
      </c>
      <c r="I71" s="173"/>
    </row>
    <row r="72" spans="1:9" x14ac:dyDescent="0.25">
      <c r="A72" s="145">
        <v>68</v>
      </c>
      <c r="B72" s="146" t="s">
        <v>10</v>
      </c>
      <c r="C72" s="146" t="s">
        <v>18</v>
      </c>
      <c r="D72" s="147">
        <v>601</v>
      </c>
      <c r="E72" s="148" t="s">
        <v>138</v>
      </c>
      <c r="F72" s="148" t="s">
        <v>32</v>
      </c>
      <c r="G72" s="149">
        <v>25</v>
      </c>
      <c r="H72" s="150">
        <v>47.9</v>
      </c>
      <c r="I72" s="173"/>
    </row>
    <row r="73" spans="1:9" x14ac:dyDescent="0.25">
      <c r="A73" s="145">
        <v>69</v>
      </c>
      <c r="B73" s="146" t="s">
        <v>10</v>
      </c>
      <c r="C73" s="146" t="s">
        <v>18</v>
      </c>
      <c r="D73" s="147">
        <v>602</v>
      </c>
      <c r="E73" s="148" t="s">
        <v>138</v>
      </c>
      <c r="F73" s="148" t="s">
        <v>32</v>
      </c>
      <c r="G73" s="149">
        <v>25</v>
      </c>
      <c r="H73" s="150">
        <v>42</v>
      </c>
      <c r="I73" s="173"/>
    </row>
    <row r="74" spans="1:9" x14ac:dyDescent="0.25">
      <c r="A74" s="145">
        <v>70</v>
      </c>
      <c r="B74" s="146" t="s">
        <v>10</v>
      </c>
      <c r="C74" s="146" t="s">
        <v>18</v>
      </c>
      <c r="D74" s="147">
        <v>603</v>
      </c>
      <c r="E74" s="148" t="s">
        <v>138</v>
      </c>
      <c r="F74" s="148" t="s">
        <v>32</v>
      </c>
      <c r="G74" s="149">
        <v>25</v>
      </c>
      <c r="H74" s="150">
        <v>48.73</v>
      </c>
      <c r="I74" s="173"/>
    </row>
    <row r="75" spans="1:9" x14ac:dyDescent="0.25">
      <c r="A75" s="145">
        <v>71</v>
      </c>
      <c r="B75" s="146" t="s">
        <v>10</v>
      </c>
      <c r="C75" s="146" t="s">
        <v>18</v>
      </c>
      <c r="D75" s="147">
        <v>604</v>
      </c>
      <c r="E75" s="148" t="s">
        <v>138</v>
      </c>
      <c r="F75" s="148" t="s">
        <v>32</v>
      </c>
      <c r="G75" s="149">
        <v>25</v>
      </c>
      <c r="H75" s="150">
        <v>48.81</v>
      </c>
      <c r="I75" s="173"/>
    </row>
    <row r="76" spans="1:9" x14ac:dyDescent="0.25">
      <c r="A76" s="145">
        <v>72</v>
      </c>
      <c r="B76" s="146" t="s">
        <v>10</v>
      </c>
      <c r="C76" s="146" t="s">
        <v>18</v>
      </c>
      <c r="D76" s="147">
        <v>605</v>
      </c>
      <c r="E76" s="148" t="s">
        <v>138</v>
      </c>
      <c r="F76" s="148" t="s">
        <v>32</v>
      </c>
      <c r="G76" s="149">
        <v>25</v>
      </c>
      <c r="H76" s="150">
        <v>48.73</v>
      </c>
      <c r="I76" s="173"/>
    </row>
    <row r="77" spans="1:9" x14ac:dyDescent="0.25">
      <c r="A77" s="145">
        <v>73</v>
      </c>
      <c r="B77" s="146" t="s">
        <v>10</v>
      </c>
      <c r="C77" s="146" t="s">
        <v>18</v>
      </c>
      <c r="D77" s="147">
        <v>606</v>
      </c>
      <c r="E77" s="148" t="s">
        <v>138</v>
      </c>
      <c r="F77" s="148" t="s">
        <v>32</v>
      </c>
      <c r="G77" s="149">
        <v>25</v>
      </c>
      <c r="H77" s="150">
        <v>48.64</v>
      </c>
      <c r="I77" s="173"/>
    </row>
    <row r="78" spans="1:9" x14ac:dyDescent="0.25">
      <c r="A78" s="145">
        <v>74</v>
      </c>
      <c r="B78" s="146" t="s">
        <v>10</v>
      </c>
      <c r="C78" s="146" t="s">
        <v>18</v>
      </c>
      <c r="D78" s="147">
        <v>607</v>
      </c>
      <c r="E78" s="148" t="s">
        <v>138</v>
      </c>
      <c r="F78" s="148" t="s">
        <v>32</v>
      </c>
      <c r="G78" s="149">
        <v>25</v>
      </c>
      <c r="H78" s="150">
        <v>47.38</v>
      </c>
      <c r="I78" s="173"/>
    </row>
    <row r="79" spans="1:9" x14ac:dyDescent="0.25">
      <c r="A79" s="145">
        <v>75</v>
      </c>
      <c r="B79" s="146" t="s">
        <v>10</v>
      </c>
      <c r="C79" s="146" t="s">
        <v>18</v>
      </c>
      <c r="D79" s="147">
        <v>608</v>
      </c>
      <c r="E79" s="148" t="s">
        <v>138</v>
      </c>
      <c r="F79" s="148" t="s">
        <v>32</v>
      </c>
      <c r="G79" s="149">
        <v>26</v>
      </c>
      <c r="H79" s="150">
        <v>51.77</v>
      </c>
      <c r="I79" s="173"/>
    </row>
    <row r="80" spans="1:9" x14ac:dyDescent="0.25">
      <c r="A80" s="145">
        <v>76</v>
      </c>
      <c r="B80" s="146" t="s">
        <v>10</v>
      </c>
      <c r="C80" s="146" t="s">
        <v>18</v>
      </c>
      <c r="D80" s="147">
        <v>609</v>
      </c>
      <c r="E80" s="148" t="s">
        <v>138</v>
      </c>
      <c r="F80" s="148" t="s">
        <v>32</v>
      </c>
      <c r="G80" s="149">
        <v>26</v>
      </c>
      <c r="H80" s="150">
        <v>51.27</v>
      </c>
      <c r="I80" s="173"/>
    </row>
    <row r="81" spans="1:11" x14ac:dyDescent="0.25">
      <c r="A81" s="145">
        <v>77</v>
      </c>
      <c r="B81" s="146" t="s">
        <v>10</v>
      </c>
      <c r="C81" s="146" t="s">
        <v>18</v>
      </c>
      <c r="D81" s="147">
        <v>610</v>
      </c>
      <c r="E81" s="148" t="s">
        <v>138</v>
      </c>
      <c r="F81" s="148" t="s">
        <v>32</v>
      </c>
      <c r="G81" s="149">
        <v>25</v>
      </c>
      <c r="H81" s="150">
        <v>47.05</v>
      </c>
      <c r="I81" s="173"/>
    </row>
    <row r="82" spans="1:11" x14ac:dyDescent="0.25">
      <c r="A82" s="145">
        <v>78</v>
      </c>
      <c r="B82" s="146" t="s">
        <v>10</v>
      </c>
      <c r="C82" s="146" t="s">
        <v>18</v>
      </c>
      <c r="D82" s="147">
        <v>611</v>
      </c>
      <c r="E82" s="148" t="s">
        <v>138</v>
      </c>
      <c r="F82" s="148" t="s">
        <v>32</v>
      </c>
      <c r="G82" s="149">
        <v>25</v>
      </c>
      <c r="H82" s="150">
        <v>43.98</v>
      </c>
      <c r="I82" s="173"/>
    </row>
    <row r="83" spans="1:11" x14ac:dyDescent="0.25">
      <c r="A83" s="145">
        <v>79</v>
      </c>
      <c r="B83" s="146" t="s">
        <v>10</v>
      </c>
      <c r="C83" s="146" t="s">
        <v>18</v>
      </c>
      <c r="D83" s="147">
        <v>612</v>
      </c>
      <c r="E83" s="148" t="s">
        <v>138</v>
      </c>
      <c r="F83" s="148" t="s">
        <v>32</v>
      </c>
      <c r="G83" s="149">
        <v>25</v>
      </c>
      <c r="H83" s="150">
        <v>44.63</v>
      </c>
      <c r="I83" s="173"/>
    </row>
    <row r="84" spans="1:11" x14ac:dyDescent="0.25">
      <c r="A84" s="145">
        <v>80</v>
      </c>
      <c r="B84" s="146" t="s">
        <v>10</v>
      </c>
      <c r="C84" s="146" t="s">
        <v>18</v>
      </c>
      <c r="D84" s="147">
        <v>613</v>
      </c>
      <c r="E84" s="148" t="s">
        <v>138</v>
      </c>
      <c r="F84" s="148" t="s">
        <v>32</v>
      </c>
      <c r="G84" s="149">
        <v>20</v>
      </c>
      <c r="H84" s="150">
        <v>40.340000000000003</v>
      </c>
      <c r="I84" s="173"/>
    </row>
    <row r="85" spans="1:11" x14ac:dyDescent="0.25">
      <c r="A85" s="145">
        <v>81</v>
      </c>
      <c r="B85" s="146" t="s">
        <v>10</v>
      </c>
      <c r="C85" s="146" t="s">
        <v>18</v>
      </c>
      <c r="D85" s="147">
        <v>614</v>
      </c>
      <c r="E85" s="148" t="s">
        <v>138</v>
      </c>
      <c r="F85" s="148" t="s">
        <v>32</v>
      </c>
      <c r="G85" s="149">
        <v>19</v>
      </c>
      <c r="H85" s="150">
        <v>38.450000000000003</v>
      </c>
      <c r="I85" s="173"/>
    </row>
    <row r="86" spans="1:11" x14ac:dyDescent="0.25">
      <c r="A86" s="145">
        <v>82</v>
      </c>
      <c r="B86" s="146" t="s">
        <v>10</v>
      </c>
      <c r="C86" s="146" t="s">
        <v>18</v>
      </c>
      <c r="D86" s="147">
        <v>615</v>
      </c>
      <c r="E86" s="148" t="s">
        <v>138</v>
      </c>
      <c r="F86" s="148" t="s">
        <v>32</v>
      </c>
      <c r="G86" s="149">
        <v>19</v>
      </c>
      <c r="H86" s="150">
        <v>37.46</v>
      </c>
      <c r="I86" s="173"/>
    </row>
    <row r="87" spans="1:11" x14ac:dyDescent="0.25">
      <c r="A87" s="145">
        <v>83</v>
      </c>
      <c r="B87" s="146" t="s">
        <v>10</v>
      </c>
      <c r="C87" s="146" t="s">
        <v>18</v>
      </c>
      <c r="D87" s="147">
        <v>616</v>
      </c>
      <c r="E87" s="148" t="s">
        <v>138</v>
      </c>
      <c r="F87" s="148" t="s">
        <v>32</v>
      </c>
      <c r="G87" s="149">
        <v>25</v>
      </c>
      <c r="H87" s="150">
        <v>44.43</v>
      </c>
      <c r="I87" s="173">
        <v>42</v>
      </c>
      <c r="J87" s="9">
        <f>SUM(G46:G87)/42</f>
        <v>25.571428571428573</v>
      </c>
      <c r="K87" s="10">
        <f>SUM(H46:H87)</f>
        <v>2183.17</v>
      </c>
    </row>
    <row r="88" spans="1:11" x14ac:dyDescent="0.25">
      <c r="A88" s="121">
        <v>84</v>
      </c>
      <c r="B88" s="122" t="s">
        <v>10</v>
      </c>
      <c r="C88" s="122" t="s">
        <v>298</v>
      </c>
      <c r="D88" s="123"/>
      <c r="E88" s="122" t="s">
        <v>637</v>
      </c>
      <c r="F88" s="124" t="s">
        <v>68</v>
      </c>
      <c r="G88" s="125">
        <v>41</v>
      </c>
      <c r="H88" s="126">
        <v>91.09</v>
      </c>
      <c r="I88" s="174"/>
    </row>
    <row r="89" spans="1:11" x14ac:dyDescent="0.25">
      <c r="A89" s="121">
        <v>85</v>
      </c>
      <c r="B89" s="122" t="s">
        <v>10</v>
      </c>
      <c r="C89" s="122" t="s">
        <v>298</v>
      </c>
      <c r="D89" s="123"/>
      <c r="E89" s="122" t="s">
        <v>638</v>
      </c>
      <c r="F89" s="124" t="s">
        <v>68</v>
      </c>
      <c r="G89" s="125">
        <v>51</v>
      </c>
      <c r="H89" s="126">
        <v>120.3</v>
      </c>
      <c r="I89" s="174"/>
    </row>
    <row r="90" spans="1:11" x14ac:dyDescent="0.25">
      <c r="A90" s="121">
        <v>86</v>
      </c>
      <c r="B90" s="122" t="s">
        <v>10</v>
      </c>
      <c r="C90" s="122" t="s">
        <v>298</v>
      </c>
      <c r="D90" s="123"/>
      <c r="E90" s="122" t="s">
        <v>638</v>
      </c>
      <c r="F90" s="124" t="s">
        <v>68</v>
      </c>
      <c r="G90" s="125">
        <v>51</v>
      </c>
      <c r="H90" s="126">
        <v>120</v>
      </c>
      <c r="I90" s="174"/>
    </row>
    <row r="91" spans="1:11" x14ac:dyDescent="0.25">
      <c r="A91" s="121">
        <v>87</v>
      </c>
      <c r="B91" s="122" t="s">
        <v>10</v>
      </c>
      <c r="C91" s="122" t="s">
        <v>298</v>
      </c>
      <c r="D91" s="123"/>
      <c r="E91" s="122" t="s">
        <v>662</v>
      </c>
      <c r="F91" s="124" t="s">
        <v>68</v>
      </c>
      <c r="G91" s="125">
        <v>41</v>
      </c>
      <c r="H91" s="126">
        <v>92.07</v>
      </c>
      <c r="I91" s="174"/>
    </row>
    <row r="92" spans="1:11" x14ac:dyDescent="0.25">
      <c r="A92" s="121">
        <v>88</v>
      </c>
      <c r="B92" s="122" t="s">
        <v>10</v>
      </c>
      <c r="C92" s="122" t="s">
        <v>298</v>
      </c>
      <c r="D92" s="123"/>
      <c r="E92" s="122" t="s">
        <v>663</v>
      </c>
      <c r="F92" s="124" t="s">
        <v>68</v>
      </c>
      <c r="G92" s="125">
        <v>51</v>
      </c>
      <c r="H92" s="126">
        <v>121.68</v>
      </c>
      <c r="I92" s="174"/>
    </row>
    <row r="93" spans="1:11" x14ac:dyDescent="0.25">
      <c r="A93" s="121">
        <v>89</v>
      </c>
      <c r="B93" s="122" t="s">
        <v>10</v>
      </c>
      <c r="C93" s="122" t="s">
        <v>298</v>
      </c>
      <c r="D93" s="123"/>
      <c r="E93" s="122" t="s">
        <v>663</v>
      </c>
      <c r="F93" s="124" t="s">
        <v>68</v>
      </c>
      <c r="G93" s="125">
        <v>51</v>
      </c>
      <c r="H93" s="126">
        <v>122.68</v>
      </c>
      <c r="I93" s="174"/>
    </row>
    <row r="94" spans="1:11" x14ac:dyDescent="0.25">
      <c r="A94" s="121">
        <v>90</v>
      </c>
      <c r="B94" s="122" t="s">
        <v>10</v>
      </c>
      <c r="C94" s="122" t="s">
        <v>298</v>
      </c>
      <c r="D94" s="123"/>
      <c r="E94" s="122" t="s">
        <v>663</v>
      </c>
      <c r="F94" s="124" t="s">
        <v>68</v>
      </c>
      <c r="G94" s="125">
        <v>51</v>
      </c>
      <c r="H94" s="126">
        <v>122.68</v>
      </c>
      <c r="I94" s="174"/>
    </row>
    <row r="95" spans="1:11" x14ac:dyDescent="0.25">
      <c r="A95" s="121">
        <v>91</v>
      </c>
      <c r="B95" s="122" t="s">
        <v>10</v>
      </c>
      <c r="C95" s="122" t="s">
        <v>298</v>
      </c>
      <c r="D95" s="123"/>
      <c r="E95" s="122" t="s">
        <v>664</v>
      </c>
      <c r="F95" s="124" t="s">
        <v>68</v>
      </c>
      <c r="G95" s="125">
        <v>51</v>
      </c>
      <c r="H95" s="126">
        <v>110.28</v>
      </c>
      <c r="I95" s="174"/>
    </row>
    <row r="96" spans="1:11" x14ac:dyDescent="0.25">
      <c r="A96" s="121">
        <v>92</v>
      </c>
      <c r="B96" s="122" t="s">
        <v>10</v>
      </c>
      <c r="C96" s="122" t="s">
        <v>298</v>
      </c>
      <c r="D96" s="123"/>
      <c r="E96" s="122" t="s">
        <v>665</v>
      </c>
      <c r="F96" s="124" t="s">
        <v>68</v>
      </c>
      <c r="G96" s="125">
        <v>31</v>
      </c>
      <c r="H96" s="126">
        <v>76.05</v>
      </c>
      <c r="I96" s="174"/>
    </row>
    <row r="97" spans="1:9" x14ac:dyDescent="0.25">
      <c r="A97" s="121">
        <v>93</v>
      </c>
      <c r="B97" s="122" t="s">
        <v>10</v>
      </c>
      <c r="C97" s="122" t="s">
        <v>298</v>
      </c>
      <c r="D97" s="123"/>
      <c r="E97" s="122" t="s">
        <v>665</v>
      </c>
      <c r="F97" s="124" t="s">
        <v>68</v>
      </c>
      <c r="G97" s="125">
        <v>31</v>
      </c>
      <c r="H97" s="126">
        <v>76.05</v>
      </c>
      <c r="I97" s="174"/>
    </row>
    <row r="98" spans="1:9" x14ac:dyDescent="0.25">
      <c r="A98" s="121">
        <v>94</v>
      </c>
      <c r="B98" s="122" t="s">
        <v>10</v>
      </c>
      <c r="C98" s="122" t="s">
        <v>298</v>
      </c>
      <c r="D98" s="123"/>
      <c r="E98" s="122" t="s">
        <v>665</v>
      </c>
      <c r="F98" s="124" t="s">
        <v>68</v>
      </c>
      <c r="G98" s="125">
        <v>31</v>
      </c>
      <c r="H98" s="126">
        <v>78.19</v>
      </c>
      <c r="I98" s="174"/>
    </row>
    <row r="99" spans="1:9" x14ac:dyDescent="0.25">
      <c r="A99" s="121">
        <v>95</v>
      </c>
      <c r="B99" s="122" t="s">
        <v>10</v>
      </c>
      <c r="C99" s="122" t="s">
        <v>298</v>
      </c>
      <c r="D99" s="123"/>
      <c r="E99" s="122" t="s">
        <v>665</v>
      </c>
      <c r="F99" s="124" t="s">
        <v>68</v>
      </c>
      <c r="G99" s="125">
        <v>31</v>
      </c>
      <c r="H99" s="126">
        <v>78.64</v>
      </c>
      <c r="I99" s="174"/>
    </row>
    <row r="100" spans="1:9" x14ac:dyDescent="0.25">
      <c r="A100" s="121">
        <v>96</v>
      </c>
      <c r="B100" s="122" t="s">
        <v>10</v>
      </c>
      <c r="C100" s="122" t="s">
        <v>298</v>
      </c>
      <c r="D100" s="123"/>
      <c r="E100" s="122" t="s">
        <v>665</v>
      </c>
      <c r="F100" s="124" t="s">
        <v>68</v>
      </c>
      <c r="G100" s="125">
        <v>31</v>
      </c>
      <c r="H100" s="126">
        <v>75.12</v>
      </c>
      <c r="I100" s="174"/>
    </row>
    <row r="101" spans="1:9" x14ac:dyDescent="0.25">
      <c r="A101" s="121">
        <v>97</v>
      </c>
      <c r="B101" s="122" t="s">
        <v>10</v>
      </c>
      <c r="C101" s="122" t="s">
        <v>298</v>
      </c>
      <c r="D101" s="123"/>
      <c r="E101" s="122" t="s">
        <v>832</v>
      </c>
      <c r="F101" s="124" t="s">
        <v>68</v>
      </c>
      <c r="G101" s="125">
        <v>6</v>
      </c>
      <c r="H101" s="126">
        <v>62.34</v>
      </c>
      <c r="I101" s="174"/>
    </row>
    <row r="102" spans="1:9" x14ac:dyDescent="0.25">
      <c r="A102" s="121">
        <v>98</v>
      </c>
      <c r="B102" s="122" t="s">
        <v>10</v>
      </c>
      <c r="C102" s="122" t="s">
        <v>298</v>
      </c>
      <c r="D102" s="123"/>
      <c r="E102" s="122" t="s">
        <v>833</v>
      </c>
      <c r="F102" s="124" t="s">
        <v>68</v>
      </c>
      <c r="G102" s="125">
        <v>0</v>
      </c>
      <c r="H102" s="126">
        <v>114.36</v>
      </c>
      <c r="I102" s="174"/>
    </row>
    <row r="103" spans="1:9" x14ac:dyDescent="0.25">
      <c r="A103" s="121">
        <v>99</v>
      </c>
      <c r="B103" s="122" t="s">
        <v>10</v>
      </c>
      <c r="C103" s="122" t="s">
        <v>298</v>
      </c>
      <c r="D103" s="123"/>
      <c r="E103" s="122" t="s">
        <v>677</v>
      </c>
      <c r="F103" s="124" t="s">
        <v>68</v>
      </c>
      <c r="G103" s="125">
        <v>41</v>
      </c>
      <c r="H103" s="126">
        <v>92.07</v>
      </c>
      <c r="I103" s="174"/>
    </row>
    <row r="104" spans="1:9" x14ac:dyDescent="0.25">
      <c r="A104" s="121">
        <v>100</v>
      </c>
      <c r="B104" s="122" t="s">
        <v>10</v>
      </c>
      <c r="C104" s="122" t="s">
        <v>298</v>
      </c>
      <c r="D104" s="123"/>
      <c r="E104" s="122" t="s">
        <v>678</v>
      </c>
      <c r="F104" s="124" t="s">
        <v>68</v>
      </c>
      <c r="G104" s="125">
        <v>51</v>
      </c>
      <c r="H104" s="126">
        <v>121.68</v>
      </c>
      <c r="I104" s="174"/>
    </row>
    <row r="105" spans="1:9" x14ac:dyDescent="0.25">
      <c r="A105" s="121">
        <v>101</v>
      </c>
      <c r="B105" s="122" t="s">
        <v>10</v>
      </c>
      <c r="C105" s="122" t="s">
        <v>298</v>
      </c>
      <c r="D105" s="123"/>
      <c r="E105" s="122" t="s">
        <v>678</v>
      </c>
      <c r="F105" s="124" t="s">
        <v>68</v>
      </c>
      <c r="G105" s="125">
        <v>51</v>
      </c>
      <c r="H105" s="126">
        <v>121.68</v>
      </c>
      <c r="I105" s="174"/>
    </row>
    <row r="106" spans="1:9" x14ac:dyDescent="0.25">
      <c r="A106" s="121">
        <v>102</v>
      </c>
      <c r="B106" s="122" t="s">
        <v>10</v>
      </c>
      <c r="C106" s="122" t="s">
        <v>298</v>
      </c>
      <c r="D106" s="123"/>
      <c r="E106" s="122" t="s">
        <v>678</v>
      </c>
      <c r="F106" s="124" t="s">
        <v>68</v>
      </c>
      <c r="G106" s="125">
        <v>51</v>
      </c>
      <c r="H106" s="126">
        <v>122.68</v>
      </c>
      <c r="I106" s="174"/>
    </row>
    <row r="107" spans="1:9" x14ac:dyDescent="0.25">
      <c r="A107" s="121">
        <v>103</v>
      </c>
      <c r="B107" s="122" t="s">
        <v>10</v>
      </c>
      <c r="C107" s="122" t="s">
        <v>298</v>
      </c>
      <c r="D107" s="123"/>
      <c r="E107" s="122" t="s">
        <v>678</v>
      </c>
      <c r="F107" s="124" t="s">
        <v>68</v>
      </c>
      <c r="G107" s="125">
        <v>51</v>
      </c>
      <c r="H107" s="126">
        <v>110.28</v>
      </c>
      <c r="I107" s="174"/>
    </row>
    <row r="108" spans="1:9" x14ac:dyDescent="0.25">
      <c r="A108" s="121">
        <v>104</v>
      </c>
      <c r="B108" s="122" t="s">
        <v>10</v>
      </c>
      <c r="C108" s="122" t="s">
        <v>298</v>
      </c>
      <c r="D108" s="123"/>
      <c r="E108" s="122" t="s">
        <v>679</v>
      </c>
      <c r="F108" s="124" t="s">
        <v>68</v>
      </c>
      <c r="G108" s="125">
        <v>31</v>
      </c>
      <c r="H108" s="126">
        <v>76.05</v>
      </c>
      <c r="I108" s="174"/>
    </row>
    <row r="109" spans="1:9" x14ac:dyDescent="0.25">
      <c r="A109" s="121">
        <v>105</v>
      </c>
      <c r="B109" s="122" t="s">
        <v>10</v>
      </c>
      <c r="C109" s="122" t="s">
        <v>298</v>
      </c>
      <c r="D109" s="123"/>
      <c r="E109" s="122" t="s">
        <v>679</v>
      </c>
      <c r="F109" s="124" t="s">
        <v>68</v>
      </c>
      <c r="G109" s="125">
        <v>31</v>
      </c>
      <c r="H109" s="126">
        <v>77.53</v>
      </c>
      <c r="I109" s="174"/>
    </row>
    <row r="110" spans="1:9" x14ac:dyDescent="0.25">
      <c r="A110" s="121">
        <v>106</v>
      </c>
      <c r="B110" s="122" t="s">
        <v>10</v>
      </c>
      <c r="C110" s="122" t="s">
        <v>298</v>
      </c>
      <c r="D110" s="123"/>
      <c r="E110" s="122" t="s">
        <v>679</v>
      </c>
      <c r="F110" s="124" t="s">
        <v>68</v>
      </c>
      <c r="G110" s="125">
        <v>31</v>
      </c>
      <c r="H110" s="126">
        <v>78.19</v>
      </c>
      <c r="I110" s="174"/>
    </row>
    <row r="111" spans="1:9" x14ac:dyDescent="0.25">
      <c r="A111" s="121">
        <v>107</v>
      </c>
      <c r="B111" s="122" t="s">
        <v>10</v>
      </c>
      <c r="C111" s="122" t="s">
        <v>298</v>
      </c>
      <c r="D111" s="123"/>
      <c r="E111" s="122" t="s">
        <v>679</v>
      </c>
      <c r="F111" s="124" t="s">
        <v>68</v>
      </c>
      <c r="G111" s="125">
        <v>31</v>
      </c>
      <c r="H111" s="126">
        <v>78.64</v>
      </c>
      <c r="I111" s="174"/>
    </row>
    <row r="112" spans="1:9" x14ac:dyDescent="0.25">
      <c r="A112" s="121">
        <v>108</v>
      </c>
      <c r="B112" s="122" t="s">
        <v>10</v>
      </c>
      <c r="C112" s="122" t="s">
        <v>298</v>
      </c>
      <c r="D112" s="123"/>
      <c r="E112" s="122" t="s">
        <v>679</v>
      </c>
      <c r="F112" s="124" t="s">
        <v>68</v>
      </c>
      <c r="G112" s="125">
        <v>31</v>
      </c>
      <c r="H112" s="126">
        <v>75.12</v>
      </c>
      <c r="I112" s="174"/>
    </row>
    <row r="113" spans="1:11" x14ac:dyDescent="0.25">
      <c r="A113" s="121">
        <v>109</v>
      </c>
      <c r="B113" s="122" t="s">
        <v>10</v>
      </c>
      <c r="C113" s="122" t="s">
        <v>298</v>
      </c>
      <c r="D113" s="123"/>
      <c r="E113" s="122" t="s">
        <v>678</v>
      </c>
      <c r="F113" s="124" t="s">
        <v>68</v>
      </c>
      <c r="G113" s="125">
        <v>51</v>
      </c>
      <c r="H113" s="126">
        <v>121.68</v>
      </c>
      <c r="I113" s="174"/>
    </row>
    <row r="114" spans="1:11" x14ac:dyDescent="0.25">
      <c r="A114" s="121">
        <v>110</v>
      </c>
      <c r="B114" s="122" t="s">
        <v>10</v>
      </c>
      <c r="C114" s="122" t="s">
        <v>298</v>
      </c>
      <c r="D114" s="123"/>
      <c r="E114" s="122" t="s">
        <v>678</v>
      </c>
      <c r="F114" s="124" t="s">
        <v>68</v>
      </c>
      <c r="G114" s="125">
        <v>51</v>
      </c>
      <c r="H114" s="126">
        <v>121.68</v>
      </c>
      <c r="I114" s="174"/>
    </row>
    <row r="115" spans="1:11" x14ac:dyDescent="0.25">
      <c r="A115" s="121">
        <v>111</v>
      </c>
      <c r="B115" s="122" t="s">
        <v>10</v>
      </c>
      <c r="C115" s="122" t="s">
        <v>298</v>
      </c>
      <c r="D115" s="123"/>
      <c r="E115" s="122" t="s">
        <v>678</v>
      </c>
      <c r="F115" s="124" t="s">
        <v>68</v>
      </c>
      <c r="G115" s="125">
        <v>51</v>
      </c>
      <c r="H115" s="126">
        <v>122.68</v>
      </c>
      <c r="I115" s="174"/>
    </row>
    <row r="116" spans="1:11" x14ac:dyDescent="0.25">
      <c r="A116" s="121">
        <v>112</v>
      </c>
      <c r="B116" s="122" t="s">
        <v>10</v>
      </c>
      <c r="C116" s="122" t="s">
        <v>298</v>
      </c>
      <c r="D116" s="123"/>
      <c r="E116" s="122" t="s">
        <v>679</v>
      </c>
      <c r="F116" s="124" t="s">
        <v>68</v>
      </c>
      <c r="G116" s="125">
        <v>31</v>
      </c>
      <c r="H116" s="126">
        <v>76.05</v>
      </c>
      <c r="I116" s="174"/>
    </row>
    <row r="117" spans="1:11" x14ac:dyDescent="0.25">
      <c r="A117" s="121">
        <v>113</v>
      </c>
      <c r="B117" s="122" t="s">
        <v>10</v>
      </c>
      <c r="C117" s="122" t="s">
        <v>298</v>
      </c>
      <c r="D117" s="123"/>
      <c r="E117" s="122" t="s">
        <v>679</v>
      </c>
      <c r="F117" s="124" t="s">
        <v>68</v>
      </c>
      <c r="G117" s="125">
        <v>31</v>
      </c>
      <c r="H117" s="126">
        <v>77.53</v>
      </c>
      <c r="I117" s="174"/>
    </row>
    <row r="118" spans="1:11" x14ac:dyDescent="0.25">
      <c r="A118" s="121">
        <v>114</v>
      </c>
      <c r="B118" s="122" t="s">
        <v>10</v>
      </c>
      <c r="C118" s="122" t="s">
        <v>298</v>
      </c>
      <c r="D118" s="123"/>
      <c r="E118" s="122" t="s">
        <v>679</v>
      </c>
      <c r="F118" s="124" t="s">
        <v>68</v>
      </c>
      <c r="G118" s="125">
        <v>31</v>
      </c>
      <c r="H118" s="126">
        <v>78.19</v>
      </c>
      <c r="I118" s="174"/>
    </row>
    <row r="119" spans="1:11" x14ac:dyDescent="0.25">
      <c r="A119" s="121">
        <v>115</v>
      </c>
      <c r="B119" s="122" t="s">
        <v>10</v>
      </c>
      <c r="C119" s="122" t="s">
        <v>298</v>
      </c>
      <c r="D119" s="123"/>
      <c r="E119" s="122" t="s">
        <v>679</v>
      </c>
      <c r="F119" s="124" t="s">
        <v>68</v>
      </c>
      <c r="G119" s="125">
        <v>31</v>
      </c>
      <c r="H119" s="126">
        <v>78.64</v>
      </c>
      <c r="I119" s="174"/>
    </row>
    <row r="120" spans="1:11" x14ac:dyDescent="0.25">
      <c r="A120" s="121">
        <v>116</v>
      </c>
      <c r="B120" s="122" t="s">
        <v>10</v>
      </c>
      <c r="C120" s="122" t="s">
        <v>298</v>
      </c>
      <c r="D120" s="123"/>
      <c r="E120" s="122" t="s">
        <v>679</v>
      </c>
      <c r="F120" s="124" t="s">
        <v>68</v>
      </c>
      <c r="G120" s="125">
        <v>31</v>
      </c>
      <c r="H120" s="126">
        <v>75.12</v>
      </c>
      <c r="I120" s="174">
        <v>31</v>
      </c>
      <c r="J120" s="9">
        <f>SUM(G88:G120)/31</f>
        <v>40.548387096774192</v>
      </c>
      <c r="K120">
        <f>SUM(H88:H120)</f>
        <v>3167.0199999999995</v>
      </c>
    </row>
    <row r="121" spans="1:11" x14ac:dyDescent="0.25">
      <c r="A121" s="151">
        <v>117</v>
      </c>
      <c r="B121" s="152" t="s">
        <v>11</v>
      </c>
      <c r="C121" s="152" t="s">
        <v>20</v>
      </c>
      <c r="D121" s="153" t="s">
        <v>307</v>
      </c>
      <c r="E121" s="154" t="s">
        <v>138</v>
      </c>
      <c r="F121" s="154" t="s">
        <v>79</v>
      </c>
      <c r="G121" s="155">
        <v>20</v>
      </c>
      <c r="H121" s="156">
        <v>23.53</v>
      </c>
      <c r="I121" s="175"/>
    </row>
    <row r="122" spans="1:11" x14ac:dyDescent="0.25">
      <c r="A122" s="151">
        <v>118</v>
      </c>
      <c r="B122" s="152" t="s">
        <v>11</v>
      </c>
      <c r="C122" s="152" t="s">
        <v>20</v>
      </c>
      <c r="D122" s="153" t="s">
        <v>308</v>
      </c>
      <c r="E122" s="154" t="s">
        <v>138</v>
      </c>
      <c r="F122" s="154" t="s">
        <v>79</v>
      </c>
      <c r="G122" s="155">
        <v>20</v>
      </c>
      <c r="H122" s="156">
        <v>22.63</v>
      </c>
      <c r="I122" s="175"/>
    </row>
    <row r="123" spans="1:11" x14ac:dyDescent="0.25">
      <c r="A123" s="151">
        <v>119</v>
      </c>
      <c r="B123" s="152" t="s">
        <v>11</v>
      </c>
      <c r="C123" s="152" t="s">
        <v>20</v>
      </c>
      <c r="D123" s="153" t="s">
        <v>306</v>
      </c>
      <c r="E123" s="154" t="s">
        <v>227</v>
      </c>
      <c r="F123" s="154" t="s">
        <v>79</v>
      </c>
      <c r="G123" s="155">
        <v>53</v>
      </c>
      <c r="H123" s="156">
        <v>73.5</v>
      </c>
      <c r="I123" s="175"/>
    </row>
    <row r="124" spans="1:11" x14ac:dyDescent="0.25">
      <c r="A124" s="151">
        <v>120</v>
      </c>
      <c r="B124" s="152" t="s">
        <v>11</v>
      </c>
      <c r="C124" s="152" t="s">
        <v>20</v>
      </c>
      <c r="D124" s="153" t="s">
        <v>309</v>
      </c>
      <c r="E124" s="154" t="s">
        <v>227</v>
      </c>
      <c r="F124" s="154" t="s">
        <v>79</v>
      </c>
      <c r="G124" s="155">
        <v>29</v>
      </c>
      <c r="H124" s="156">
        <v>41.88</v>
      </c>
      <c r="I124" s="175"/>
    </row>
    <row r="125" spans="1:11" x14ac:dyDescent="0.25">
      <c r="A125" s="151">
        <v>121</v>
      </c>
      <c r="B125" s="157" t="s">
        <v>11</v>
      </c>
      <c r="C125" s="157" t="s">
        <v>20</v>
      </c>
      <c r="D125" s="158" t="s">
        <v>310</v>
      </c>
      <c r="E125" s="159" t="s">
        <v>227</v>
      </c>
      <c r="F125" s="159" t="s">
        <v>79</v>
      </c>
      <c r="G125" s="160">
        <v>23</v>
      </c>
      <c r="H125" s="161">
        <v>39.119999999999997</v>
      </c>
      <c r="I125" s="175"/>
    </row>
    <row r="126" spans="1:11" x14ac:dyDescent="0.25">
      <c r="A126" s="151">
        <v>122</v>
      </c>
      <c r="B126" s="162" t="s">
        <v>11</v>
      </c>
      <c r="C126" s="162" t="s">
        <v>20</v>
      </c>
      <c r="D126" s="163" t="s">
        <v>311</v>
      </c>
      <c r="E126" s="164" t="s">
        <v>227</v>
      </c>
      <c r="F126" s="164" t="s">
        <v>79</v>
      </c>
      <c r="G126" s="165">
        <v>36</v>
      </c>
      <c r="H126" s="166">
        <v>47.04</v>
      </c>
      <c r="I126" s="175"/>
    </row>
    <row r="127" spans="1:11" x14ac:dyDescent="0.25">
      <c r="A127" s="151">
        <v>123</v>
      </c>
      <c r="B127" s="162" t="s">
        <v>11</v>
      </c>
      <c r="C127" s="162" t="s">
        <v>20</v>
      </c>
      <c r="D127" s="163" t="s">
        <v>314</v>
      </c>
      <c r="E127" s="164" t="s">
        <v>227</v>
      </c>
      <c r="F127" s="164" t="s">
        <v>79</v>
      </c>
      <c r="G127" s="165">
        <v>55</v>
      </c>
      <c r="H127" s="166">
        <v>82.25</v>
      </c>
      <c r="I127" s="175">
        <v>7</v>
      </c>
      <c r="J127" s="9">
        <f>SUM(G121:G127)/7</f>
        <v>33.714285714285715</v>
      </c>
      <c r="K127" s="10">
        <f>SUM(H121:H127)</f>
        <v>329.95</v>
      </c>
    </row>
    <row r="128" spans="1:11" ht="15.75" x14ac:dyDescent="0.25">
      <c r="A128" s="82"/>
      <c r="B128" s="82"/>
      <c r="C128" s="82"/>
      <c r="D128" s="82"/>
      <c r="E128" s="82"/>
      <c r="F128" s="83"/>
      <c r="G128" s="87">
        <f>SUM(G5:G127)</f>
        <v>4088</v>
      </c>
      <c r="H128" s="87">
        <f>SUM(H5:H127)</f>
        <v>7906.670000000001</v>
      </c>
      <c r="I128" s="176"/>
    </row>
  </sheetData>
  <autoFilter ref="A4:H4" xr:uid="{00000000-0009-0000-0000-000009000000}">
    <sortState ref="A5:N128">
      <sortCondition ref="C4"/>
    </sortState>
  </autoFilter>
  <dataValidations count="3">
    <dataValidation type="list" allowBlank="1" showInputMessage="1" showErrorMessage="1" sqref="B5:B127" xr:uid="{00000000-0002-0000-0900-000000000000}">
      <formula1>TENENCIA</formula1>
    </dataValidation>
    <dataValidation type="list" allowBlank="1" showInputMessage="1" showErrorMessage="1" sqref="F5:F127" xr:uid="{00000000-0002-0000-0900-000001000000}">
      <formula1>ASIGNACIÓN</formula1>
    </dataValidation>
    <dataValidation type="list" allowBlank="1" showInputMessage="1" showErrorMessage="1" sqref="C5:C127 D95:D127" xr:uid="{00000000-0002-0000-0900-000002000000}">
      <formula1>UBICACIÓN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"/>
  <sheetViews>
    <sheetView workbookViewId="0">
      <selection activeCell="A3" sqref="A3"/>
    </sheetView>
  </sheetViews>
  <sheetFormatPr baseColWidth="10" defaultRowHeight="15" x14ac:dyDescent="0.25"/>
  <cols>
    <col min="1" max="1" width="4" customWidth="1"/>
    <col min="2" max="2" width="14.85546875" bestFit="1" customWidth="1"/>
    <col min="3" max="3" width="13" bestFit="1" customWidth="1"/>
    <col min="4" max="4" width="10.140625" bestFit="1" customWidth="1"/>
    <col min="7" max="7" width="5.28515625" customWidth="1"/>
    <col min="8" max="8" width="14.5703125" bestFit="1" customWidth="1"/>
    <col min="9" max="9" width="30.85546875" style="79" customWidth="1"/>
    <col min="10" max="10" width="18.5703125" bestFit="1" customWidth="1"/>
    <col min="11" max="11" width="15.42578125" bestFit="1" customWidth="1"/>
    <col min="12" max="12" width="10.28515625" customWidth="1"/>
    <col min="13" max="13" width="8.28515625" customWidth="1"/>
    <col min="15" max="15" width="5.7109375" bestFit="1" customWidth="1"/>
    <col min="16" max="16" width="1.85546875" bestFit="1" customWidth="1"/>
  </cols>
  <sheetData>
    <row r="1" spans="1:17" x14ac:dyDescent="0.25">
      <c r="C1" s="8" t="s">
        <v>869</v>
      </c>
    </row>
    <row r="4" spans="1:17" s="78" customFormat="1" ht="27.75" x14ac:dyDescent="0.2">
      <c r="A4" s="80" t="s">
        <v>867</v>
      </c>
      <c r="B4" s="80" t="s">
        <v>163</v>
      </c>
      <c r="C4" s="81" t="s">
        <v>0</v>
      </c>
      <c r="D4" s="81" t="s">
        <v>4</v>
      </c>
      <c r="E4" s="81" t="s">
        <v>1</v>
      </c>
      <c r="F4" s="81" t="s">
        <v>108</v>
      </c>
      <c r="G4" s="81" t="s">
        <v>302</v>
      </c>
      <c r="H4" s="81" t="s">
        <v>383</v>
      </c>
      <c r="I4" s="81" t="s">
        <v>2</v>
      </c>
      <c r="J4" s="81" t="s">
        <v>5</v>
      </c>
      <c r="K4" s="81" t="s">
        <v>384</v>
      </c>
      <c r="L4" s="81" t="s">
        <v>3</v>
      </c>
      <c r="M4" s="81" t="s">
        <v>866</v>
      </c>
      <c r="N4" s="81" t="s">
        <v>109</v>
      </c>
    </row>
    <row r="5" spans="1:17" s="77" customFormat="1" ht="12.75" x14ac:dyDescent="0.2">
      <c r="A5" s="89">
        <v>1</v>
      </c>
      <c r="B5" s="90" t="s">
        <v>165</v>
      </c>
      <c r="C5" s="90" t="s">
        <v>6</v>
      </c>
      <c r="D5" s="90" t="s">
        <v>11</v>
      </c>
      <c r="E5" s="90" t="s">
        <v>15</v>
      </c>
      <c r="F5" s="91"/>
      <c r="G5" s="90">
        <v>2</v>
      </c>
      <c r="H5" s="90" t="s">
        <v>396</v>
      </c>
      <c r="I5" s="90" t="s">
        <v>33</v>
      </c>
      <c r="J5" s="92" t="s">
        <v>790</v>
      </c>
      <c r="K5" s="90" t="s">
        <v>107</v>
      </c>
      <c r="L5" s="93">
        <v>40</v>
      </c>
      <c r="M5" s="94">
        <v>43.77</v>
      </c>
      <c r="N5" s="95">
        <v>44694</v>
      </c>
    </row>
    <row r="6" spans="1:17" s="77" customFormat="1" ht="12.75" x14ac:dyDescent="0.2">
      <c r="A6" s="89">
        <v>2</v>
      </c>
      <c r="B6" s="90" t="s">
        <v>165</v>
      </c>
      <c r="C6" s="90" t="s">
        <v>6</v>
      </c>
      <c r="D6" s="90" t="s">
        <v>11</v>
      </c>
      <c r="E6" s="90" t="s">
        <v>15</v>
      </c>
      <c r="F6" s="91"/>
      <c r="G6" s="90">
        <v>2</v>
      </c>
      <c r="H6" s="90" t="s">
        <v>396</v>
      </c>
      <c r="I6" s="90" t="s">
        <v>33</v>
      </c>
      <c r="J6" s="92" t="s">
        <v>790</v>
      </c>
      <c r="K6" s="90" t="s">
        <v>107</v>
      </c>
      <c r="L6" s="93">
        <v>46</v>
      </c>
      <c r="M6" s="94">
        <v>49.25</v>
      </c>
      <c r="N6" s="95">
        <v>44694</v>
      </c>
    </row>
    <row r="7" spans="1:17" s="77" customFormat="1" ht="12.75" x14ac:dyDescent="0.2">
      <c r="A7" s="89">
        <v>3</v>
      </c>
      <c r="B7" s="90" t="s">
        <v>165</v>
      </c>
      <c r="C7" s="90" t="s">
        <v>6</v>
      </c>
      <c r="D7" s="90" t="s">
        <v>11</v>
      </c>
      <c r="E7" s="90" t="s">
        <v>15</v>
      </c>
      <c r="F7" s="91" t="s">
        <v>143</v>
      </c>
      <c r="G7" s="90">
        <v>2</v>
      </c>
      <c r="H7" s="90" t="s">
        <v>396</v>
      </c>
      <c r="I7" s="92" t="s">
        <v>58</v>
      </c>
      <c r="J7" s="92" t="s">
        <v>137</v>
      </c>
      <c r="K7" s="90" t="s">
        <v>90</v>
      </c>
      <c r="L7" s="93">
        <v>30</v>
      </c>
      <c r="M7" s="94">
        <v>56.99</v>
      </c>
      <c r="N7" s="95">
        <v>44694</v>
      </c>
      <c r="O7" s="167">
        <f>SUM(M5:M7)</f>
        <v>150.01000000000002</v>
      </c>
      <c r="P7" s="77">
        <v>3</v>
      </c>
      <c r="Q7" s="168">
        <f>SUM(L5:L7)/3</f>
        <v>38.666666666666664</v>
      </c>
    </row>
    <row r="8" spans="1:17" s="77" customFormat="1" ht="12.75" x14ac:dyDescent="0.2">
      <c r="A8" s="96">
        <v>4</v>
      </c>
      <c r="B8" s="97" t="s">
        <v>165</v>
      </c>
      <c r="C8" s="97" t="s">
        <v>6</v>
      </c>
      <c r="D8" s="97" t="s">
        <v>11</v>
      </c>
      <c r="E8" s="97" t="s">
        <v>16</v>
      </c>
      <c r="F8" s="98"/>
      <c r="G8" s="97">
        <v>2</v>
      </c>
      <c r="H8" s="97" t="s">
        <v>396</v>
      </c>
      <c r="I8" s="99" t="s">
        <v>58</v>
      </c>
      <c r="J8" s="99" t="s">
        <v>153</v>
      </c>
      <c r="K8" s="97" t="s">
        <v>107</v>
      </c>
      <c r="L8" s="100">
        <v>50</v>
      </c>
      <c r="M8" s="101">
        <v>86.05</v>
      </c>
      <c r="N8" s="102">
        <v>44698</v>
      </c>
      <c r="O8" s="167">
        <f>SUM(M8)</f>
        <v>86.05</v>
      </c>
      <c r="P8" s="77">
        <v>1</v>
      </c>
    </row>
    <row r="9" spans="1:17" s="77" customFormat="1" ht="12.75" x14ac:dyDescent="0.2">
      <c r="A9" s="103">
        <v>5</v>
      </c>
      <c r="B9" s="104" t="s">
        <v>165</v>
      </c>
      <c r="C9" s="104" t="s">
        <v>6</v>
      </c>
      <c r="D9" s="104" t="s">
        <v>10</v>
      </c>
      <c r="E9" s="104" t="s">
        <v>297</v>
      </c>
      <c r="F9" s="104"/>
      <c r="G9" s="104">
        <v>2</v>
      </c>
      <c r="H9" s="104" t="s">
        <v>196</v>
      </c>
      <c r="I9" s="104" t="s">
        <v>30</v>
      </c>
      <c r="J9" s="104" t="s">
        <v>230</v>
      </c>
      <c r="K9" s="104" t="s">
        <v>116</v>
      </c>
      <c r="L9" s="104">
        <v>16</v>
      </c>
      <c r="M9" s="104">
        <v>59.41</v>
      </c>
      <c r="N9" s="105">
        <v>44706</v>
      </c>
      <c r="O9" s="77">
        <f>SUM(M9)</f>
        <v>59.41</v>
      </c>
      <c r="P9" s="77">
        <v>1</v>
      </c>
    </row>
    <row r="10" spans="1:17" s="77" customFormat="1" ht="12.75" x14ac:dyDescent="0.2">
      <c r="A10" s="106">
        <v>6</v>
      </c>
      <c r="B10" s="107" t="s">
        <v>165</v>
      </c>
      <c r="C10" s="107" t="s">
        <v>6</v>
      </c>
      <c r="D10" s="107" t="s">
        <v>10</v>
      </c>
      <c r="E10" s="107" t="s">
        <v>18</v>
      </c>
      <c r="F10" s="108">
        <v>202</v>
      </c>
      <c r="G10" s="109">
        <v>2</v>
      </c>
      <c r="H10" s="107" t="s">
        <v>396</v>
      </c>
      <c r="I10" s="110" t="s">
        <v>58</v>
      </c>
      <c r="J10" s="110" t="s">
        <v>234</v>
      </c>
      <c r="K10" s="107" t="s">
        <v>90</v>
      </c>
      <c r="L10" s="111">
        <v>30</v>
      </c>
      <c r="M10" s="112">
        <v>63.6</v>
      </c>
      <c r="N10" s="113">
        <v>44392</v>
      </c>
    </row>
    <row r="11" spans="1:17" s="77" customFormat="1" ht="25.5" x14ac:dyDescent="0.2">
      <c r="A11" s="106">
        <v>7</v>
      </c>
      <c r="B11" s="107" t="s">
        <v>165</v>
      </c>
      <c r="C11" s="107" t="s">
        <v>6</v>
      </c>
      <c r="D11" s="107" t="s">
        <v>10</v>
      </c>
      <c r="E11" s="107" t="s">
        <v>18</v>
      </c>
      <c r="F11" s="108">
        <v>302</v>
      </c>
      <c r="G11" s="109">
        <v>3</v>
      </c>
      <c r="H11" s="107" t="s">
        <v>396</v>
      </c>
      <c r="I11" s="110" t="s">
        <v>58</v>
      </c>
      <c r="J11" s="110" t="s">
        <v>235</v>
      </c>
      <c r="K11" s="107" t="s">
        <v>90</v>
      </c>
      <c r="L11" s="111">
        <v>44</v>
      </c>
      <c r="M11" s="112">
        <v>88.64</v>
      </c>
      <c r="N11" s="113">
        <v>44392</v>
      </c>
    </row>
    <row r="12" spans="1:17" s="77" customFormat="1" ht="12.75" x14ac:dyDescent="0.2">
      <c r="A12" s="106">
        <v>8</v>
      </c>
      <c r="B12" s="107" t="s">
        <v>165</v>
      </c>
      <c r="C12" s="107" t="s">
        <v>6</v>
      </c>
      <c r="D12" s="107" t="s">
        <v>10</v>
      </c>
      <c r="E12" s="107" t="s">
        <v>18</v>
      </c>
      <c r="F12" s="108">
        <v>303</v>
      </c>
      <c r="G12" s="109">
        <v>3</v>
      </c>
      <c r="H12" s="107" t="s">
        <v>396</v>
      </c>
      <c r="I12" s="110" t="s">
        <v>58</v>
      </c>
      <c r="J12" s="110" t="s">
        <v>236</v>
      </c>
      <c r="K12" s="107" t="s">
        <v>90</v>
      </c>
      <c r="L12" s="111">
        <v>41</v>
      </c>
      <c r="M12" s="112">
        <v>83.35</v>
      </c>
      <c r="N12" s="113">
        <v>44392</v>
      </c>
    </row>
    <row r="13" spans="1:17" s="77" customFormat="1" ht="12.75" x14ac:dyDescent="0.2">
      <c r="A13" s="106">
        <v>9</v>
      </c>
      <c r="B13" s="107" t="s">
        <v>165</v>
      </c>
      <c r="C13" s="107" t="s">
        <v>6</v>
      </c>
      <c r="D13" s="107" t="s">
        <v>10</v>
      </c>
      <c r="E13" s="107" t="s">
        <v>18</v>
      </c>
      <c r="F13" s="108">
        <v>304</v>
      </c>
      <c r="G13" s="109">
        <v>3</v>
      </c>
      <c r="H13" s="107" t="s">
        <v>396</v>
      </c>
      <c r="I13" s="110" t="s">
        <v>58</v>
      </c>
      <c r="J13" s="110" t="s">
        <v>237</v>
      </c>
      <c r="K13" s="107" t="s">
        <v>90</v>
      </c>
      <c r="L13" s="111">
        <v>41</v>
      </c>
      <c r="M13" s="112">
        <v>82.06</v>
      </c>
      <c r="N13" s="113">
        <v>44392</v>
      </c>
    </row>
    <row r="14" spans="1:17" s="77" customFormat="1" ht="12.75" x14ac:dyDescent="0.2">
      <c r="A14" s="106">
        <v>10</v>
      </c>
      <c r="B14" s="107" t="s">
        <v>165</v>
      </c>
      <c r="C14" s="107" t="s">
        <v>6</v>
      </c>
      <c r="D14" s="107" t="s">
        <v>10</v>
      </c>
      <c r="E14" s="107" t="s">
        <v>18</v>
      </c>
      <c r="F14" s="108">
        <v>305</v>
      </c>
      <c r="G14" s="109">
        <v>3</v>
      </c>
      <c r="H14" s="107" t="s">
        <v>396</v>
      </c>
      <c r="I14" s="110" t="s">
        <v>58</v>
      </c>
      <c r="J14" s="110" t="s">
        <v>238</v>
      </c>
      <c r="K14" s="107" t="s">
        <v>90</v>
      </c>
      <c r="L14" s="111">
        <v>34</v>
      </c>
      <c r="M14" s="112">
        <v>68.599999999999994</v>
      </c>
      <c r="N14" s="113">
        <v>44392</v>
      </c>
    </row>
    <row r="15" spans="1:17" s="77" customFormat="1" ht="25.5" x14ac:dyDescent="0.2">
      <c r="A15" s="106">
        <v>11</v>
      </c>
      <c r="B15" s="107" t="s">
        <v>165</v>
      </c>
      <c r="C15" s="107" t="s">
        <v>6</v>
      </c>
      <c r="D15" s="107" t="s">
        <v>10</v>
      </c>
      <c r="E15" s="107" t="s">
        <v>18</v>
      </c>
      <c r="F15" s="108">
        <v>306</v>
      </c>
      <c r="G15" s="109">
        <v>3</v>
      </c>
      <c r="H15" s="107" t="s">
        <v>396</v>
      </c>
      <c r="I15" s="110" t="s">
        <v>58</v>
      </c>
      <c r="J15" s="110" t="s">
        <v>357</v>
      </c>
      <c r="K15" s="107" t="s">
        <v>90</v>
      </c>
      <c r="L15" s="111">
        <v>46</v>
      </c>
      <c r="M15" s="112">
        <v>107.27</v>
      </c>
      <c r="N15" s="113">
        <v>44392</v>
      </c>
    </row>
    <row r="16" spans="1:17" s="77" customFormat="1" ht="12.75" x14ac:dyDescent="0.2">
      <c r="A16" s="106">
        <v>12</v>
      </c>
      <c r="B16" s="107" t="s">
        <v>165</v>
      </c>
      <c r="C16" s="107" t="s">
        <v>6</v>
      </c>
      <c r="D16" s="107" t="s">
        <v>10</v>
      </c>
      <c r="E16" s="107" t="s">
        <v>18</v>
      </c>
      <c r="F16" s="108"/>
      <c r="G16" s="109">
        <v>3</v>
      </c>
      <c r="H16" s="107" t="s">
        <v>396</v>
      </c>
      <c r="I16" s="110" t="s">
        <v>58</v>
      </c>
      <c r="J16" s="110" t="s">
        <v>245</v>
      </c>
      <c r="K16" s="107" t="s">
        <v>90</v>
      </c>
      <c r="L16" s="111">
        <v>37</v>
      </c>
      <c r="M16" s="112">
        <v>75.819999999999993</v>
      </c>
      <c r="N16" s="113">
        <v>44392</v>
      </c>
    </row>
    <row r="17" spans="1:17" s="77" customFormat="1" ht="12.75" x14ac:dyDescent="0.2">
      <c r="A17" s="106">
        <v>13</v>
      </c>
      <c r="B17" s="107" t="s">
        <v>165</v>
      </c>
      <c r="C17" s="107" t="s">
        <v>6</v>
      </c>
      <c r="D17" s="107" t="s">
        <v>10</v>
      </c>
      <c r="E17" s="107" t="s">
        <v>18</v>
      </c>
      <c r="F17" s="108">
        <v>404</v>
      </c>
      <c r="G17" s="109">
        <v>4</v>
      </c>
      <c r="H17" s="107" t="s">
        <v>396</v>
      </c>
      <c r="I17" s="110" t="s">
        <v>58</v>
      </c>
      <c r="J17" s="110" t="s">
        <v>284</v>
      </c>
      <c r="K17" s="107" t="s">
        <v>90</v>
      </c>
      <c r="L17" s="111">
        <v>41</v>
      </c>
      <c r="M17" s="112">
        <v>82.06</v>
      </c>
      <c r="N17" s="113">
        <v>44393</v>
      </c>
    </row>
    <row r="18" spans="1:17" s="77" customFormat="1" ht="12.75" x14ac:dyDescent="0.2">
      <c r="A18" s="106">
        <v>14</v>
      </c>
      <c r="B18" s="107" t="s">
        <v>165</v>
      </c>
      <c r="C18" s="107" t="s">
        <v>6</v>
      </c>
      <c r="D18" s="107" t="s">
        <v>10</v>
      </c>
      <c r="E18" s="107" t="s">
        <v>18</v>
      </c>
      <c r="F18" s="108">
        <v>405</v>
      </c>
      <c r="G18" s="109">
        <v>4</v>
      </c>
      <c r="H18" s="107" t="s">
        <v>396</v>
      </c>
      <c r="I18" s="110" t="s">
        <v>58</v>
      </c>
      <c r="J18" s="110" t="s">
        <v>232</v>
      </c>
      <c r="K18" s="107" t="s">
        <v>90</v>
      </c>
      <c r="L18" s="111">
        <v>34</v>
      </c>
      <c r="M18" s="112">
        <v>68.599999999999994</v>
      </c>
      <c r="N18" s="113">
        <v>44393</v>
      </c>
      <c r="O18" s="167">
        <f>SUM(M10:M18)</f>
        <v>719.99999999999989</v>
      </c>
      <c r="P18" s="77">
        <v>9</v>
      </c>
      <c r="Q18" s="168">
        <f>SUM(L10:L18)/9</f>
        <v>38.666666666666664</v>
      </c>
    </row>
    <row r="19" spans="1:17" s="77" customFormat="1" ht="12.75" x14ac:dyDescent="0.2">
      <c r="A19" s="114">
        <v>15</v>
      </c>
      <c r="B19" s="115" t="s">
        <v>165</v>
      </c>
      <c r="C19" s="115" t="s">
        <v>6</v>
      </c>
      <c r="D19" s="115" t="s">
        <v>10</v>
      </c>
      <c r="E19" s="115" t="s">
        <v>298</v>
      </c>
      <c r="F19" s="116"/>
      <c r="G19" s="115">
        <v>5</v>
      </c>
      <c r="H19" s="115" t="s">
        <v>396</v>
      </c>
      <c r="I19" s="117" t="s">
        <v>68</v>
      </c>
      <c r="J19" s="115" t="s">
        <v>762</v>
      </c>
      <c r="K19" s="117" t="s">
        <v>90</v>
      </c>
      <c r="L19" s="118">
        <v>39</v>
      </c>
      <c r="M19" s="119">
        <v>92.07</v>
      </c>
      <c r="N19" s="120">
        <v>44706</v>
      </c>
      <c r="O19" s="77">
        <f>SUM(M19:M20)</f>
        <v>202.35</v>
      </c>
      <c r="P19" s="77">
        <v>2</v>
      </c>
      <c r="Q19" s="77">
        <f>SUM(L19:L20)/2</f>
        <v>44</v>
      </c>
    </row>
    <row r="20" spans="1:17" x14ac:dyDescent="0.25">
      <c r="A20" s="114">
        <v>16</v>
      </c>
      <c r="B20" s="115" t="s">
        <v>165</v>
      </c>
      <c r="C20" s="115" t="s">
        <v>6</v>
      </c>
      <c r="D20" s="115" t="s">
        <v>10</v>
      </c>
      <c r="E20" s="115" t="s">
        <v>298</v>
      </c>
      <c r="F20" s="116"/>
      <c r="G20" s="115">
        <v>5</v>
      </c>
      <c r="H20" s="115" t="s">
        <v>396</v>
      </c>
      <c r="I20" s="117" t="s">
        <v>68</v>
      </c>
      <c r="J20" s="115" t="s">
        <v>763</v>
      </c>
      <c r="K20" s="117" t="s">
        <v>90</v>
      </c>
      <c r="L20" s="118">
        <v>49</v>
      </c>
      <c r="M20" s="119">
        <v>110.28</v>
      </c>
      <c r="N20" s="120">
        <v>44706</v>
      </c>
    </row>
    <row r="21" spans="1:17" ht="15.75" x14ac:dyDescent="0.25">
      <c r="B21" s="82"/>
      <c r="C21" s="82"/>
      <c r="D21" s="82"/>
      <c r="E21" s="82"/>
      <c r="F21" s="82"/>
      <c r="G21" s="82"/>
      <c r="H21" s="82"/>
      <c r="I21" s="83"/>
      <c r="J21" s="84" t="s">
        <v>868</v>
      </c>
      <c r="K21" s="86">
        <f>AVERAGE(L5:L20)</f>
        <v>38.625</v>
      </c>
      <c r="L21" s="85">
        <f>SUM(L5:L20)</f>
        <v>618</v>
      </c>
      <c r="M21" s="85">
        <f>SUM(M5:M20)</f>
        <v>1217.8200000000002</v>
      </c>
      <c r="N21" s="82"/>
    </row>
  </sheetData>
  <dataValidations count="6">
    <dataValidation type="list" allowBlank="1" showInputMessage="1" showErrorMessage="1" sqref="F19:F20 E5:E20" xr:uid="{00000000-0002-0000-0A00-000000000000}">
      <formula1>UBICACIÓN</formula1>
    </dataValidation>
    <dataValidation type="list" allowBlank="1" showInputMessage="1" showErrorMessage="1" sqref="K5:K20" xr:uid="{00000000-0002-0000-0A00-000001000000}">
      <formula1>FUNCIÓN_ESPECÍFICA</formula1>
    </dataValidation>
    <dataValidation type="list" allowBlank="1" showInputMessage="1" showErrorMessage="1" sqref="I5:I20" xr:uid="{00000000-0002-0000-0A00-000002000000}">
      <formula1>ASIGNACIÓN</formula1>
    </dataValidation>
    <dataValidation type="list" allowBlank="1" showInputMessage="1" showErrorMessage="1" sqref="D5:D20" xr:uid="{00000000-0002-0000-0A00-000003000000}">
      <formula1>TENENCIA</formula1>
    </dataValidation>
    <dataValidation type="list" allowBlank="1" showInputMessage="1" showErrorMessage="1" sqref="C5:C20" xr:uid="{00000000-0002-0000-0A00-000004000000}">
      <formula1>TIPO_DE_ÁREA</formula1>
    </dataValidation>
    <dataValidation type="list" allowBlank="1" showInputMessage="1" showErrorMessage="1" sqref="H9" xr:uid="{00000000-0002-0000-0A00-000005000000}">
      <formula1>INDIRECT(B9)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6000000}">
          <x14:formula1>
            <xm:f>Listas!$J$4:$J$13</xm:f>
          </x14:formula1>
          <xm:sqref>G5:G20</xm:sqref>
        </x14:dataValidation>
        <x14:dataValidation type="list" allowBlank="1" showInputMessage="1" showErrorMessage="1" xr:uid="{00000000-0002-0000-0A00-000007000000}">
          <x14:formula1>
            <xm:f>Listas!$B$80:$B$85</xm:f>
          </x14:formula1>
          <xm:sqref>B5:B20</xm:sqref>
        </x14:dataValidation>
        <x14:dataValidation type="list" allowBlank="1" showInputMessage="1" showErrorMessage="1" xr:uid="{00000000-0002-0000-0A00-000008000000}">
          <x14:formula1>
            <xm:f>Listas!$H$4:$H$34</xm:f>
          </x14:formula1>
          <xm:sqref>H5:H8 H10:H20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8"/>
  <dimension ref="A2:E78"/>
  <sheetViews>
    <sheetView zoomScaleNormal="100" workbookViewId="0">
      <selection activeCell="A36" sqref="A36"/>
    </sheetView>
  </sheetViews>
  <sheetFormatPr baseColWidth="10" defaultRowHeight="15" x14ac:dyDescent="0.25"/>
  <cols>
    <col min="1" max="1" width="17.5703125" bestFit="1" customWidth="1"/>
    <col min="2" max="2" width="23.28515625" customWidth="1"/>
    <col min="3" max="3" width="35.28515625" customWidth="1"/>
  </cols>
  <sheetData>
    <row r="2" spans="1:4" x14ac:dyDescent="0.25">
      <c r="A2" s="8" t="s">
        <v>479</v>
      </c>
    </row>
    <row r="3" spans="1:4" x14ac:dyDescent="0.25">
      <c r="A3" s="5" t="s">
        <v>476</v>
      </c>
      <c r="B3" t="s">
        <v>478</v>
      </c>
      <c r="D3" s="1" t="s">
        <v>485</v>
      </c>
    </row>
    <row r="4" spans="1:4" x14ac:dyDescent="0.25">
      <c r="A4" s="6" t="s">
        <v>11</v>
      </c>
      <c r="B4">
        <v>19171.599999999999</v>
      </c>
      <c r="C4" s="6" t="s">
        <v>11</v>
      </c>
      <c r="D4" s="9">
        <f>GETPIVOTDATA("ÁREA (Metros2)",$A$3,"TENENCIA","Arriendo")*100/GETPIVOTDATA("ÁREA (Metros2)",$A$3)</f>
        <v>20.893190543508918</v>
      </c>
    </row>
    <row r="5" spans="1:4" x14ac:dyDescent="0.25">
      <c r="A5" s="6" t="s">
        <v>10</v>
      </c>
      <c r="B5">
        <v>72520.156999999977</v>
      </c>
      <c r="C5" s="6" t="s">
        <v>10</v>
      </c>
      <c r="D5" s="9">
        <f>GETPIVOTDATA("ÁREA (Metros2)",$A$3,"TENENCIA","Propiedad")*100/GETPIVOTDATA("ÁREA (Metros2)",$A$3)</f>
        <v>79.032394711249026</v>
      </c>
    </row>
    <row r="6" spans="1:4" x14ac:dyDescent="0.25">
      <c r="A6" s="6" t="s">
        <v>767</v>
      </c>
      <c r="B6">
        <v>68.283000000000001</v>
      </c>
      <c r="C6" s="9"/>
      <c r="D6" s="9">
        <f>SUM(D4:D5)</f>
        <v>99.925585254757948</v>
      </c>
    </row>
    <row r="7" spans="1:4" x14ac:dyDescent="0.25">
      <c r="A7" s="6" t="s">
        <v>477</v>
      </c>
      <c r="B7">
        <v>91760.039999999979</v>
      </c>
    </row>
    <row r="8" spans="1:4" x14ac:dyDescent="0.25">
      <c r="A8" s="7" t="s">
        <v>480</v>
      </c>
    </row>
    <row r="9" spans="1:4" x14ac:dyDescent="0.25">
      <c r="A9" s="5" t="s">
        <v>476</v>
      </c>
      <c r="B9" t="s">
        <v>478</v>
      </c>
    </row>
    <row r="10" spans="1:4" x14ac:dyDescent="0.25">
      <c r="A10" s="6" t="s">
        <v>6</v>
      </c>
      <c r="B10">
        <v>91670.517000000022</v>
      </c>
    </row>
    <row r="11" spans="1:4" x14ac:dyDescent="0.25">
      <c r="A11" s="6" t="s">
        <v>767</v>
      </c>
      <c r="B11">
        <v>89.52300000000001</v>
      </c>
    </row>
    <row r="12" spans="1:4" x14ac:dyDescent="0.25">
      <c r="A12" s="6" t="s">
        <v>477</v>
      </c>
      <c r="B12">
        <v>91760.040000000023</v>
      </c>
    </row>
    <row r="14" spans="1:4" x14ac:dyDescent="0.25">
      <c r="A14" s="7" t="s">
        <v>481</v>
      </c>
    </row>
    <row r="15" spans="1:4" x14ac:dyDescent="0.25">
      <c r="A15" s="5" t="s">
        <v>476</v>
      </c>
      <c r="B15" t="s">
        <v>478</v>
      </c>
      <c r="D15" t="s">
        <v>1</v>
      </c>
    </row>
    <row r="16" spans="1:4" x14ac:dyDescent="0.25">
      <c r="A16" s="6" t="s">
        <v>17</v>
      </c>
      <c r="B16">
        <v>4059.72</v>
      </c>
      <c r="C16" s="6" t="s">
        <v>17</v>
      </c>
      <c r="D16" s="9">
        <f>GETPIVOTDATA("ÁREA (Metros2)",$A$15,"UBICACIÓN","Bloque Administrativo")*100/GETPIVOTDATA("ÁREA (Metros2)",$A$15)</f>
        <v>4.4242788037145591</v>
      </c>
    </row>
    <row r="17" spans="1:5" x14ac:dyDescent="0.25">
      <c r="A17" s="6" t="s">
        <v>15</v>
      </c>
      <c r="B17">
        <v>1352.84</v>
      </c>
      <c r="C17" s="6" t="s">
        <v>15</v>
      </c>
      <c r="D17" s="9">
        <f>GETPIVOTDATA("ÁREA (Metros2)",$A$15,"UBICACIÓN","Bloque B")*100/GETPIVOTDATA("ÁREA (Metros2)",$A$15)</f>
        <v>1.4743236816374539</v>
      </c>
    </row>
    <row r="18" spans="1:5" x14ac:dyDescent="0.25">
      <c r="A18" s="6" t="s">
        <v>16</v>
      </c>
      <c r="B18">
        <v>884.95000000000027</v>
      </c>
      <c r="C18" s="6" t="s">
        <v>16</v>
      </c>
      <c r="D18" s="9">
        <f>GETPIVOTDATA("ÁREA (Metros2)",$A$15,"UBICACIÓN","Bloque C")*100/GETPIVOTDATA("ÁREA (Metros2)",$A$15)</f>
        <v>0.96441762667060793</v>
      </c>
    </row>
    <row r="19" spans="1:5" x14ac:dyDescent="0.25">
      <c r="A19" s="6" t="s">
        <v>14</v>
      </c>
      <c r="B19">
        <v>3254.3789999999995</v>
      </c>
      <c r="C19" s="6" t="s">
        <v>19</v>
      </c>
      <c r="D19" s="9" t="e">
        <f>GETPIVOTDATA("ÁREA (Metros2)",$A$15,"UBICACIÓN","Centro De Conciliación y Consultorios Jurídicos")*100/GETPIVOTDATA("ÁREA (Metros2)",$A$15)</f>
        <v>#REF!</v>
      </c>
    </row>
    <row r="20" spans="1:5" x14ac:dyDescent="0.25">
      <c r="A20" s="6" t="s">
        <v>297</v>
      </c>
      <c r="B20">
        <v>3541.5390000000007</v>
      </c>
      <c r="C20" s="6" t="s">
        <v>14</v>
      </c>
      <c r="D20" s="9">
        <f>GETPIVOTDATA("ÁREA (Metros2)",$A$15,"UBICACIÓN","Edificio Holanda")*100/GETPIVOTDATA("ÁREA (Metros2)",$A$15)</f>
        <v>3.5466189857807389</v>
      </c>
    </row>
    <row r="21" spans="1:5" x14ac:dyDescent="0.25">
      <c r="A21" s="6" t="s">
        <v>18</v>
      </c>
      <c r="B21">
        <v>8567.43</v>
      </c>
      <c r="C21" s="6" t="s">
        <v>297</v>
      </c>
      <c r="D21" s="9">
        <f>GETPIVOTDATA("ÁREA (Metros2)",$A$15,"UBICACIÓN","Edificio Italia ")*100/GETPIVOTDATA("ÁREA (Metros2)",$A$15)</f>
        <v>3.8595656671466161</v>
      </c>
    </row>
    <row r="22" spans="1:5" x14ac:dyDescent="0.25">
      <c r="A22" s="6" t="s">
        <v>13</v>
      </c>
      <c r="B22">
        <v>9626.619999999999</v>
      </c>
      <c r="C22" s="6" t="s">
        <v>18</v>
      </c>
      <c r="D22" s="9">
        <f>GETPIVOTDATA("ÁREA (Metros2)",$A$15,"UBICACIÓN","Edificio San Francisco")*100/GETPIVOTDATA("ÁREA (Metros2)",$A$15)</f>
        <v>9.3367766622595223</v>
      </c>
    </row>
    <row r="23" spans="1:5" x14ac:dyDescent="0.25">
      <c r="A23" s="6" t="s">
        <v>20</v>
      </c>
      <c r="B23">
        <v>955.03000000000009</v>
      </c>
      <c r="C23" s="6" t="s">
        <v>197</v>
      </c>
      <c r="D23" s="9" t="e">
        <f>GETPIVOTDATA("ÁREA (Metros2)",$A$15,"UBICACIÓN","Medio San Damián")*100/GETPIVOTDATA("ÁREA (Metros2)",$A$15)</f>
        <v>#REF!</v>
      </c>
    </row>
    <row r="24" spans="1:5" x14ac:dyDescent="0.25">
      <c r="A24" s="6" t="s">
        <v>299</v>
      </c>
      <c r="B24">
        <v>3012.2200000000003</v>
      </c>
      <c r="C24" s="6" t="s">
        <v>13</v>
      </c>
      <c r="D24" s="9">
        <f>GETPIVOTDATA("ÁREA (Metros2)",$A$15,"UBICACIÓN","Otra")*100/GETPIVOTDATA("ÁREA (Metros2)",$A$15)</f>
        <v>10.491080867009213</v>
      </c>
    </row>
    <row r="25" spans="1:5" x14ac:dyDescent="0.25">
      <c r="A25" s="6" t="s">
        <v>298</v>
      </c>
      <c r="B25">
        <v>56431.558999999994</v>
      </c>
      <c r="C25" s="6" t="s">
        <v>20</v>
      </c>
      <c r="D25" s="9">
        <f>GETPIVOTDATA("ÁREA (Metros2)",$A$15,"UBICACIÓN","Sede Santiago")*100/GETPIVOTDATA("ÁREA (Metros2)",$A$15)</f>
        <v>1.0407907407189452</v>
      </c>
    </row>
    <row r="26" spans="1:5" x14ac:dyDescent="0.25">
      <c r="A26" s="6" t="s">
        <v>767</v>
      </c>
      <c r="B26">
        <v>73.753</v>
      </c>
      <c r="C26" s="6" t="s">
        <v>299</v>
      </c>
      <c r="D26" s="9">
        <f>GETPIVOTDATA("ÁREA (Metros2)",$A$15,"UBICACIÓN","Zonas comunes ")*100/GETPIVOTDATA("ÁREA (Metros2)",$A$15)</f>
        <v>3.282714349296274</v>
      </c>
    </row>
    <row r="27" spans="1:5" x14ac:dyDescent="0.25">
      <c r="A27" s="6" t="s">
        <v>477</v>
      </c>
      <c r="B27">
        <v>91760.039999999979</v>
      </c>
      <c r="C27" s="9"/>
    </row>
    <row r="29" spans="1:5" x14ac:dyDescent="0.25">
      <c r="A29" s="7" t="s">
        <v>482</v>
      </c>
    </row>
    <row r="30" spans="1:5" x14ac:dyDescent="0.25">
      <c r="A30" s="5" t="s">
        <v>476</v>
      </c>
      <c r="B30" t="s">
        <v>478</v>
      </c>
      <c r="E30" s="7" t="s">
        <v>486</v>
      </c>
    </row>
    <row r="31" spans="1:5" x14ac:dyDescent="0.25">
      <c r="A31" s="6" t="s">
        <v>174</v>
      </c>
      <c r="B31">
        <v>272.54000000000002</v>
      </c>
      <c r="D31" s="6" t="s">
        <v>174</v>
      </c>
      <c r="E31">
        <v>292.61</v>
      </c>
    </row>
    <row r="32" spans="1:5" x14ac:dyDescent="0.25">
      <c r="A32" s="6" t="s">
        <v>22</v>
      </c>
      <c r="B32">
        <v>1815.5</v>
      </c>
      <c r="D32" s="6" t="s">
        <v>22</v>
      </c>
      <c r="E32">
        <v>2062.89</v>
      </c>
    </row>
    <row r="33" spans="1:5" x14ac:dyDescent="0.25">
      <c r="A33" s="6" t="s">
        <v>26</v>
      </c>
      <c r="B33">
        <v>8408.9500000000025</v>
      </c>
      <c r="D33" s="6" t="s">
        <v>26</v>
      </c>
      <c r="E33">
        <v>5304.2799999999988</v>
      </c>
    </row>
    <row r="34" spans="1:5" x14ac:dyDescent="0.25">
      <c r="A34" s="6" t="s">
        <v>30</v>
      </c>
      <c r="B34">
        <v>709.81</v>
      </c>
      <c r="D34" s="6" t="s">
        <v>30</v>
      </c>
      <c r="E34">
        <v>791.45999999999992</v>
      </c>
    </row>
    <row r="35" spans="1:5" x14ac:dyDescent="0.25">
      <c r="A35" s="6" t="s">
        <v>258</v>
      </c>
      <c r="B35">
        <v>472.06000000000006</v>
      </c>
      <c r="D35" s="6" t="s">
        <v>258</v>
      </c>
      <c r="E35">
        <v>529.17999999999995</v>
      </c>
    </row>
    <row r="36" spans="1:5" x14ac:dyDescent="0.25">
      <c r="A36" s="6" t="s">
        <v>385</v>
      </c>
      <c r="B36">
        <v>93.39</v>
      </c>
      <c r="D36" s="6" t="s">
        <v>385</v>
      </c>
      <c r="E36">
        <v>111.03</v>
      </c>
    </row>
    <row r="37" spans="1:5" x14ac:dyDescent="0.25">
      <c r="A37" s="6" t="s">
        <v>386</v>
      </c>
      <c r="B37">
        <v>1155.67</v>
      </c>
      <c r="D37" s="6" t="s">
        <v>386</v>
      </c>
      <c r="E37">
        <v>357.56999999999994</v>
      </c>
    </row>
    <row r="38" spans="1:5" x14ac:dyDescent="0.25">
      <c r="A38" s="6" t="s">
        <v>388</v>
      </c>
      <c r="B38">
        <v>56.220000000000006</v>
      </c>
      <c r="D38" s="6" t="s">
        <v>387</v>
      </c>
      <c r="E38">
        <v>492.58000000000004</v>
      </c>
    </row>
    <row r="39" spans="1:5" x14ac:dyDescent="0.25">
      <c r="A39" s="6" t="s">
        <v>389</v>
      </c>
      <c r="B39">
        <v>278.33000000000004</v>
      </c>
      <c r="D39" s="6" t="s">
        <v>388</v>
      </c>
      <c r="E39">
        <v>35.520000000000003</v>
      </c>
    </row>
    <row r="40" spans="1:5" x14ac:dyDescent="0.25">
      <c r="A40" s="6" t="s">
        <v>390</v>
      </c>
      <c r="B40">
        <v>852.4200000000003</v>
      </c>
      <c r="D40" s="6" t="s">
        <v>427</v>
      </c>
      <c r="E40">
        <v>20.700000000000003</v>
      </c>
    </row>
    <row r="41" spans="1:5" x14ac:dyDescent="0.25">
      <c r="A41" s="6" t="s">
        <v>183</v>
      </c>
      <c r="B41">
        <v>410.52999999999992</v>
      </c>
      <c r="D41" s="6" t="s">
        <v>389</v>
      </c>
      <c r="E41">
        <v>37.299999999999997</v>
      </c>
    </row>
    <row r="42" spans="1:5" x14ac:dyDescent="0.25">
      <c r="A42" s="6" t="s">
        <v>391</v>
      </c>
      <c r="B42">
        <v>1627.02</v>
      </c>
      <c r="D42" s="6" t="s">
        <v>390</v>
      </c>
      <c r="E42">
        <v>317.17</v>
      </c>
    </row>
    <row r="43" spans="1:5" x14ac:dyDescent="0.25">
      <c r="A43" s="6" t="s">
        <v>24</v>
      </c>
      <c r="B43">
        <v>54903.078999999998</v>
      </c>
      <c r="D43" s="6" t="s">
        <v>183</v>
      </c>
      <c r="E43">
        <v>290.68999999999988</v>
      </c>
    </row>
    <row r="44" spans="1:5" x14ac:dyDescent="0.25">
      <c r="A44" s="6" t="s">
        <v>392</v>
      </c>
      <c r="B44">
        <v>84.92</v>
      </c>
      <c r="D44" s="6" t="s">
        <v>391</v>
      </c>
      <c r="E44">
        <v>1060.26</v>
      </c>
    </row>
    <row r="45" spans="1:5" x14ac:dyDescent="0.25">
      <c r="A45" s="6" t="s">
        <v>393</v>
      </c>
      <c r="B45">
        <v>395.59000000000003</v>
      </c>
      <c r="D45" s="6" t="s">
        <v>24</v>
      </c>
      <c r="E45">
        <v>11370.810000000001</v>
      </c>
    </row>
    <row r="46" spans="1:5" x14ac:dyDescent="0.25">
      <c r="A46" s="6" t="s">
        <v>394</v>
      </c>
      <c r="B46">
        <v>9946.51</v>
      </c>
      <c r="D46" s="6" t="s">
        <v>392</v>
      </c>
      <c r="E46">
        <v>75.069999999999993</v>
      </c>
    </row>
    <row r="47" spans="1:5" x14ac:dyDescent="0.25">
      <c r="A47" s="6" t="s">
        <v>177</v>
      </c>
      <c r="B47">
        <v>222.56</v>
      </c>
      <c r="D47" s="6" t="s">
        <v>393</v>
      </c>
      <c r="E47">
        <v>500.15999999999997</v>
      </c>
    </row>
    <row r="48" spans="1:5" x14ac:dyDescent="0.25">
      <c r="A48" s="6" t="s">
        <v>23</v>
      </c>
      <c r="B48">
        <v>2702.2799999999997</v>
      </c>
      <c r="D48" s="6" t="s">
        <v>394</v>
      </c>
      <c r="E48">
        <v>6391.6399999999985</v>
      </c>
    </row>
    <row r="49" spans="1:5" x14ac:dyDescent="0.25">
      <c r="A49" s="6" t="s">
        <v>193</v>
      </c>
      <c r="B49">
        <v>3138.69</v>
      </c>
      <c r="D49" s="6" t="s">
        <v>246</v>
      </c>
      <c r="E49">
        <v>34955.599999999999</v>
      </c>
    </row>
    <row r="50" spans="1:5" x14ac:dyDescent="0.25">
      <c r="A50" s="6" t="s">
        <v>395</v>
      </c>
      <c r="B50">
        <v>33.86</v>
      </c>
      <c r="D50" s="6" t="s">
        <v>177</v>
      </c>
      <c r="E50">
        <v>164.89</v>
      </c>
    </row>
    <row r="51" spans="1:5" x14ac:dyDescent="0.25">
      <c r="A51" s="6" t="s">
        <v>99</v>
      </c>
      <c r="B51">
        <v>186.31</v>
      </c>
      <c r="D51" s="6" t="s">
        <v>23</v>
      </c>
      <c r="E51">
        <v>2190.8899999999994</v>
      </c>
    </row>
    <row r="52" spans="1:5" x14ac:dyDescent="0.25">
      <c r="A52" s="6" t="s">
        <v>396</v>
      </c>
      <c r="B52">
        <v>1065.3899999999999</v>
      </c>
      <c r="D52" s="6" t="s">
        <v>193</v>
      </c>
      <c r="E52">
        <v>3228.48</v>
      </c>
    </row>
    <row r="53" spans="1:5" x14ac:dyDescent="0.25">
      <c r="A53" s="6" t="s">
        <v>397</v>
      </c>
      <c r="B53">
        <v>196.29000000000002</v>
      </c>
      <c r="D53" s="6" t="s">
        <v>395</v>
      </c>
      <c r="E53">
        <v>33.76</v>
      </c>
    </row>
    <row r="54" spans="1:5" x14ac:dyDescent="0.25">
      <c r="A54" s="6" t="s">
        <v>117</v>
      </c>
      <c r="B54">
        <v>164.06</v>
      </c>
      <c r="D54" s="6" t="s">
        <v>99</v>
      </c>
      <c r="E54">
        <v>49.559999999999995</v>
      </c>
    </row>
    <row r="55" spans="1:5" x14ac:dyDescent="0.25">
      <c r="A55" s="6" t="s">
        <v>21</v>
      </c>
      <c r="B55">
        <v>730.34</v>
      </c>
      <c r="D55" s="6" t="s">
        <v>396</v>
      </c>
      <c r="E55">
        <v>867.40000000000009</v>
      </c>
    </row>
    <row r="56" spans="1:5" x14ac:dyDescent="0.25">
      <c r="A56" s="6" t="s">
        <v>27</v>
      </c>
      <c r="B56">
        <v>147.80000000000001</v>
      </c>
      <c r="D56" s="6" t="s">
        <v>397</v>
      </c>
      <c r="E56">
        <v>131.6</v>
      </c>
    </row>
    <row r="57" spans="1:5" x14ac:dyDescent="0.25">
      <c r="A57" s="6" t="s">
        <v>398</v>
      </c>
      <c r="B57">
        <v>354.31799999999998</v>
      </c>
      <c r="D57" s="6" t="s">
        <v>117</v>
      </c>
      <c r="E57">
        <v>185.83</v>
      </c>
    </row>
    <row r="58" spans="1:5" x14ac:dyDescent="0.25">
      <c r="A58" s="6" t="s">
        <v>399</v>
      </c>
      <c r="B58">
        <v>1022.5599999999997</v>
      </c>
      <c r="D58" s="6" t="s">
        <v>21</v>
      </c>
      <c r="E58">
        <v>527.5200000000001</v>
      </c>
    </row>
    <row r="59" spans="1:5" x14ac:dyDescent="0.25">
      <c r="A59" s="6" t="s">
        <v>400</v>
      </c>
      <c r="B59">
        <v>168.59</v>
      </c>
      <c r="D59" s="6" t="s">
        <v>27</v>
      </c>
      <c r="E59">
        <v>155.78</v>
      </c>
    </row>
    <row r="60" spans="1:5" x14ac:dyDescent="0.25">
      <c r="A60" s="6" t="s">
        <v>130</v>
      </c>
      <c r="B60">
        <v>9.18</v>
      </c>
      <c r="D60" s="6" t="s">
        <v>398</v>
      </c>
      <c r="E60">
        <v>67.588000000000022</v>
      </c>
    </row>
    <row r="61" spans="1:5" x14ac:dyDescent="0.25">
      <c r="A61" s="6" t="s">
        <v>767</v>
      </c>
      <c r="B61">
        <v>135.273</v>
      </c>
      <c r="D61" s="6" t="s">
        <v>399</v>
      </c>
      <c r="E61">
        <v>453.37</v>
      </c>
    </row>
    <row r="62" spans="1:5" x14ac:dyDescent="0.25">
      <c r="A62" s="6" t="s">
        <v>477</v>
      </c>
      <c r="B62">
        <v>91760.039999999964</v>
      </c>
      <c r="D62" s="6" t="s">
        <v>400</v>
      </c>
      <c r="E62">
        <v>168.59</v>
      </c>
    </row>
    <row r="65" spans="1:5" x14ac:dyDescent="0.25">
      <c r="A65" s="7" t="s">
        <v>483</v>
      </c>
    </row>
    <row r="66" spans="1:5" x14ac:dyDescent="0.25">
      <c r="A66" s="5" t="s">
        <v>476</v>
      </c>
      <c r="B66" t="s">
        <v>478</v>
      </c>
      <c r="E66" s="7" t="s">
        <v>483</v>
      </c>
    </row>
    <row r="67" spans="1:5" x14ac:dyDescent="0.25">
      <c r="A67" s="6" t="s">
        <v>90</v>
      </c>
      <c r="B67">
        <v>14717.780000000013</v>
      </c>
      <c r="C67" s="9"/>
      <c r="D67" s="6" t="s">
        <v>90</v>
      </c>
      <c r="E67" s="9">
        <f>GETPIVOTDATA("ÁREA (Metros2)",$A$66,"Función Específica","DOCENCIA")*100/GETPIVOTDATA("ÁREA (Metros2)",$A$66)</f>
        <v>16.03942195317266</v>
      </c>
    </row>
    <row r="68" spans="1:5" x14ac:dyDescent="0.25">
      <c r="A68" s="6" t="s">
        <v>116</v>
      </c>
      <c r="B68">
        <v>897.57</v>
      </c>
      <c r="C68" s="9"/>
      <c r="D68" s="6" t="s">
        <v>116</v>
      </c>
      <c r="E68" s="9">
        <f>GETPIVOTDATA("ÁREA (Metros2)",$A$66,"Función Específica","Integral")*100/GETPIVOTDATA("ÁREA (Metros2)",$A$66)</f>
        <v>0.97817089007371827</v>
      </c>
    </row>
    <row r="69" spans="1:5" x14ac:dyDescent="0.25">
      <c r="A69" s="6" t="s">
        <v>91</v>
      </c>
      <c r="B69">
        <v>250.4</v>
      </c>
      <c r="C69" s="9"/>
      <c r="D69" s="6" t="s">
        <v>91</v>
      </c>
      <c r="E69" s="9">
        <f>GETPIVOTDATA("ÁREA (Metros2)",$A$66,"Función Específica","INVESTIGACIÓN")*100/GETPIVOTDATA("ÁREA (Metros2)",$A$66)</f>
        <v>0.27288567005855707</v>
      </c>
    </row>
    <row r="70" spans="1:5" x14ac:dyDescent="0.25">
      <c r="A70" s="6" t="s">
        <v>107</v>
      </c>
      <c r="B70">
        <v>18857.530000000002</v>
      </c>
      <c r="C70" s="9"/>
      <c r="D70" s="6" t="s">
        <v>107</v>
      </c>
      <c r="E70" s="9">
        <f>GETPIVOTDATA("ÁREA (Metros2)",$A$66,"Función Específica","Procesos de apoyo")*100/GETPIVOTDATA("ÁREA (Metros2)",$A$66)</f>
        <v>20.550917371003763</v>
      </c>
    </row>
    <row r="71" spans="1:5" x14ac:dyDescent="0.25">
      <c r="A71" s="6" t="s">
        <v>94</v>
      </c>
      <c r="B71">
        <v>56968.476999999999</v>
      </c>
      <c r="C71" s="9"/>
      <c r="D71" s="6" t="s">
        <v>92</v>
      </c>
      <c r="E71" s="9" t="e">
        <f>GETPIVOTDATA("ÁREA (Metros2)",$A$66,"Función Específica","PROYECCIÓN")*100/GETPIVOTDATA("ÁREA (Metros2)",$A$66)</f>
        <v>#REF!</v>
      </c>
    </row>
    <row r="72" spans="1:5" x14ac:dyDescent="0.25">
      <c r="A72" s="6" t="s">
        <v>767</v>
      </c>
      <c r="B72">
        <v>68.283000000000001</v>
      </c>
      <c r="C72" s="9"/>
      <c r="D72" s="6" t="s">
        <v>94</v>
      </c>
      <c r="E72" s="9">
        <f>GETPIVOTDATA("ÁREA (Metros2)",$A$66,"Función Específica","N/A")*100/GETPIVOTDATA("ÁREA (Metros2)",$A$66)</f>
        <v>62.084189370449266</v>
      </c>
    </row>
    <row r="73" spans="1:5" x14ac:dyDescent="0.25">
      <c r="A73" s="6" t="s">
        <v>477</v>
      </c>
      <c r="B73">
        <v>91760.040000000008</v>
      </c>
      <c r="C73" s="9"/>
    </row>
    <row r="75" spans="1:5" x14ac:dyDescent="0.25">
      <c r="A75" s="7" t="s">
        <v>484</v>
      </c>
    </row>
    <row r="76" spans="1:5" x14ac:dyDescent="0.25">
      <c r="A76" s="5" t="s">
        <v>476</v>
      </c>
      <c r="B76" t="s">
        <v>478</v>
      </c>
    </row>
    <row r="77" spans="1:5" x14ac:dyDescent="0.25">
      <c r="A77" s="6" t="s">
        <v>114</v>
      </c>
      <c r="B77">
        <v>71954.327000000063</v>
      </c>
    </row>
    <row r="78" spans="1:5" x14ac:dyDescent="0.25">
      <c r="A78" s="6" t="s">
        <v>477</v>
      </c>
      <c r="B78">
        <v>71954.327000000063</v>
      </c>
    </row>
  </sheetData>
  <pageMargins left="0.7" right="0.7" top="0.75" bottom="0.75" header="0.3" footer="0.3"/>
  <pageSetup orientation="portrait" horizontalDpi="0" verticalDpi="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28AE8B-3175-4A67-ADE5-4E309855AA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13</vt:i4>
      </vt:variant>
    </vt:vector>
  </HeadingPairs>
  <TitlesOfParts>
    <vt:vector size="25" baseType="lpstr">
      <vt:lpstr>Hoja3</vt:lpstr>
      <vt:lpstr>TD SACAR INF</vt:lpstr>
      <vt:lpstr>Tabla_ Infra_ Física</vt:lpstr>
      <vt:lpstr>Listas</vt:lpstr>
      <vt:lpstr>SEDE CENTRAL</vt:lpstr>
      <vt:lpstr>SEDE SANTIAGO</vt:lpstr>
      <vt:lpstr>MUSD</vt:lpstr>
      <vt:lpstr>Total x bloques</vt:lpstr>
      <vt:lpstr>Total x espacios</vt:lpstr>
      <vt:lpstr>Aula clase</vt:lpstr>
      <vt:lpstr>S.computo</vt:lpstr>
      <vt:lpstr>Tabla Dinámica</vt:lpstr>
      <vt:lpstr>Acceso</vt:lpstr>
      <vt:lpstr>Áreas_administración</vt:lpstr>
      <vt:lpstr>Áreas_bienestar</vt:lpstr>
      <vt:lpstr>Áreas_docencia</vt:lpstr>
      <vt:lpstr>Áreas_investigación</vt:lpstr>
      <vt:lpstr>Áreas_Movilidad_Espacios_libres</vt:lpstr>
      <vt:lpstr>Áreas_Servicios_a_Comunidad</vt:lpstr>
      <vt:lpstr>ASIGNACIÓN</vt:lpstr>
      <vt:lpstr>FUNCIÓN_ESPECÍFICA</vt:lpstr>
      <vt:lpstr>TENENCIA</vt:lpstr>
      <vt:lpstr>TIPO_DE_ÁREA</vt:lpstr>
      <vt:lpstr>TIPO_DE_ESPACIO</vt:lpstr>
      <vt:lpstr>UBICACIÓN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Planta Fisica</dc:creator>
  <cp:lastModifiedBy>Maria Alejandra Achicanoy Madroñero</cp:lastModifiedBy>
  <cp:lastPrinted>2023-07-15T14:54:30Z</cp:lastPrinted>
  <dcterms:created xsi:type="dcterms:W3CDTF">2018-05-21T19:53:13Z</dcterms:created>
  <dcterms:modified xsi:type="dcterms:W3CDTF">2024-12-02T16:42:52Z</dcterms:modified>
</cp:coreProperties>
</file>